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2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io/Downloads/"/>
    </mc:Choice>
  </mc:AlternateContent>
  <xr:revisionPtr revIDLastSave="0" documentId="13_ncr:40009_{C8726252-7AA1-E94D-80B0-34CE2C3E3924}" xr6:coauthVersionLast="47" xr6:coauthVersionMax="47" xr10:uidLastSave="{00000000-0000-0000-0000-000000000000}"/>
  <bookViews>
    <workbookView xWindow="280" yWindow="600" windowWidth="28420" windowHeight="16840" activeTab="5"/>
  </bookViews>
  <sheets>
    <sheet name="credit_appraisal" sheetId="1" r:id="rId1"/>
    <sheet name="Issues_log" sheetId="3" r:id="rId2"/>
    <sheet name="credit_appraisal_cleaned" sheetId="2" r:id="rId3"/>
    <sheet name="Risk_Summary_Table" sheetId="7" r:id="rId4"/>
    <sheet name="Branch_Risk_Profile" sheetId="9" r:id="rId5"/>
    <sheet name="Employment_Risk_Analysis" sheetId="10" r:id="rId6"/>
  </sheets>
  <calcPr calcId="191029"/>
  <pivotCaches>
    <pivotCache cacheId="105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E2" i="2"/>
  <c r="Y2" i="2" s="1"/>
  <c r="E3" i="2"/>
  <c r="Y3" i="2" s="1"/>
  <c r="E4" i="2"/>
  <c r="Y4" i="2" s="1"/>
  <c r="E5" i="2"/>
  <c r="Y5" i="2" s="1"/>
  <c r="E6" i="2"/>
  <c r="Y6" i="2" s="1"/>
  <c r="E7" i="2"/>
  <c r="Y7" i="2" s="1"/>
  <c r="E8" i="2"/>
  <c r="Y8" i="2" s="1"/>
  <c r="E9" i="2"/>
  <c r="Y9" i="2" s="1"/>
  <c r="E10" i="2"/>
  <c r="Y10" i="2" s="1"/>
  <c r="E11" i="2"/>
  <c r="Y11" i="2" s="1"/>
  <c r="E12" i="2"/>
  <c r="Y12" i="2" s="1"/>
  <c r="E13" i="2"/>
  <c r="Y13" i="2" s="1"/>
  <c r="E14" i="2"/>
  <c r="Y14" i="2" s="1"/>
  <c r="E15" i="2"/>
  <c r="Y15" i="2" s="1"/>
  <c r="E16" i="2"/>
  <c r="Y16" i="2" s="1"/>
  <c r="E17" i="2"/>
  <c r="Y17" i="2" s="1"/>
  <c r="E18" i="2"/>
  <c r="Y18" i="2" s="1"/>
  <c r="E19" i="2"/>
  <c r="Y19" i="2" s="1"/>
  <c r="E20" i="2"/>
  <c r="Y20" i="2" s="1"/>
  <c r="E21" i="2"/>
  <c r="Y21" i="2" s="1"/>
  <c r="E22" i="2"/>
  <c r="Y22" i="2" s="1"/>
  <c r="E23" i="2"/>
  <c r="Y23" i="2" s="1"/>
  <c r="E24" i="2"/>
  <c r="Y24" i="2" s="1"/>
  <c r="E25" i="2"/>
  <c r="Y25" i="2" s="1"/>
  <c r="E26" i="2"/>
  <c r="Y26" i="2" s="1"/>
  <c r="E27" i="2"/>
  <c r="Y27" i="2" s="1"/>
  <c r="E28" i="2"/>
  <c r="Y28" i="2" s="1"/>
  <c r="E29" i="2"/>
  <c r="Y29" i="2" s="1"/>
  <c r="E30" i="2"/>
  <c r="Y30" i="2" s="1"/>
  <c r="E31" i="2"/>
  <c r="Y31" i="2" s="1"/>
  <c r="E32" i="2"/>
  <c r="Y32" i="2" s="1"/>
  <c r="E33" i="2"/>
  <c r="Y33" i="2" s="1"/>
  <c r="E34" i="2"/>
  <c r="Y34" i="2" s="1"/>
  <c r="E35" i="2"/>
  <c r="Y35" i="2" s="1"/>
  <c r="E36" i="2"/>
  <c r="Y36" i="2" s="1"/>
  <c r="E37" i="2"/>
  <c r="Y37" i="2" s="1"/>
  <c r="E38" i="2"/>
  <c r="Y38" i="2" s="1"/>
  <c r="E39" i="2"/>
  <c r="Y39" i="2" s="1"/>
  <c r="E40" i="2"/>
  <c r="Y40" i="2" s="1"/>
  <c r="E41" i="2"/>
  <c r="Y41" i="2" s="1"/>
  <c r="E42" i="2"/>
  <c r="Y42" i="2" s="1"/>
  <c r="E43" i="2"/>
  <c r="Y43" i="2" s="1"/>
  <c r="E44" i="2"/>
  <c r="Y44" i="2" s="1"/>
  <c r="E45" i="2"/>
  <c r="Y45" i="2" s="1"/>
  <c r="E46" i="2"/>
  <c r="Y46" i="2" s="1"/>
  <c r="E47" i="2"/>
  <c r="Y47" i="2" s="1"/>
  <c r="E48" i="2"/>
  <c r="Y48" i="2" s="1"/>
  <c r="E49" i="2"/>
  <c r="Y49" i="2" s="1"/>
  <c r="E50" i="2"/>
  <c r="Y50" i="2" s="1"/>
  <c r="E51" i="2"/>
  <c r="Y51" i="2" s="1"/>
  <c r="E52" i="2"/>
  <c r="Y52" i="2" s="1"/>
  <c r="E53" i="2"/>
  <c r="Y53" i="2" s="1"/>
  <c r="E54" i="2"/>
  <c r="Y54" i="2" s="1"/>
  <c r="E55" i="2"/>
  <c r="Y55" i="2" s="1"/>
  <c r="E56" i="2"/>
  <c r="Y56" i="2" s="1"/>
  <c r="E57" i="2"/>
  <c r="Y57" i="2" s="1"/>
  <c r="E58" i="2"/>
  <c r="Y58" i="2" s="1"/>
  <c r="E59" i="2"/>
  <c r="Y59" i="2" s="1"/>
  <c r="E60" i="2"/>
  <c r="Y60" i="2" s="1"/>
  <c r="E61" i="2"/>
  <c r="Y61" i="2" s="1"/>
  <c r="E62" i="2"/>
  <c r="Y62" i="2" s="1"/>
  <c r="E63" i="2"/>
  <c r="Y63" i="2" s="1"/>
  <c r="E64" i="2"/>
  <c r="Y64" i="2" s="1"/>
  <c r="E65" i="2"/>
  <c r="Y65" i="2" s="1"/>
  <c r="E66" i="2"/>
  <c r="Y66" i="2" s="1"/>
  <c r="E67" i="2"/>
  <c r="Y67" i="2" s="1"/>
  <c r="E68" i="2"/>
  <c r="Y68" i="2" s="1"/>
  <c r="E69" i="2"/>
  <c r="Y69" i="2" s="1"/>
  <c r="E70" i="2"/>
  <c r="Y70" i="2" s="1"/>
  <c r="E71" i="2"/>
  <c r="Y71" i="2" s="1"/>
  <c r="E72" i="2"/>
  <c r="Y72" i="2" s="1"/>
  <c r="E73" i="2"/>
  <c r="Y73" i="2" s="1"/>
  <c r="E74" i="2"/>
  <c r="Y74" i="2" s="1"/>
  <c r="E75" i="2"/>
  <c r="Y75" i="2" s="1"/>
  <c r="E76" i="2"/>
  <c r="Y76" i="2" s="1"/>
  <c r="E77" i="2"/>
  <c r="Y77" i="2" s="1"/>
  <c r="E78" i="2"/>
  <c r="Y78" i="2" s="1"/>
  <c r="E79" i="2"/>
  <c r="Y79" i="2" s="1"/>
  <c r="E80" i="2"/>
  <c r="Y80" i="2" s="1"/>
  <c r="E81" i="2"/>
  <c r="Y81" i="2" s="1"/>
  <c r="E82" i="2"/>
  <c r="Y82" i="2" s="1"/>
  <c r="E83" i="2"/>
  <c r="Y83" i="2" s="1"/>
  <c r="E84" i="2"/>
  <c r="Y84" i="2" s="1"/>
  <c r="E85" i="2"/>
  <c r="Y85" i="2" s="1"/>
  <c r="E86" i="2"/>
  <c r="Y86" i="2" s="1"/>
  <c r="E87" i="2"/>
  <c r="Y87" i="2" s="1"/>
  <c r="E88" i="2"/>
  <c r="Y88" i="2" s="1"/>
  <c r="E89" i="2"/>
  <c r="Y89" i="2" s="1"/>
  <c r="E90" i="2"/>
  <c r="Y90" i="2" s="1"/>
  <c r="E91" i="2"/>
  <c r="Y91" i="2" s="1"/>
  <c r="E92" i="2"/>
  <c r="Y92" i="2" s="1"/>
  <c r="E93" i="2"/>
  <c r="Y93" i="2" s="1"/>
  <c r="E94" i="2"/>
  <c r="Y94" i="2" s="1"/>
  <c r="E95" i="2"/>
  <c r="Y95" i="2" s="1"/>
  <c r="E96" i="2"/>
  <c r="Y96" i="2" s="1"/>
  <c r="E97" i="2"/>
  <c r="Y97" i="2" s="1"/>
  <c r="E98" i="2"/>
  <c r="Y98" i="2" s="1"/>
  <c r="E99" i="2"/>
  <c r="Y99" i="2" s="1"/>
  <c r="E100" i="2"/>
  <c r="Y100" i="2" s="1"/>
  <c r="E101" i="2"/>
  <c r="Y101" i="2" s="1"/>
  <c r="E102" i="2"/>
  <c r="Y102" i="2" s="1"/>
  <c r="E103" i="2"/>
  <c r="Y103" i="2" s="1"/>
  <c r="E104" i="2"/>
  <c r="Y104" i="2" s="1"/>
  <c r="E105" i="2"/>
  <c r="Y105" i="2" s="1"/>
  <c r="E106" i="2"/>
  <c r="Y106" i="2" s="1"/>
  <c r="E107" i="2"/>
  <c r="Y107" i="2" s="1"/>
  <c r="E108" i="2"/>
  <c r="Y108" i="2" s="1"/>
  <c r="E109" i="2"/>
  <c r="Y109" i="2" s="1"/>
  <c r="E110" i="2"/>
  <c r="Y110" i="2" s="1"/>
  <c r="E111" i="2"/>
  <c r="Y111" i="2" s="1"/>
  <c r="E112" i="2"/>
  <c r="Y112" i="2" s="1"/>
  <c r="E113" i="2"/>
  <c r="Y113" i="2" s="1"/>
  <c r="E114" i="2"/>
  <c r="Y114" i="2" s="1"/>
  <c r="E115" i="2"/>
  <c r="Y115" i="2" s="1"/>
  <c r="E116" i="2"/>
  <c r="Y116" i="2" s="1"/>
  <c r="E117" i="2"/>
  <c r="Y117" i="2" s="1"/>
  <c r="E118" i="2"/>
  <c r="Y118" i="2" s="1"/>
  <c r="E119" i="2"/>
  <c r="Y119" i="2" s="1"/>
  <c r="E120" i="2"/>
  <c r="Y120" i="2" s="1"/>
  <c r="E121" i="2"/>
  <c r="Y121" i="2" s="1"/>
  <c r="E122" i="2"/>
  <c r="Y122" i="2" s="1"/>
  <c r="E123" i="2"/>
  <c r="Y123" i="2" s="1"/>
  <c r="E124" i="2"/>
  <c r="Y124" i="2" s="1"/>
  <c r="E125" i="2"/>
  <c r="Y125" i="2" s="1"/>
  <c r="E126" i="2"/>
  <c r="Y126" i="2" s="1"/>
  <c r="E127" i="2"/>
  <c r="Y127" i="2" s="1"/>
  <c r="E128" i="2"/>
  <c r="Y128" i="2" s="1"/>
  <c r="E129" i="2"/>
  <c r="Y129" i="2" s="1"/>
  <c r="E130" i="2"/>
  <c r="Y130" i="2" s="1"/>
  <c r="E131" i="2"/>
  <c r="Y131" i="2" s="1"/>
  <c r="E132" i="2"/>
  <c r="Y132" i="2" s="1"/>
  <c r="E133" i="2"/>
  <c r="Y133" i="2" s="1"/>
  <c r="E134" i="2"/>
  <c r="Y134" i="2" s="1"/>
  <c r="E135" i="2"/>
  <c r="Y135" i="2" s="1"/>
  <c r="E136" i="2"/>
  <c r="Y136" i="2" s="1"/>
  <c r="E137" i="2"/>
  <c r="Y137" i="2" s="1"/>
  <c r="E138" i="2"/>
  <c r="Y138" i="2" s="1"/>
  <c r="E139" i="2"/>
  <c r="Y139" i="2" s="1"/>
  <c r="E140" i="2"/>
  <c r="Y140" i="2" s="1"/>
  <c r="E141" i="2"/>
  <c r="Y141" i="2" s="1"/>
  <c r="E142" i="2"/>
  <c r="Y142" i="2" s="1"/>
  <c r="E143" i="2"/>
  <c r="Y143" i="2" s="1"/>
  <c r="E144" i="2"/>
  <c r="Y144" i="2" s="1"/>
  <c r="E145" i="2"/>
  <c r="Y145" i="2" s="1"/>
  <c r="E146" i="2"/>
  <c r="Y146" i="2" s="1"/>
  <c r="E147" i="2"/>
  <c r="Y147" i="2" s="1"/>
  <c r="E148" i="2"/>
  <c r="Y148" i="2" s="1"/>
  <c r="E149" i="2"/>
  <c r="Y149" i="2" s="1"/>
  <c r="E150" i="2"/>
  <c r="Y150" i="2" s="1"/>
  <c r="E151" i="2"/>
  <c r="Y151" i="2" s="1"/>
  <c r="E152" i="2"/>
  <c r="Y152" i="2" s="1"/>
  <c r="E153" i="2"/>
  <c r="Y153" i="2" s="1"/>
  <c r="E154" i="2"/>
  <c r="Y154" i="2" s="1"/>
  <c r="E155" i="2"/>
  <c r="Y155" i="2" s="1"/>
  <c r="E156" i="2"/>
  <c r="Y156" i="2" s="1"/>
  <c r="E157" i="2"/>
  <c r="Y157" i="2" s="1"/>
  <c r="E158" i="2"/>
  <c r="Y158" i="2" s="1"/>
  <c r="E159" i="2"/>
  <c r="Y159" i="2" s="1"/>
  <c r="E160" i="2"/>
  <c r="Y160" i="2" s="1"/>
  <c r="E161" i="2"/>
  <c r="Y161" i="2" s="1"/>
  <c r="E162" i="2"/>
  <c r="Y162" i="2" s="1"/>
  <c r="E163" i="2"/>
  <c r="Y163" i="2" s="1"/>
  <c r="E164" i="2"/>
  <c r="Y164" i="2" s="1"/>
  <c r="E165" i="2"/>
  <c r="Y165" i="2" s="1"/>
  <c r="E166" i="2"/>
  <c r="Y166" i="2" s="1"/>
  <c r="E167" i="2"/>
  <c r="Y167" i="2" s="1"/>
  <c r="E168" i="2"/>
  <c r="Y168" i="2" s="1"/>
  <c r="E169" i="2"/>
  <c r="Y169" i="2" s="1"/>
  <c r="E170" i="2"/>
  <c r="Y170" i="2" s="1"/>
  <c r="E171" i="2"/>
  <c r="Y171" i="2" s="1"/>
  <c r="E172" i="2"/>
  <c r="Y172" i="2" s="1"/>
  <c r="E173" i="2"/>
  <c r="Y173" i="2" s="1"/>
  <c r="E174" i="2"/>
  <c r="Y174" i="2" s="1"/>
  <c r="E175" i="2"/>
  <c r="Y175" i="2" s="1"/>
  <c r="E176" i="2"/>
  <c r="Y176" i="2" s="1"/>
  <c r="E177" i="2"/>
  <c r="Y177" i="2" s="1"/>
  <c r="E178" i="2"/>
  <c r="Y178" i="2" s="1"/>
  <c r="E179" i="2"/>
  <c r="Y179" i="2" s="1"/>
  <c r="E180" i="2"/>
  <c r="Y180" i="2" s="1"/>
  <c r="E181" i="2"/>
  <c r="Y181" i="2" s="1"/>
  <c r="E182" i="2"/>
  <c r="Y182" i="2" s="1"/>
  <c r="E183" i="2"/>
  <c r="Y183" i="2" s="1"/>
  <c r="E184" i="2"/>
  <c r="Y184" i="2" s="1"/>
  <c r="E185" i="2"/>
  <c r="Y185" i="2" s="1"/>
  <c r="E186" i="2"/>
  <c r="Y186" i="2" s="1"/>
  <c r="E187" i="2"/>
  <c r="Y187" i="2" s="1"/>
  <c r="E188" i="2"/>
  <c r="Y188" i="2" s="1"/>
  <c r="E189" i="2"/>
  <c r="Y189" i="2" s="1"/>
  <c r="E190" i="2"/>
  <c r="Y190" i="2" s="1"/>
  <c r="E191" i="2"/>
  <c r="Y191" i="2" s="1"/>
  <c r="E192" i="2"/>
  <c r="Y192" i="2" s="1"/>
  <c r="E193" i="2"/>
  <c r="Y193" i="2" s="1"/>
  <c r="E194" i="2"/>
  <c r="Y194" i="2" s="1"/>
  <c r="E195" i="2"/>
  <c r="Y195" i="2" s="1"/>
  <c r="E196" i="2"/>
  <c r="Y196" i="2" s="1"/>
  <c r="E197" i="2"/>
  <c r="Y197" i="2" s="1"/>
  <c r="E198" i="2"/>
  <c r="Y198" i="2" s="1"/>
  <c r="E199" i="2"/>
  <c r="Y199" i="2" s="1"/>
  <c r="E200" i="2"/>
  <c r="Y200" i="2" s="1"/>
  <c r="E201" i="2"/>
  <c r="Y201" i="2" s="1"/>
  <c r="E202" i="2"/>
  <c r="Y202" i="2" s="1"/>
  <c r="E203" i="2"/>
  <c r="Y203" i="2" s="1"/>
  <c r="E204" i="2"/>
  <c r="Y204" i="2" s="1"/>
  <c r="E205" i="2"/>
  <c r="Y205" i="2" s="1"/>
  <c r="E206" i="2"/>
  <c r="Y206" i="2" s="1"/>
  <c r="E207" i="2"/>
  <c r="Y207" i="2" s="1"/>
  <c r="E208" i="2"/>
  <c r="Y208" i="2" s="1"/>
  <c r="E209" i="2"/>
  <c r="Y209" i="2" s="1"/>
  <c r="E210" i="2"/>
  <c r="Y210" i="2" s="1"/>
  <c r="E211" i="2"/>
  <c r="Y211" i="2" s="1"/>
  <c r="E212" i="2"/>
  <c r="Y212" i="2" s="1"/>
  <c r="E213" i="2"/>
  <c r="Y213" i="2" s="1"/>
  <c r="E214" i="2"/>
  <c r="Y214" i="2" s="1"/>
  <c r="E215" i="2"/>
  <c r="Y215" i="2" s="1"/>
  <c r="E216" i="2"/>
  <c r="Y216" i="2" s="1"/>
  <c r="E217" i="2"/>
  <c r="Y217" i="2" s="1"/>
  <c r="E218" i="2"/>
  <c r="Y218" i="2" s="1"/>
  <c r="E219" i="2"/>
  <c r="Y219" i="2" s="1"/>
  <c r="E220" i="2"/>
  <c r="Y220" i="2" s="1"/>
  <c r="E221" i="2"/>
  <c r="Y221" i="2" s="1"/>
  <c r="E222" i="2"/>
  <c r="Y222" i="2" s="1"/>
  <c r="E223" i="2"/>
  <c r="Y223" i="2" s="1"/>
  <c r="E224" i="2"/>
  <c r="Y224" i="2" s="1"/>
  <c r="E225" i="2"/>
  <c r="Y225" i="2" s="1"/>
  <c r="E226" i="2"/>
  <c r="Y226" i="2" s="1"/>
  <c r="E227" i="2"/>
  <c r="Y227" i="2" s="1"/>
  <c r="E228" i="2"/>
  <c r="Y228" i="2" s="1"/>
  <c r="E229" i="2"/>
  <c r="Y229" i="2" s="1"/>
  <c r="E230" i="2"/>
  <c r="Y230" i="2" s="1"/>
  <c r="E231" i="2"/>
  <c r="Y231" i="2" s="1"/>
  <c r="E232" i="2"/>
  <c r="Y232" i="2" s="1"/>
  <c r="E233" i="2"/>
  <c r="Y233" i="2" s="1"/>
  <c r="E234" i="2"/>
  <c r="Y234" i="2" s="1"/>
  <c r="E235" i="2"/>
  <c r="Y235" i="2" s="1"/>
  <c r="E236" i="2"/>
  <c r="Y236" i="2" s="1"/>
  <c r="E237" i="2"/>
  <c r="Y237" i="2" s="1"/>
  <c r="E238" i="2"/>
  <c r="Y238" i="2" s="1"/>
  <c r="E239" i="2"/>
  <c r="Y239" i="2" s="1"/>
  <c r="E240" i="2"/>
  <c r="Y240" i="2" s="1"/>
  <c r="E241" i="2"/>
  <c r="Y241" i="2" s="1"/>
  <c r="E242" i="2"/>
  <c r="Y242" i="2" s="1"/>
  <c r="E243" i="2"/>
  <c r="Y243" i="2" s="1"/>
  <c r="E244" i="2"/>
  <c r="Y244" i="2" s="1"/>
  <c r="E245" i="2"/>
  <c r="Y245" i="2" s="1"/>
  <c r="E246" i="2"/>
  <c r="Y246" i="2" s="1"/>
  <c r="E247" i="2"/>
  <c r="Y247" i="2" s="1"/>
  <c r="E248" i="2"/>
  <c r="Y248" i="2" s="1"/>
  <c r="E249" i="2"/>
  <c r="Y249" i="2" s="1"/>
  <c r="E250" i="2"/>
  <c r="Y250" i="2" s="1"/>
  <c r="E251" i="2"/>
  <c r="Y251" i="2" s="1"/>
  <c r="E252" i="2"/>
  <c r="Y252" i="2" s="1"/>
  <c r="E253" i="2"/>
  <c r="Y253" i="2" s="1"/>
  <c r="E254" i="2"/>
  <c r="Y254" i="2" s="1"/>
  <c r="E255" i="2"/>
  <c r="Y255" i="2" s="1"/>
  <c r="E256" i="2"/>
  <c r="Y256" i="2" s="1"/>
  <c r="E257" i="2"/>
  <c r="Y257" i="2" s="1"/>
  <c r="E258" i="2"/>
  <c r="Y258" i="2" s="1"/>
  <c r="E259" i="2"/>
  <c r="Y259" i="2" s="1"/>
  <c r="E260" i="2"/>
  <c r="Y260" i="2" s="1"/>
  <c r="E261" i="2"/>
  <c r="Y261" i="2" s="1"/>
  <c r="E262" i="2"/>
  <c r="Y262" i="2" s="1"/>
  <c r="E263" i="2"/>
  <c r="Y263" i="2" s="1"/>
  <c r="E264" i="2"/>
  <c r="Y264" i="2" s="1"/>
  <c r="E265" i="2"/>
  <c r="Y265" i="2" s="1"/>
  <c r="E266" i="2"/>
  <c r="Y266" i="2" s="1"/>
  <c r="E267" i="2"/>
  <c r="Y267" i="2" s="1"/>
  <c r="E268" i="2"/>
  <c r="Y268" i="2" s="1"/>
  <c r="E269" i="2"/>
  <c r="Y269" i="2" s="1"/>
  <c r="E270" i="2"/>
  <c r="Y270" i="2" s="1"/>
  <c r="E271" i="2"/>
  <c r="Y271" i="2" s="1"/>
  <c r="E272" i="2"/>
  <c r="Y272" i="2" s="1"/>
  <c r="E273" i="2"/>
  <c r="Y273" i="2" s="1"/>
  <c r="E274" i="2"/>
  <c r="Y274" i="2" s="1"/>
  <c r="E275" i="2"/>
  <c r="Y275" i="2" s="1"/>
  <c r="E276" i="2"/>
  <c r="Y276" i="2" s="1"/>
  <c r="E277" i="2"/>
  <c r="Y277" i="2" s="1"/>
  <c r="E278" i="2"/>
  <c r="Y278" i="2" s="1"/>
  <c r="E279" i="2"/>
  <c r="Y279" i="2" s="1"/>
  <c r="E280" i="2"/>
  <c r="Y280" i="2" s="1"/>
  <c r="E281" i="2"/>
  <c r="Y281" i="2" s="1"/>
  <c r="E282" i="2"/>
  <c r="Y282" i="2" s="1"/>
  <c r="E283" i="2"/>
  <c r="Y283" i="2" s="1"/>
  <c r="E284" i="2"/>
  <c r="Y284" i="2" s="1"/>
  <c r="E285" i="2"/>
  <c r="Y285" i="2" s="1"/>
  <c r="E286" i="2"/>
  <c r="Y286" i="2" s="1"/>
  <c r="E287" i="2"/>
  <c r="Y287" i="2" s="1"/>
  <c r="E288" i="2"/>
  <c r="Y288" i="2" s="1"/>
  <c r="E289" i="2"/>
  <c r="Y289" i="2" s="1"/>
  <c r="E290" i="2"/>
  <c r="Y290" i="2" s="1"/>
  <c r="E291" i="2"/>
  <c r="Y291" i="2" s="1"/>
  <c r="E292" i="2"/>
  <c r="Y292" i="2" s="1"/>
  <c r="E293" i="2"/>
  <c r="Y293" i="2" s="1"/>
  <c r="E294" i="2"/>
  <c r="Y294" i="2" s="1"/>
  <c r="E295" i="2"/>
  <c r="Y295" i="2" s="1"/>
  <c r="E296" i="2"/>
  <c r="Y296" i="2" s="1"/>
  <c r="E297" i="2"/>
  <c r="Y297" i="2" s="1"/>
  <c r="E298" i="2"/>
  <c r="Y298" i="2" s="1"/>
  <c r="E299" i="2"/>
  <c r="Y299" i="2" s="1"/>
  <c r="E300" i="2"/>
  <c r="Y300" i="2" s="1"/>
  <c r="E301" i="2"/>
  <c r="Y301" i="2" s="1"/>
  <c r="E302" i="2"/>
  <c r="Y302" i="2" s="1"/>
  <c r="E303" i="2"/>
  <c r="Y303" i="2" s="1"/>
  <c r="E304" i="2"/>
  <c r="Y304" i="2" s="1"/>
  <c r="E305" i="2"/>
  <c r="Y305" i="2" s="1"/>
  <c r="E306" i="2"/>
  <c r="Y306" i="2" s="1"/>
  <c r="E307" i="2"/>
  <c r="Y307" i="2" s="1"/>
  <c r="E308" i="2"/>
  <c r="Y308" i="2" s="1"/>
  <c r="E309" i="2"/>
  <c r="Y309" i="2" s="1"/>
  <c r="E310" i="2"/>
  <c r="Y310" i="2" s="1"/>
  <c r="E311" i="2"/>
  <c r="Y311" i="2" s="1"/>
  <c r="E312" i="2"/>
  <c r="Y312" i="2" s="1"/>
  <c r="E313" i="2"/>
  <c r="Y313" i="2" s="1"/>
  <c r="E314" i="2"/>
  <c r="Y314" i="2" s="1"/>
  <c r="E315" i="2"/>
  <c r="Y315" i="2" s="1"/>
  <c r="E316" i="2"/>
  <c r="Y316" i="2" s="1"/>
  <c r="E317" i="2"/>
  <c r="Y317" i="2" s="1"/>
  <c r="E318" i="2"/>
  <c r="Y318" i="2" s="1"/>
  <c r="E319" i="2"/>
  <c r="Y319" i="2" s="1"/>
  <c r="E320" i="2"/>
  <c r="Y320" i="2" s="1"/>
  <c r="E321" i="2"/>
  <c r="Y321" i="2" s="1"/>
  <c r="E322" i="2"/>
  <c r="Y322" i="2" s="1"/>
  <c r="E323" i="2"/>
  <c r="Y323" i="2" s="1"/>
  <c r="E324" i="2"/>
  <c r="Y324" i="2" s="1"/>
  <c r="E325" i="2"/>
  <c r="Y325" i="2" s="1"/>
  <c r="E326" i="2"/>
  <c r="Y326" i="2" s="1"/>
  <c r="E327" i="2"/>
  <c r="Y327" i="2" s="1"/>
  <c r="E328" i="2"/>
  <c r="Y328" i="2" s="1"/>
  <c r="E329" i="2"/>
  <c r="Y329" i="2" s="1"/>
  <c r="E330" i="2"/>
  <c r="Y330" i="2" s="1"/>
  <c r="E331" i="2"/>
  <c r="Y331" i="2" s="1"/>
  <c r="E332" i="2"/>
  <c r="Y332" i="2" s="1"/>
  <c r="E333" i="2"/>
  <c r="Y333" i="2" s="1"/>
  <c r="E334" i="2"/>
  <c r="Y334" i="2" s="1"/>
  <c r="E335" i="2"/>
  <c r="Y335" i="2" s="1"/>
  <c r="E336" i="2"/>
  <c r="Y336" i="2" s="1"/>
  <c r="E337" i="2"/>
  <c r="Y337" i="2" s="1"/>
  <c r="E338" i="2"/>
  <c r="Y338" i="2" s="1"/>
  <c r="E339" i="2"/>
  <c r="Y339" i="2" s="1"/>
  <c r="E340" i="2"/>
  <c r="Y340" i="2" s="1"/>
  <c r="E341" i="2"/>
  <c r="Y341" i="2" s="1"/>
  <c r="E342" i="2"/>
  <c r="Y342" i="2" s="1"/>
  <c r="E343" i="2"/>
  <c r="Y343" i="2" s="1"/>
  <c r="E344" i="2"/>
  <c r="Y344" i="2" s="1"/>
  <c r="E345" i="2"/>
  <c r="Y345" i="2" s="1"/>
  <c r="E346" i="2"/>
  <c r="Y346" i="2" s="1"/>
  <c r="E347" i="2"/>
  <c r="Y347" i="2" s="1"/>
  <c r="E348" i="2"/>
  <c r="Y348" i="2" s="1"/>
  <c r="E349" i="2"/>
  <c r="Y349" i="2" s="1"/>
  <c r="E350" i="2"/>
  <c r="Y350" i="2" s="1"/>
  <c r="E351" i="2"/>
  <c r="Y351" i="2" s="1"/>
  <c r="E352" i="2"/>
  <c r="Y352" i="2" s="1"/>
  <c r="E353" i="2"/>
  <c r="Y353" i="2" s="1"/>
  <c r="E354" i="2"/>
  <c r="Y354" i="2" s="1"/>
  <c r="E355" i="2"/>
  <c r="Y355" i="2" s="1"/>
  <c r="E356" i="2"/>
  <c r="Y356" i="2" s="1"/>
  <c r="E357" i="2"/>
  <c r="Y357" i="2" s="1"/>
  <c r="E358" i="2"/>
  <c r="E359" i="2"/>
  <c r="Y359" i="2" s="1"/>
  <c r="E360" i="2"/>
  <c r="Y360" i="2" s="1"/>
  <c r="E361" i="2"/>
  <c r="Y361" i="2" s="1"/>
  <c r="E362" i="2"/>
  <c r="Y362" i="2" s="1"/>
  <c r="E363" i="2"/>
  <c r="Y363" i="2" s="1"/>
  <c r="E364" i="2"/>
  <c r="Y364" i="2" s="1"/>
  <c r="E365" i="2"/>
  <c r="Y365" i="2" s="1"/>
  <c r="E366" i="2"/>
  <c r="Y366" i="2" s="1"/>
  <c r="E367" i="2"/>
  <c r="Y367" i="2" s="1"/>
  <c r="E368" i="2"/>
  <c r="Y368" i="2" s="1"/>
  <c r="E369" i="2"/>
  <c r="Y369" i="2" s="1"/>
  <c r="E370" i="2"/>
  <c r="Y370" i="2" s="1"/>
  <c r="E371" i="2"/>
  <c r="Y371" i="2" s="1"/>
  <c r="E372" i="2"/>
  <c r="Y372" i="2" s="1"/>
  <c r="E373" i="2"/>
  <c r="Y373" i="2" s="1"/>
  <c r="E374" i="2"/>
  <c r="Y374" i="2" s="1"/>
  <c r="E375" i="2"/>
  <c r="Y375" i="2" s="1"/>
  <c r="E376" i="2"/>
  <c r="Y376" i="2" s="1"/>
  <c r="E377" i="2"/>
  <c r="Y377" i="2" s="1"/>
  <c r="E378" i="2"/>
  <c r="Y378" i="2" s="1"/>
  <c r="E379" i="2"/>
  <c r="Y379" i="2" s="1"/>
  <c r="E380" i="2"/>
  <c r="Y380" i="2" s="1"/>
  <c r="E381" i="2"/>
  <c r="Y381" i="2" s="1"/>
  <c r="E382" i="2"/>
  <c r="Y382" i="2" s="1"/>
  <c r="E383" i="2"/>
  <c r="Y383" i="2" s="1"/>
  <c r="E384" i="2"/>
  <c r="Y384" i="2" s="1"/>
  <c r="E385" i="2"/>
  <c r="Y385" i="2" s="1"/>
  <c r="E386" i="2"/>
  <c r="Y386" i="2" s="1"/>
  <c r="E387" i="2"/>
  <c r="Y387" i="2" s="1"/>
  <c r="E388" i="2"/>
  <c r="Y388" i="2" s="1"/>
  <c r="E389" i="2"/>
  <c r="Y389" i="2" s="1"/>
  <c r="E390" i="2"/>
  <c r="E391" i="2"/>
  <c r="Y391" i="2" s="1"/>
  <c r="E392" i="2"/>
  <c r="Y392" i="2" s="1"/>
  <c r="E393" i="2"/>
  <c r="Y393" i="2" s="1"/>
  <c r="E394" i="2"/>
  <c r="Y394" i="2" s="1"/>
  <c r="E395" i="2"/>
  <c r="Y395" i="2" s="1"/>
  <c r="E396" i="2"/>
  <c r="Y396" i="2" s="1"/>
  <c r="E397" i="2"/>
  <c r="Y397" i="2" s="1"/>
  <c r="E398" i="2"/>
  <c r="Y398" i="2" s="1"/>
  <c r="E399" i="2"/>
  <c r="Y399" i="2" s="1"/>
  <c r="E400" i="2"/>
  <c r="Y400" i="2" s="1"/>
  <c r="E401" i="2"/>
  <c r="Y401" i="2" s="1"/>
  <c r="E402" i="2"/>
  <c r="Y402" i="2" s="1"/>
  <c r="E403" i="2"/>
  <c r="Y403" i="2" s="1"/>
  <c r="E404" i="2"/>
  <c r="Y404" i="2" s="1"/>
  <c r="E405" i="2"/>
  <c r="Y405" i="2" s="1"/>
  <c r="E406" i="2"/>
  <c r="Y406" i="2" s="1"/>
  <c r="E407" i="2"/>
  <c r="Y407" i="2" s="1"/>
  <c r="E408" i="2"/>
  <c r="Y408" i="2" s="1"/>
  <c r="E409" i="2"/>
  <c r="Y409" i="2" s="1"/>
  <c r="E410" i="2"/>
  <c r="Y410" i="2" s="1"/>
  <c r="E411" i="2"/>
  <c r="Y411" i="2" s="1"/>
  <c r="E412" i="2"/>
  <c r="Y412" i="2" s="1"/>
  <c r="E413" i="2"/>
  <c r="Y413" i="2" s="1"/>
  <c r="E414" i="2"/>
  <c r="Y414" i="2" s="1"/>
  <c r="E415" i="2"/>
  <c r="Y415" i="2" s="1"/>
  <c r="E416" i="2"/>
  <c r="Y416" i="2" s="1"/>
  <c r="E417" i="2"/>
  <c r="Y417" i="2" s="1"/>
  <c r="E418" i="2"/>
  <c r="Y418" i="2" s="1"/>
  <c r="E419" i="2"/>
  <c r="Y419" i="2" s="1"/>
  <c r="E420" i="2"/>
  <c r="Y420" i="2" s="1"/>
  <c r="E421" i="2"/>
  <c r="Y421" i="2" s="1"/>
  <c r="E422" i="2"/>
  <c r="Y422" i="2" s="1"/>
  <c r="E423" i="2"/>
  <c r="Y423" i="2" s="1"/>
  <c r="E424" i="2"/>
  <c r="Y424" i="2" s="1"/>
  <c r="E425" i="2"/>
  <c r="Y425" i="2" s="1"/>
  <c r="E426" i="2"/>
  <c r="Y426" i="2" s="1"/>
  <c r="E427" i="2"/>
  <c r="Y427" i="2" s="1"/>
  <c r="E428" i="2"/>
  <c r="Y428" i="2" s="1"/>
  <c r="E429" i="2"/>
  <c r="Y429" i="2" s="1"/>
  <c r="E430" i="2"/>
  <c r="Y430" i="2" s="1"/>
  <c r="E431" i="2"/>
  <c r="Y431" i="2" s="1"/>
  <c r="E432" i="2"/>
  <c r="Y432" i="2" s="1"/>
  <c r="E433" i="2"/>
  <c r="Y433" i="2" s="1"/>
  <c r="E434" i="2"/>
  <c r="Y434" i="2" s="1"/>
  <c r="E435" i="2"/>
  <c r="Y435" i="2" s="1"/>
  <c r="E436" i="2"/>
  <c r="Y436" i="2" s="1"/>
  <c r="E437" i="2"/>
  <c r="Y437" i="2" s="1"/>
  <c r="E438" i="2"/>
  <c r="Y438" i="2" s="1"/>
  <c r="E439" i="2"/>
  <c r="Y439" i="2" s="1"/>
  <c r="E440" i="2"/>
  <c r="Y440" i="2" s="1"/>
  <c r="E441" i="2"/>
  <c r="Y441" i="2" s="1"/>
  <c r="E442" i="2"/>
  <c r="Y442" i="2" s="1"/>
  <c r="E443" i="2"/>
  <c r="Y443" i="2" s="1"/>
  <c r="E444" i="2"/>
  <c r="Y444" i="2" s="1"/>
  <c r="E445" i="2"/>
  <c r="Y445" i="2" s="1"/>
  <c r="E446" i="2"/>
  <c r="Y446" i="2" s="1"/>
  <c r="E447" i="2"/>
  <c r="Y447" i="2" s="1"/>
  <c r="E448" i="2"/>
  <c r="Y448" i="2" s="1"/>
  <c r="E449" i="2"/>
  <c r="Y449" i="2" s="1"/>
  <c r="E450" i="2"/>
  <c r="Y450" i="2" s="1"/>
  <c r="E451" i="2"/>
  <c r="Y451" i="2" s="1"/>
  <c r="E452" i="2"/>
  <c r="Y452" i="2" s="1"/>
  <c r="E453" i="2"/>
  <c r="Y453" i="2" s="1"/>
  <c r="E454" i="2"/>
  <c r="Y454" i="2" s="1"/>
  <c r="E455" i="2"/>
  <c r="Y455" i="2" s="1"/>
  <c r="E456" i="2"/>
  <c r="Y456" i="2" s="1"/>
  <c r="E457" i="2"/>
  <c r="Y457" i="2" s="1"/>
  <c r="E458" i="2"/>
  <c r="Y458" i="2" s="1"/>
  <c r="E459" i="2"/>
  <c r="Y459" i="2" s="1"/>
  <c r="E460" i="2"/>
  <c r="Y460" i="2" s="1"/>
  <c r="E461" i="2"/>
  <c r="Y461" i="2" s="1"/>
  <c r="E462" i="2"/>
  <c r="Y462" i="2" s="1"/>
  <c r="E463" i="2"/>
  <c r="Y463" i="2" s="1"/>
  <c r="E464" i="2"/>
  <c r="Y464" i="2" s="1"/>
  <c r="E465" i="2"/>
  <c r="Y465" i="2" s="1"/>
  <c r="E466" i="2"/>
  <c r="Y466" i="2" s="1"/>
  <c r="E467" i="2"/>
  <c r="Y467" i="2" s="1"/>
  <c r="E468" i="2"/>
  <c r="Y468" i="2" s="1"/>
  <c r="E469" i="2"/>
  <c r="Y469" i="2" s="1"/>
  <c r="E470" i="2"/>
  <c r="Y470" i="2" s="1"/>
  <c r="E471" i="2"/>
  <c r="Y471" i="2" s="1"/>
  <c r="E472" i="2"/>
  <c r="Y472" i="2" s="1"/>
  <c r="E473" i="2"/>
  <c r="Y473" i="2" s="1"/>
  <c r="E474" i="2"/>
  <c r="Y474" i="2" s="1"/>
  <c r="E475" i="2"/>
  <c r="Y475" i="2" s="1"/>
  <c r="E476" i="2"/>
  <c r="Y476" i="2" s="1"/>
  <c r="E477" i="2"/>
  <c r="Y477" i="2" s="1"/>
  <c r="E478" i="2"/>
  <c r="Y478" i="2" s="1"/>
  <c r="E479" i="2"/>
  <c r="Y479" i="2" s="1"/>
  <c r="E480" i="2"/>
  <c r="Y480" i="2" s="1"/>
  <c r="E481" i="2"/>
  <c r="Y481" i="2" s="1"/>
  <c r="E482" i="2"/>
  <c r="Y482" i="2" s="1"/>
  <c r="E483" i="2"/>
  <c r="Y483" i="2" s="1"/>
  <c r="E484" i="2"/>
  <c r="Y484" i="2" s="1"/>
  <c r="E485" i="2"/>
  <c r="Y485" i="2" s="1"/>
  <c r="E486" i="2"/>
  <c r="Y486" i="2" s="1"/>
  <c r="E487" i="2"/>
  <c r="Y487" i="2" s="1"/>
  <c r="E488" i="2"/>
  <c r="Y488" i="2" s="1"/>
  <c r="E489" i="2"/>
  <c r="Y489" i="2" s="1"/>
  <c r="E490" i="2"/>
  <c r="Y490" i="2" s="1"/>
  <c r="E491" i="2"/>
  <c r="Y491" i="2" s="1"/>
  <c r="E492" i="2"/>
  <c r="Y492" i="2" s="1"/>
  <c r="E493" i="2"/>
  <c r="Y493" i="2" s="1"/>
  <c r="E494" i="2"/>
  <c r="Y494" i="2" s="1"/>
  <c r="E495" i="2"/>
  <c r="Y495" i="2" s="1"/>
  <c r="E496" i="2"/>
  <c r="Y496" i="2" s="1"/>
  <c r="E497" i="2"/>
  <c r="Y497" i="2" s="1"/>
  <c r="E498" i="2"/>
  <c r="Y498" i="2" s="1"/>
  <c r="E499" i="2"/>
  <c r="Y499" i="2" s="1"/>
  <c r="E500" i="2"/>
  <c r="Y500" i="2" s="1"/>
  <c r="E501" i="2"/>
  <c r="Y501" i="2" s="1"/>
  <c r="E502" i="2"/>
  <c r="Y502" i="2" s="1"/>
  <c r="E503" i="2"/>
  <c r="Y503" i="2" s="1"/>
  <c r="E504" i="2"/>
  <c r="Y504" i="2" s="1"/>
  <c r="E505" i="2"/>
  <c r="Y505" i="2" s="1"/>
  <c r="E506" i="2"/>
  <c r="Y506" i="2" s="1"/>
  <c r="E507" i="2"/>
  <c r="Y507" i="2" s="1"/>
  <c r="E508" i="2"/>
  <c r="Y508" i="2" s="1"/>
  <c r="E509" i="2"/>
  <c r="Y509" i="2" s="1"/>
  <c r="E510" i="2"/>
  <c r="Y510" i="2" s="1"/>
  <c r="E511" i="2"/>
  <c r="Y511" i="2" s="1"/>
  <c r="E512" i="2"/>
  <c r="Y512" i="2" s="1"/>
  <c r="E513" i="2"/>
  <c r="Y513" i="2" s="1"/>
  <c r="E514" i="2"/>
  <c r="Y514" i="2" s="1"/>
  <c r="E515" i="2"/>
  <c r="Y515" i="2" s="1"/>
  <c r="E516" i="2"/>
  <c r="Y516" i="2" s="1"/>
  <c r="E517" i="2"/>
  <c r="Y517" i="2" s="1"/>
  <c r="E518" i="2"/>
  <c r="Y518" i="2" s="1"/>
  <c r="E519" i="2"/>
  <c r="Y519" i="2" s="1"/>
  <c r="E520" i="2"/>
  <c r="Y520" i="2" s="1"/>
  <c r="E521" i="2"/>
  <c r="Y521" i="2" s="1"/>
  <c r="E522" i="2"/>
  <c r="Y522" i="2" s="1"/>
  <c r="E523" i="2"/>
  <c r="Y523" i="2" s="1"/>
  <c r="E524" i="2"/>
  <c r="Y524" i="2" s="1"/>
  <c r="E525" i="2"/>
  <c r="Y525" i="2" s="1"/>
  <c r="E526" i="2"/>
  <c r="Y526" i="2" s="1"/>
  <c r="E527" i="2"/>
  <c r="Y527" i="2" s="1"/>
  <c r="E528" i="2"/>
  <c r="Y528" i="2" s="1"/>
  <c r="E529" i="2"/>
  <c r="Y529" i="2" s="1"/>
  <c r="E530" i="2"/>
  <c r="Y530" i="2" s="1"/>
  <c r="E531" i="2"/>
  <c r="Y531" i="2" s="1"/>
  <c r="E532" i="2"/>
  <c r="Y532" i="2" s="1"/>
  <c r="E533" i="2"/>
  <c r="Y533" i="2" s="1"/>
  <c r="E534" i="2"/>
  <c r="Y534" i="2" s="1"/>
  <c r="E535" i="2"/>
  <c r="Y535" i="2" s="1"/>
  <c r="E536" i="2"/>
  <c r="Y536" i="2" s="1"/>
  <c r="E537" i="2"/>
  <c r="Y537" i="2" s="1"/>
  <c r="E538" i="2"/>
  <c r="Y538" i="2" s="1"/>
  <c r="E539" i="2"/>
  <c r="Y539" i="2" s="1"/>
  <c r="E540" i="2"/>
  <c r="Y540" i="2" s="1"/>
  <c r="E541" i="2"/>
  <c r="Y541" i="2" s="1"/>
  <c r="E542" i="2"/>
  <c r="Y542" i="2" s="1"/>
  <c r="E543" i="2"/>
  <c r="Y543" i="2" s="1"/>
  <c r="E544" i="2"/>
  <c r="Y544" i="2" s="1"/>
  <c r="E545" i="2"/>
  <c r="Y545" i="2" s="1"/>
  <c r="E546" i="2"/>
  <c r="Y546" i="2" s="1"/>
  <c r="E547" i="2"/>
  <c r="Y547" i="2" s="1"/>
  <c r="E548" i="2"/>
  <c r="Y548" i="2" s="1"/>
  <c r="E549" i="2"/>
  <c r="Y549" i="2" s="1"/>
  <c r="E550" i="2"/>
  <c r="Y550" i="2" s="1"/>
  <c r="E551" i="2"/>
  <c r="Y551" i="2" s="1"/>
  <c r="E552" i="2"/>
  <c r="Y552" i="2" s="1"/>
  <c r="E553" i="2"/>
  <c r="Y553" i="2" s="1"/>
  <c r="E554" i="2"/>
  <c r="Y554" i="2" s="1"/>
  <c r="E555" i="2"/>
  <c r="Y555" i="2" s="1"/>
  <c r="E556" i="2"/>
  <c r="Y556" i="2" s="1"/>
  <c r="E557" i="2"/>
  <c r="Y557" i="2" s="1"/>
  <c r="E558" i="2"/>
  <c r="Y558" i="2" s="1"/>
  <c r="E559" i="2"/>
  <c r="Y559" i="2" s="1"/>
  <c r="E560" i="2"/>
  <c r="Y560" i="2" s="1"/>
  <c r="E561" i="2"/>
  <c r="Y561" i="2" s="1"/>
  <c r="E562" i="2"/>
  <c r="Y562" i="2" s="1"/>
  <c r="E563" i="2"/>
  <c r="Y563" i="2" s="1"/>
  <c r="E564" i="2"/>
  <c r="Y564" i="2" s="1"/>
  <c r="E565" i="2"/>
  <c r="Y565" i="2" s="1"/>
  <c r="E566" i="2"/>
  <c r="Y566" i="2" s="1"/>
  <c r="E567" i="2"/>
  <c r="Y567" i="2" s="1"/>
  <c r="E568" i="2"/>
  <c r="Y568" i="2" s="1"/>
  <c r="E569" i="2"/>
  <c r="Y569" i="2" s="1"/>
  <c r="E570" i="2"/>
  <c r="Y570" i="2" s="1"/>
  <c r="E571" i="2"/>
  <c r="Y571" i="2" s="1"/>
  <c r="E572" i="2"/>
  <c r="Y572" i="2" s="1"/>
  <c r="E573" i="2"/>
  <c r="Y573" i="2" s="1"/>
  <c r="E574" i="2"/>
  <c r="Y574" i="2" s="1"/>
  <c r="E575" i="2"/>
  <c r="Y575" i="2" s="1"/>
  <c r="E576" i="2"/>
  <c r="Y576" i="2" s="1"/>
  <c r="E577" i="2"/>
  <c r="Y577" i="2" s="1"/>
  <c r="E578" i="2"/>
  <c r="Y578" i="2" s="1"/>
  <c r="E579" i="2"/>
  <c r="Y579" i="2" s="1"/>
  <c r="E580" i="2"/>
  <c r="Y580" i="2" s="1"/>
  <c r="E581" i="2"/>
  <c r="Y581" i="2" s="1"/>
  <c r="E582" i="2"/>
  <c r="Y582" i="2" s="1"/>
  <c r="E583" i="2"/>
  <c r="Y583" i="2" s="1"/>
  <c r="E584" i="2"/>
  <c r="Y584" i="2" s="1"/>
  <c r="E585" i="2"/>
  <c r="Y585" i="2" s="1"/>
  <c r="E586" i="2"/>
  <c r="Y586" i="2" s="1"/>
  <c r="E587" i="2"/>
  <c r="Y587" i="2" s="1"/>
  <c r="E588" i="2"/>
  <c r="Y588" i="2" s="1"/>
  <c r="E589" i="2"/>
  <c r="Y589" i="2" s="1"/>
  <c r="E590" i="2"/>
  <c r="Y590" i="2" s="1"/>
  <c r="E591" i="2"/>
  <c r="Y591" i="2" s="1"/>
  <c r="E592" i="2"/>
  <c r="Y592" i="2" s="1"/>
  <c r="E593" i="2"/>
  <c r="Y593" i="2" s="1"/>
  <c r="E594" i="2"/>
  <c r="Y594" i="2" s="1"/>
  <c r="E595" i="2"/>
  <c r="Y595" i="2" s="1"/>
  <c r="E596" i="2"/>
  <c r="Y596" i="2" s="1"/>
  <c r="E597" i="2"/>
  <c r="Y597" i="2" s="1"/>
  <c r="E598" i="2"/>
  <c r="Y598" i="2" s="1"/>
  <c r="E599" i="2"/>
  <c r="Y599" i="2" s="1"/>
  <c r="E600" i="2"/>
  <c r="E601" i="2"/>
  <c r="Y601" i="2" s="1"/>
  <c r="E602" i="2"/>
  <c r="Y602" i="2" s="1"/>
  <c r="E603" i="2"/>
  <c r="Y603" i="2" s="1"/>
  <c r="E604" i="2"/>
  <c r="Y604" i="2" s="1"/>
  <c r="E605" i="2"/>
  <c r="Y605" i="2" s="1"/>
  <c r="E606" i="2"/>
  <c r="Y606" i="2" s="1"/>
  <c r="E607" i="2"/>
  <c r="Y607" i="2" s="1"/>
  <c r="E608" i="2"/>
  <c r="Y608" i="2" s="1"/>
  <c r="E609" i="2"/>
  <c r="Y609" i="2" s="1"/>
  <c r="E610" i="2"/>
  <c r="Y610" i="2" s="1"/>
  <c r="E611" i="2"/>
  <c r="Y611" i="2" s="1"/>
  <c r="E612" i="2"/>
  <c r="Y612" i="2" s="1"/>
  <c r="E613" i="2"/>
  <c r="Y613" i="2" s="1"/>
  <c r="E614" i="2"/>
  <c r="Y614" i="2" s="1"/>
  <c r="E615" i="2"/>
  <c r="Y615" i="2" s="1"/>
  <c r="E616" i="2"/>
  <c r="Y616" i="2" s="1"/>
  <c r="E617" i="2"/>
  <c r="Y617" i="2" s="1"/>
  <c r="E618" i="2"/>
  <c r="Y618" i="2" s="1"/>
  <c r="E619" i="2"/>
  <c r="Y619" i="2" s="1"/>
  <c r="E620" i="2"/>
  <c r="Y620" i="2" s="1"/>
  <c r="E621" i="2"/>
  <c r="Y621" i="2" s="1"/>
  <c r="E622" i="2"/>
  <c r="Y622" i="2" s="1"/>
  <c r="E623" i="2"/>
  <c r="Y623" i="2" s="1"/>
  <c r="E624" i="2"/>
  <c r="Y624" i="2" s="1"/>
  <c r="E625" i="2"/>
  <c r="Y625" i="2" s="1"/>
  <c r="E626" i="2"/>
  <c r="Y626" i="2" s="1"/>
  <c r="E627" i="2"/>
  <c r="Y627" i="2" s="1"/>
  <c r="E628" i="2"/>
  <c r="Y628" i="2" s="1"/>
  <c r="E629" i="2"/>
  <c r="Y629" i="2" s="1"/>
  <c r="E630" i="2"/>
  <c r="Y630" i="2" s="1"/>
  <c r="E631" i="2"/>
  <c r="Y631" i="2" s="1"/>
  <c r="E632" i="2"/>
  <c r="Y632" i="2" s="1"/>
  <c r="E633" i="2"/>
  <c r="Y633" i="2" s="1"/>
  <c r="E634" i="2"/>
  <c r="Y634" i="2" s="1"/>
  <c r="E635" i="2"/>
  <c r="Y635" i="2" s="1"/>
  <c r="E636" i="2"/>
  <c r="Y636" i="2" s="1"/>
  <c r="E637" i="2"/>
  <c r="Y637" i="2" s="1"/>
  <c r="E638" i="2"/>
  <c r="Y638" i="2" s="1"/>
  <c r="E639" i="2"/>
  <c r="Y639" i="2" s="1"/>
  <c r="E640" i="2"/>
  <c r="Y640" i="2" s="1"/>
  <c r="E641" i="2"/>
  <c r="Y641" i="2" s="1"/>
  <c r="E642" i="2"/>
  <c r="Y642" i="2" s="1"/>
  <c r="E643" i="2"/>
  <c r="Y643" i="2" s="1"/>
  <c r="E644" i="2"/>
  <c r="Y644" i="2" s="1"/>
  <c r="E645" i="2"/>
  <c r="Y645" i="2" s="1"/>
  <c r="E646" i="2"/>
  <c r="Y646" i="2" s="1"/>
  <c r="E647" i="2"/>
  <c r="Y647" i="2" s="1"/>
  <c r="E648" i="2"/>
  <c r="Y648" i="2" s="1"/>
  <c r="E649" i="2"/>
  <c r="Y649" i="2" s="1"/>
  <c r="E650" i="2"/>
  <c r="Y650" i="2" s="1"/>
  <c r="E651" i="2"/>
  <c r="Y651" i="2" s="1"/>
  <c r="E652" i="2"/>
  <c r="Y652" i="2" s="1"/>
  <c r="E653" i="2"/>
  <c r="Y653" i="2" s="1"/>
  <c r="E654" i="2"/>
  <c r="Y654" i="2" s="1"/>
  <c r="E655" i="2"/>
  <c r="Y655" i="2" s="1"/>
  <c r="E656" i="2"/>
  <c r="Y656" i="2" s="1"/>
  <c r="E657" i="2"/>
  <c r="Y657" i="2" s="1"/>
  <c r="E658" i="2"/>
  <c r="Y658" i="2" s="1"/>
  <c r="E659" i="2"/>
  <c r="Y659" i="2" s="1"/>
  <c r="E660" i="2"/>
  <c r="Y660" i="2" s="1"/>
  <c r="E661" i="2"/>
  <c r="Y661" i="2" s="1"/>
  <c r="E662" i="2"/>
  <c r="Y662" i="2" s="1"/>
  <c r="E663" i="2"/>
  <c r="Y663" i="2" s="1"/>
  <c r="E664" i="2"/>
  <c r="Y664" i="2" s="1"/>
  <c r="E665" i="2"/>
  <c r="Y665" i="2" s="1"/>
  <c r="E666" i="2"/>
  <c r="Y666" i="2" s="1"/>
  <c r="E667" i="2"/>
  <c r="Y667" i="2" s="1"/>
  <c r="E668" i="2"/>
  <c r="Y668" i="2" s="1"/>
  <c r="E669" i="2"/>
  <c r="Y669" i="2" s="1"/>
  <c r="E670" i="2"/>
  <c r="Y670" i="2" s="1"/>
  <c r="E671" i="2"/>
  <c r="Y671" i="2" s="1"/>
  <c r="E672" i="2"/>
  <c r="Y672" i="2" s="1"/>
  <c r="E673" i="2"/>
  <c r="Y673" i="2" s="1"/>
  <c r="E674" i="2"/>
  <c r="Y674" i="2" s="1"/>
  <c r="E675" i="2"/>
  <c r="Y675" i="2" s="1"/>
  <c r="E676" i="2"/>
  <c r="Y676" i="2" s="1"/>
  <c r="E677" i="2"/>
  <c r="Y677" i="2" s="1"/>
  <c r="E678" i="2"/>
  <c r="Y678" i="2" s="1"/>
  <c r="E679" i="2"/>
  <c r="Y679" i="2" s="1"/>
  <c r="E680" i="2"/>
  <c r="Y680" i="2" s="1"/>
  <c r="E681" i="2"/>
  <c r="Y681" i="2" s="1"/>
  <c r="E682" i="2"/>
  <c r="Y682" i="2" s="1"/>
  <c r="E683" i="2"/>
  <c r="Y683" i="2" s="1"/>
  <c r="E684" i="2"/>
  <c r="Y684" i="2" s="1"/>
  <c r="E685" i="2"/>
  <c r="Y685" i="2" s="1"/>
  <c r="E686" i="2"/>
  <c r="Y686" i="2" s="1"/>
  <c r="E687" i="2"/>
  <c r="Y687" i="2" s="1"/>
  <c r="E688" i="2"/>
  <c r="Y688" i="2" s="1"/>
  <c r="E689" i="2"/>
  <c r="Y689" i="2" s="1"/>
  <c r="E690" i="2"/>
  <c r="Y690" i="2" s="1"/>
  <c r="E691" i="2"/>
  <c r="Y691" i="2" s="1"/>
  <c r="E692" i="2"/>
  <c r="Y692" i="2" s="1"/>
  <c r="E693" i="2"/>
  <c r="Y693" i="2" s="1"/>
  <c r="E694" i="2"/>
  <c r="Y694" i="2" s="1"/>
  <c r="E695" i="2"/>
  <c r="Y695" i="2" s="1"/>
  <c r="E696" i="2"/>
  <c r="Y696" i="2" s="1"/>
  <c r="E697" i="2"/>
  <c r="Y697" i="2" s="1"/>
  <c r="E698" i="2"/>
  <c r="Y698" i="2" s="1"/>
  <c r="E699" i="2"/>
  <c r="Y699" i="2" s="1"/>
  <c r="E700" i="2"/>
  <c r="Y700" i="2" s="1"/>
  <c r="E701" i="2"/>
  <c r="Y701" i="2" s="1"/>
  <c r="E702" i="2"/>
  <c r="Y702" i="2" s="1"/>
  <c r="E703" i="2"/>
  <c r="Y703" i="2" s="1"/>
  <c r="E704" i="2"/>
  <c r="Y704" i="2" s="1"/>
  <c r="E705" i="2"/>
  <c r="Y705" i="2" s="1"/>
  <c r="E706" i="2"/>
  <c r="Y706" i="2" s="1"/>
  <c r="E707" i="2"/>
  <c r="Y707" i="2" s="1"/>
  <c r="E708" i="2"/>
  <c r="Y708" i="2" s="1"/>
  <c r="E709" i="2"/>
  <c r="Y709" i="2" s="1"/>
  <c r="E710" i="2"/>
  <c r="Y710" i="2" s="1"/>
  <c r="E711" i="2"/>
  <c r="Y711" i="2" s="1"/>
  <c r="E712" i="2"/>
  <c r="Y712" i="2" s="1"/>
  <c r="E713" i="2"/>
  <c r="Y713" i="2" s="1"/>
  <c r="E714" i="2"/>
  <c r="Y714" i="2" s="1"/>
  <c r="E715" i="2"/>
  <c r="Y715" i="2" s="1"/>
  <c r="E716" i="2"/>
  <c r="Y716" i="2" s="1"/>
  <c r="E717" i="2"/>
  <c r="Y717" i="2" s="1"/>
  <c r="E718" i="2"/>
  <c r="Y718" i="2" s="1"/>
  <c r="E719" i="2"/>
  <c r="Y719" i="2" s="1"/>
  <c r="E720" i="2"/>
  <c r="Y720" i="2" s="1"/>
  <c r="E721" i="2"/>
  <c r="Y721" i="2" s="1"/>
  <c r="E722" i="2"/>
  <c r="Y722" i="2" s="1"/>
  <c r="E723" i="2"/>
  <c r="Y723" i="2" s="1"/>
  <c r="E724" i="2"/>
  <c r="Y724" i="2" s="1"/>
  <c r="E725" i="2"/>
  <c r="Y725" i="2" s="1"/>
  <c r="E726" i="2"/>
  <c r="Y726" i="2" s="1"/>
  <c r="E727" i="2"/>
  <c r="Y727" i="2" s="1"/>
  <c r="E728" i="2"/>
  <c r="Y728" i="2" s="1"/>
  <c r="E729" i="2"/>
  <c r="Y729" i="2" s="1"/>
  <c r="E730" i="2"/>
  <c r="Y730" i="2" s="1"/>
  <c r="E731" i="2"/>
  <c r="Y731" i="2" s="1"/>
  <c r="E732" i="2"/>
  <c r="Y732" i="2" s="1"/>
  <c r="E733" i="2"/>
  <c r="Y733" i="2" s="1"/>
  <c r="E734" i="2"/>
  <c r="Y734" i="2" s="1"/>
  <c r="E735" i="2"/>
  <c r="Y735" i="2" s="1"/>
  <c r="E736" i="2"/>
  <c r="Y736" i="2" s="1"/>
  <c r="E737" i="2"/>
  <c r="Y737" i="2" s="1"/>
  <c r="E738" i="2"/>
  <c r="Y738" i="2" s="1"/>
  <c r="E739" i="2"/>
  <c r="Y739" i="2" s="1"/>
  <c r="E740" i="2"/>
  <c r="Y740" i="2" s="1"/>
  <c r="E741" i="2"/>
  <c r="Y741" i="2" s="1"/>
  <c r="E742" i="2"/>
  <c r="Y742" i="2" s="1"/>
  <c r="E743" i="2"/>
  <c r="Y743" i="2" s="1"/>
  <c r="E744" i="2"/>
  <c r="Y744" i="2" s="1"/>
  <c r="E745" i="2"/>
  <c r="Y745" i="2" s="1"/>
  <c r="E746" i="2"/>
  <c r="Y746" i="2" s="1"/>
  <c r="E747" i="2"/>
  <c r="Y747" i="2" s="1"/>
  <c r="E748" i="2"/>
  <c r="Y748" i="2" s="1"/>
  <c r="E749" i="2"/>
  <c r="Y749" i="2" s="1"/>
  <c r="E750" i="2"/>
  <c r="Y750" i="2" s="1"/>
  <c r="E751" i="2"/>
  <c r="Y751" i="2" s="1"/>
  <c r="E752" i="2"/>
  <c r="Y752" i="2" s="1"/>
  <c r="E753" i="2"/>
  <c r="Y753" i="2" s="1"/>
  <c r="E754" i="2"/>
  <c r="Y754" i="2" s="1"/>
  <c r="E755" i="2"/>
  <c r="Y755" i="2" s="1"/>
  <c r="E756" i="2"/>
  <c r="Y756" i="2" s="1"/>
  <c r="E757" i="2"/>
  <c r="Y757" i="2" s="1"/>
  <c r="E758" i="2"/>
  <c r="Y758" i="2" s="1"/>
  <c r="E759" i="2"/>
  <c r="Y759" i="2" s="1"/>
  <c r="E760" i="2"/>
  <c r="Y760" i="2" s="1"/>
  <c r="E761" i="2"/>
  <c r="Y761" i="2" s="1"/>
  <c r="E762" i="2"/>
  <c r="Y762" i="2" s="1"/>
  <c r="E763" i="2"/>
  <c r="Y763" i="2" s="1"/>
  <c r="E764" i="2"/>
  <c r="Y764" i="2" s="1"/>
  <c r="E765" i="2"/>
  <c r="Y765" i="2" s="1"/>
  <c r="E766" i="2"/>
  <c r="Y766" i="2" s="1"/>
  <c r="E767" i="2"/>
  <c r="Y767" i="2" s="1"/>
  <c r="E768" i="2"/>
  <c r="Y768" i="2" s="1"/>
  <c r="E769" i="2"/>
  <c r="Y769" i="2" s="1"/>
  <c r="E770" i="2"/>
  <c r="Y770" i="2" s="1"/>
  <c r="E771" i="2"/>
  <c r="Y771" i="2" s="1"/>
  <c r="E772" i="2"/>
  <c r="Y772" i="2" s="1"/>
  <c r="E773" i="2"/>
  <c r="Y773" i="2" s="1"/>
  <c r="E774" i="2"/>
  <c r="Y774" i="2" s="1"/>
  <c r="E775" i="2"/>
  <c r="Y775" i="2" s="1"/>
  <c r="E776" i="2"/>
  <c r="Y776" i="2" s="1"/>
  <c r="E777" i="2"/>
  <c r="Y777" i="2" s="1"/>
  <c r="E778" i="2"/>
  <c r="Y778" i="2" s="1"/>
  <c r="E779" i="2"/>
  <c r="Y779" i="2" s="1"/>
  <c r="E780" i="2"/>
  <c r="Y780" i="2" s="1"/>
  <c r="E781" i="2"/>
  <c r="Y781" i="2" s="1"/>
  <c r="E782" i="2"/>
  <c r="Y782" i="2" s="1"/>
  <c r="E783" i="2"/>
  <c r="Y783" i="2" s="1"/>
  <c r="E784" i="2"/>
  <c r="Y784" i="2" s="1"/>
  <c r="E785" i="2"/>
  <c r="Y785" i="2" s="1"/>
  <c r="E786" i="2"/>
  <c r="Y786" i="2" s="1"/>
  <c r="E787" i="2"/>
  <c r="Y787" i="2" s="1"/>
  <c r="E788" i="2"/>
  <c r="Y788" i="2" s="1"/>
  <c r="E789" i="2"/>
  <c r="Y789" i="2" s="1"/>
  <c r="E790" i="2"/>
  <c r="Y790" i="2" s="1"/>
  <c r="E791" i="2"/>
  <c r="Y791" i="2" s="1"/>
  <c r="E792" i="2"/>
  <c r="Y792" i="2" s="1"/>
  <c r="E793" i="2"/>
  <c r="Y793" i="2" s="1"/>
  <c r="E794" i="2"/>
  <c r="Y794" i="2" s="1"/>
  <c r="E795" i="2"/>
  <c r="Y795" i="2" s="1"/>
  <c r="E796" i="2"/>
  <c r="Y796" i="2" s="1"/>
  <c r="E797" i="2"/>
  <c r="Y797" i="2" s="1"/>
  <c r="E798" i="2"/>
  <c r="Y798" i="2" s="1"/>
  <c r="E799" i="2"/>
  <c r="Y799" i="2" s="1"/>
  <c r="E800" i="2"/>
  <c r="Y800" i="2" s="1"/>
  <c r="E801" i="2"/>
  <c r="Y801" i="2" s="1"/>
  <c r="E802" i="2"/>
  <c r="Y802" i="2" s="1"/>
  <c r="E803" i="2"/>
  <c r="Y803" i="2" s="1"/>
  <c r="E804" i="2"/>
  <c r="Y804" i="2" s="1"/>
  <c r="E805" i="2"/>
  <c r="Y805" i="2" s="1"/>
  <c r="E806" i="2"/>
  <c r="Y806" i="2" s="1"/>
  <c r="E807" i="2"/>
  <c r="Y807" i="2" s="1"/>
  <c r="E808" i="2"/>
  <c r="Y808" i="2" s="1"/>
  <c r="E809" i="2"/>
  <c r="Y809" i="2" s="1"/>
  <c r="E810" i="2"/>
  <c r="Y810" i="2" s="1"/>
  <c r="E811" i="2"/>
  <c r="Y811" i="2" s="1"/>
  <c r="E812" i="2"/>
  <c r="Y812" i="2" s="1"/>
  <c r="E813" i="2"/>
  <c r="Y813" i="2" s="1"/>
  <c r="E814" i="2"/>
  <c r="Y814" i="2" s="1"/>
  <c r="E815" i="2"/>
  <c r="Y815" i="2" s="1"/>
  <c r="E816" i="2"/>
  <c r="Y816" i="2" s="1"/>
  <c r="E817" i="2"/>
  <c r="Y817" i="2" s="1"/>
  <c r="E818" i="2"/>
  <c r="Y818" i="2" s="1"/>
  <c r="E819" i="2"/>
  <c r="Y819" i="2" s="1"/>
  <c r="E820" i="2"/>
  <c r="Y820" i="2" s="1"/>
  <c r="E821" i="2"/>
  <c r="Y821" i="2" s="1"/>
  <c r="E822" i="2"/>
  <c r="Y822" i="2" s="1"/>
  <c r="E823" i="2"/>
  <c r="Y823" i="2" s="1"/>
  <c r="E824" i="2"/>
  <c r="Y824" i="2" s="1"/>
  <c r="E825" i="2"/>
  <c r="Y825" i="2" s="1"/>
  <c r="E826" i="2"/>
  <c r="Y826" i="2" s="1"/>
  <c r="E827" i="2"/>
  <c r="Y827" i="2" s="1"/>
  <c r="E828" i="2"/>
  <c r="Y828" i="2" s="1"/>
  <c r="E829" i="2"/>
  <c r="Y829" i="2" s="1"/>
  <c r="E830" i="2"/>
  <c r="Y830" i="2" s="1"/>
  <c r="E831" i="2"/>
  <c r="Y831" i="2" s="1"/>
  <c r="E832" i="2"/>
  <c r="Y832" i="2" s="1"/>
  <c r="E833" i="2"/>
  <c r="Y833" i="2" s="1"/>
  <c r="E834" i="2"/>
  <c r="Y834" i="2" s="1"/>
  <c r="E835" i="2"/>
  <c r="Y835" i="2" s="1"/>
  <c r="E836" i="2"/>
  <c r="Y836" i="2" s="1"/>
  <c r="E837" i="2"/>
  <c r="Y837" i="2" s="1"/>
  <c r="E838" i="2"/>
  <c r="Y838" i="2" s="1"/>
  <c r="E839" i="2"/>
  <c r="Y839" i="2" s="1"/>
  <c r="E840" i="2"/>
  <c r="Y840" i="2" s="1"/>
  <c r="E841" i="2"/>
  <c r="Y841" i="2" s="1"/>
  <c r="E842" i="2"/>
  <c r="Y842" i="2" s="1"/>
  <c r="E843" i="2"/>
  <c r="Y843" i="2" s="1"/>
  <c r="E844" i="2"/>
  <c r="Y844" i="2" s="1"/>
  <c r="E845" i="2"/>
  <c r="Y845" i="2" s="1"/>
  <c r="E846" i="2"/>
  <c r="Y846" i="2" s="1"/>
  <c r="E847" i="2"/>
  <c r="Y847" i="2" s="1"/>
  <c r="E848" i="2"/>
  <c r="Y848" i="2" s="1"/>
  <c r="E849" i="2"/>
  <c r="Y849" i="2" s="1"/>
  <c r="E850" i="2"/>
  <c r="Y850" i="2" s="1"/>
  <c r="E851" i="2"/>
  <c r="Y851" i="2" s="1"/>
  <c r="E852" i="2"/>
  <c r="Y852" i="2" s="1"/>
  <c r="E853" i="2"/>
  <c r="Y853" i="2" s="1"/>
  <c r="E854" i="2"/>
  <c r="Y854" i="2" s="1"/>
  <c r="E855" i="2"/>
  <c r="Y855" i="2" s="1"/>
  <c r="E856" i="2"/>
  <c r="Y856" i="2" s="1"/>
  <c r="E857" i="2"/>
  <c r="Y857" i="2" s="1"/>
  <c r="E858" i="2"/>
  <c r="Y858" i="2" s="1"/>
  <c r="E859" i="2"/>
  <c r="Y859" i="2" s="1"/>
  <c r="E860" i="2"/>
  <c r="Y860" i="2" s="1"/>
  <c r="E861" i="2"/>
  <c r="Y861" i="2" s="1"/>
  <c r="E862" i="2"/>
  <c r="Y862" i="2" s="1"/>
  <c r="E863" i="2"/>
  <c r="Y863" i="2" s="1"/>
  <c r="E864" i="2"/>
  <c r="Y864" i="2" s="1"/>
  <c r="E865" i="2"/>
  <c r="Y865" i="2" s="1"/>
  <c r="E866" i="2"/>
  <c r="Y866" i="2" s="1"/>
  <c r="E867" i="2"/>
  <c r="Y867" i="2" s="1"/>
  <c r="E868" i="2"/>
  <c r="Y868" i="2" s="1"/>
  <c r="E869" i="2"/>
  <c r="Y869" i="2" s="1"/>
  <c r="E870" i="2"/>
  <c r="Y870" i="2" s="1"/>
  <c r="E871" i="2"/>
  <c r="Y871" i="2" s="1"/>
  <c r="E872" i="2"/>
  <c r="Y872" i="2" s="1"/>
  <c r="E873" i="2"/>
  <c r="Y873" i="2" s="1"/>
  <c r="E874" i="2"/>
  <c r="Y874" i="2" s="1"/>
  <c r="E875" i="2"/>
  <c r="Y875" i="2" s="1"/>
  <c r="E876" i="2"/>
  <c r="Y876" i="2" s="1"/>
  <c r="E877" i="2"/>
  <c r="Y877" i="2" s="1"/>
  <c r="E878" i="2"/>
  <c r="Y878" i="2" s="1"/>
  <c r="E879" i="2"/>
  <c r="Y879" i="2" s="1"/>
  <c r="E880" i="2"/>
  <c r="Y880" i="2" s="1"/>
  <c r="E881" i="2"/>
  <c r="Y881" i="2" s="1"/>
  <c r="E882" i="2"/>
  <c r="Y882" i="2" s="1"/>
  <c r="E883" i="2"/>
  <c r="Y883" i="2" s="1"/>
  <c r="E884" i="2"/>
  <c r="Y884" i="2" s="1"/>
  <c r="E885" i="2"/>
  <c r="Y885" i="2" s="1"/>
  <c r="E886" i="2"/>
  <c r="Y886" i="2" s="1"/>
  <c r="E887" i="2"/>
  <c r="Y887" i="2" s="1"/>
  <c r="E888" i="2"/>
  <c r="Y888" i="2" s="1"/>
  <c r="E889" i="2"/>
  <c r="Y889" i="2" s="1"/>
  <c r="E890" i="2"/>
  <c r="Y890" i="2" s="1"/>
  <c r="E891" i="2"/>
  <c r="Y891" i="2" s="1"/>
  <c r="E892" i="2"/>
  <c r="Y892" i="2" s="1"/>
  <c r="E893" i="2"/>
  <c r="Y893" i="2" s="1"/>
  <c r="E894" i="2"/>
  <c r="Y894" i="2" s="1"/>
  <c r="E895" i="2"/>
  <c r="Y895" i="2" s="1"/>
  <c r="E896" i="2"/>
  <c r="Y896" i="2" s="1"/>
  <c r="E897" i="2"/>
  <c r="Y897" i="2" s="1"/>
  <c r="E898" i="2"/>
  <c r="Y898" i="2" s="1"/>
  <c r="E899" i="2"/>
  <c r="Y899" i="2" s="1"/>
  <c r="E900" i="2"/>
  <c r="Y900" i="2" s="1"/>
  <c r="E901" i="2"/>
  <c r="Y901" i="2" s="1"/>
  <c r="E902" i="2"/>
  <c r="Y902" i="2" s="1"/>
  <c r="E903" i="2"/>
  <c r="Y903" i="2" s="1"/>
  <c r="E904" i="2"/>
  <c r="Y904" i="2" s="1"/>
  <c r="E905" i="2"/>
  <c r="Y905" i="2" s="1"/>
  <c r="E906" i="2"/>
  <c r="Y906" i="2" s="1"/>
  <c r="E907" i="2"/>
  <c r="Y907" i="2" s="1"/>
  <c r="E908" i="2"/>
  <c r="Y908" i="2" s="1"/>
  <c r="E909" i="2"/>
  <c r="Y909" i="2" s="1"/>
  <c r="E910" i="2"/>
  <c r="Y910" i="2" s="1"/>
  <c r="E911" i="2"/>
  <c r="Y911" i="2" s="1"/>
  <c r="E912" i="2"/>
  <c r="Y912" i="2" s="1"/>
  <c r="E913" i="2"/>
  <c r="Y913" i="2" s="1"/>
  <c r="E914" i="2"/>
  <c r="Y914" i="2" s="1"/>
  <c r="E915" i="2"/>
  <c r="Y915" i="2" s="1"/>
  <c r="E916" i="2"/>
  <c r="Y916" i="2" s="1"/>
  <c r="E917" i="2"/>
  <c r="Y917" i="2" s="1"/>
  <c r="E918" i="2"/>
  <c r="Y918" i="2" s="1"/>
  <c r="E919" i="2"/>
  <c r="Y919" i="2" s="1"/>
  <c r="E920" i="2"/>
  <c r="Y920" i="2" s="1"/>
  <c r="E921" i="2"/>
  <c r="Y921" i="2" s="1"/>
  <c r="E922" i="2"/>
  <c r="Y922" i="2" s="1"/>
  <c r="E923" i="2"/>
  <c r="Y923" i="2" s="1"/>
  <c r="E924" i="2"/>
  <c r="Y924" i="2" s="1"/>
  <c r="E925" i="2"/>
  <c r="Y925" i="2" s="1"/>
  <c r="E926" i="2"/>
  <c r="Y926" i="2" s="1"/>
  <c r="E927" i="2"/>
  <c r="Y927" i="2" s="1"/>
  <c r="E928" i="2"/>
  <c r="Y928" i="2" s="1"/>
  <c r="E929" i="2"/>
  <c r="Y929" i="2" s="1"/>
  <c r="E930" i="2"/>
  <c r="Y930" i="2" s="1"/>
  <c r="E931" i="2"/>
  <c r="Y931" i="2" s="1"/>
  <c r="E932" i="2"/>
  <c r="Y932" i="2" s="1"/>
  <c r="E933" i="2"/>
  <c r="Y933" i="2" s="1"/>
  <c r="E934" i="2"/>
  <c r="Y934" i="2" s="1"/>
  <c r="E935" i="2"/>
  <c r="Y935" i="2" s="1"/>
  <c r="E936" i="2"/>
  <c r="Y936" i="2" s="1"/>
  <c r="E937" i="2"/>
  <c r="Y937" i="2" s="1"/>
  <c r="E938" i="2"/>
  <c r="Y938" i="2" s="1"/>
  <c r="E939" i="2"/>
  <c r="Y939" i="2" s="1"/>
  <c r="E940" i="2"/>
  <c r="Y940" i="2" s="1"/>
  <c r="E941" i="2"/>
  <c r="Y941" i="2" s="1"/>
  <c r="E942" i="2"/>
  <c r="Y942" i="2" s="1"/>
  <c r="E943" i="2"/>
  <c r="Y943" i="2" s="1"/>
  <c r="E944" i="2"/>
  <c r="Y944" i="2" s="1"/>
  <c r="E945" i="2"/>
  <c r="Y945" i="2" s="1"/>
  <c r="E946" i="2"/>
  <c r="Y946" i="2" s="1"/>
  <c r="E947" i="2"/>
  <c r="Y947" i="2" s="1"/>
  <c r="E948" i="2"/>
  <c r="Y948" i="2" s="1"/>
  <c r="E949" i="2"/>
  <c r="Y949" i="2" s="1"/>
  <c r="E950" i="2"/>
  <c r="Y950" i="2" s="1"/>
  <c r="E951" i="2"/>
  <c r="Y951" i="2" s="1"/>
  <c r="E952" i="2"/>
  <c r="Y952" i="2" s="1"/>
  <c r="E953" i="2"/>
  <c r="Y953" i="2" s="1"/>
  <c r="E954" i="2"/>
  <c r="Y954" i="2" s="1"/>
  <c r="E955" i="2"/>
  <c r="Y955" i="2" s="1"/>
  <c r="E956" i="2"/>
  <c r="Y956" i="2" s="1"/>
  <c r="E957" i="2"/>
  <c r="Y957" i="2" s="1"/>
  <c r="E958" i="2"/>
  <c r="Y958" i="2" s="1"/>
  <c r="E959" i="2"/>
  <c r="Y959" i="2" s="1"/>
  <c r="E960" i="2"/>
  <c r="Y960" i="2" s="1"/>
  <c r="E961" i="2"/>
  <c r="Y961" i="2" s="1"/>
  <c r="E962" i="2"/>
  <c r="Y962" i="2" s="1"/>
  <c r="E963" i="2"/>
  <c r="Y963" i="2" s="1"/>
  <c r="E964" i="2"/>
  <c r="Y964" i="2" s="1"/>
  <c r="E965" i="2"/>
  <c r="Y965" i="2" s="1"/>
  <c r="E966" i="2"/>
  <c r="Y966" i="2" s="1"/>
  <c r="E967" i="2"/>
  <c r="Y967" i="2" s="1"/>
  <c r="E968" i="2"/>
  <c r="E969" i="2"/>
  <c r="Y969" i="2" s="1"/>
  <c r="E970" i="2"/>
  <c r="Y970" i="2" s="1"/>
  <c r="E971" i="2"/>
  <c r="Y971" i="2" s="1"/>
  <c r="E972" i="2"/>
  <c r="Y972" i="2" s="1"/>
  <c r="E973" i="2"/>
  <c r="Y973" i="2" s="1"/>
  <c r="E974" i="2"/>
  <c r="Y974" i="2" s="1"/>
  <c r="E975" i="2"/>
  <c r="Y975" i="2" s="1"/>
  <c r="E976" i="2"/>
  <c r="Y976" i="2" s="1"/>
  <c r="E977" i="2"/>
  <c r="Y977" i="2" s="1"/>
  <c r="E978" i="2"/>
  <c r="Y978" i="2" s="1"/>
  <c r="E979" i="2"/>
  <c r="Y979" i="2" s="1"/>
  <c r="E980" i="2"/>
  <c r="Y980" i="2" s="1"/>
  <c r="E981" i="2"/>
  <c r="Y981" i="2" s="1"/>
  <c r="E982" i="2"/>
  <c r="Y982" i="2" s="1"/>
  <c r="E983" i="2"/>
  <c r="Y983" i="2" s="1"/>
  <c r="E984" i="2"/>
  <c r="Y984" i="2" s="1"/>
  <c r="E985" i="2"/>
  <c r="Y985" i="2" s="1"/>
  <c r="E986" i="2"/>
  <c r="Y986" i="2" s="1"/>
  <c r="E987" i="2"/>
  <c r="Y987" i="2" s="1"/>
  <c r="E988" i="2"/>
  <c r="Y988" i="2" s="1"/>
  <c r="E989" i="2"/>
  <c r="Y989" i="2" s="1"/>
  <c r="E990" i="2"/>
  <c r="Y990" i="2" s="1"/>
  <c r="E991" i="2"/>
  <c r="Y991" i="2" s="1"/>
  <c r="E992" i="2"/>
  <c r="Y992" i="2" s="1"/>
  <c r="E993" i="2"/>
  <c r="Y993" i="2" s="1"/>
  <c r="E994" i="2"/>
  <c r="Y994" i="2" s="1"/>
  <c r="E995" i="2"/>
  <c r="Y995" i="2" s="1"/>
  <c r="E996" i="2"/>
  <c r="Y996" i="2" s="1"/>
  <c r="E997" i="2"/>
  <c r="Y997" i="2" s="1"/>
  <c r="E998" i="2"/>
  <c r="Y998" i="2" s="1"/>
  <c r="E999" i="2"/>
  <c r="Y999" i="2" s="1"/>
  <c r="E1000" i="2"/>
  <c r="Y1000" i="2" s="1"/>
  <c r="E1001" i="2"/>
  <c r="Y1001" i="2" s="1"/>
  <c r="E1002" i="2"/>
  <c r="Y1002" i="2" s="1"/>
  <c r="E1003" i="2"/>
  <c r="Y1003" i="2" s="1"/>
  <c r="E1004" i="2"/>
  <c r="Y1004" i="2" s="1"/>
  <c r="E1005" i="2"/>
  <c r="Y1005" i="2" s="1"/>
  <c r="E1006" i="2"/>
  <c r="Y1006" i="2" s="1"/>
  <c r="E1007" i="2"/>
  <c r="Y1007" i="2" s="1"/>
  <c r="E1008" i="2"/>
  <c r="Y1008" i="2" s="1"/>
  <c r="E1009" i="2"/>
  <c r="Y1009" i="2" s="1"/>
  <c r="E1010" i="2"/>
  <c r="Y1010" i="2" s="1"/>
  <c r="E1011" i="2"/>
  <c r="Y1011" i="2" s="1"/>
  <c r="E1012" i="2"/>
  <c r="Y1012" i="2" s="1"/>
  <c r="E1013" i="2"/>
  <c r="Y1013" i="2" s="1"/>
  <c r="E1014" i="2"/>
  <c r="Y1014" i="2" s="1"/>
  <c r="E1015" i="2"/>
  <c r="Y1015" i="2" s="1"/>
  <c r="E1016" i="2"/>
  <c r="Y1016" i="2" s="1"/>
  <c r="E1017" i="2"/>
  <c r="Y1017" i="2" s="1"/>
  <c r="E1018" i="2"/>
  <c r="Y1018" i="2" s="1"/>
  <c r="E1019" i="2"/>
  <c r="Y1019" i="2" s="1"/>
  <c r="E1020" i="2"/>
  <c r="Y1020" i="2" s="1"/>
  <c r="E1021" i="2"/>
  <c r="Y1021" i="2" s="1"/>
  <c r="E1022" i="2"/>
  <c r="Y1022" i="2" s="1"/>
  <c r="E1023" i="2"/>
  <c r="Y1023" i="2" s="1"/>
  <c r="E1024" i="2"/>
  <c r="Y1024" i="2" s="1"/>
  <c r="E1025" i="2"/>
  <c r="Y1025" i="2" s="1"/>
  <c r="E1026" i="2"/>
  <c r="Y1026" i="2" s="1"/>
  <c r="E1027" i="2"/>
  <c r="Y1027" i="2" s="1"/>
  <c r="E1028" i="2"/>
  <c r="Y1028" i="2" s="1"/>
  <c r="E1029" i="2"/>
  <c r="Y1029" i="2" s="1"/>
  <c r="E1030" i="2"/>
  <c r="Y1030" i="2" s="1"/>
  <c r="E1031" i="2"/>
  <c r="Y1031" i="2" s="1"/>
  <c r="E1032" i="2"/>
  <c r="Y1032" i="2" s="1"/>
  <c r="E1033" i="2"/>
  <c r="Y1033" i="2" s="1"/>
  <c r="E1034" i="2"/>
  <c r="Y1034" i="2" s="1"/>
  <c r="E1035" i="2"/>
  <c r="Y1035" i="2" s="1"/>
  <c r="E1036" i="2"/>
  <c r="Y1036" i="2" s="1"/>
  <c r="E1037" i="2"/>
  <c r="Y1037" i="2" s="1"/>
  <c r="E1038" i="2"/>
  <c r="Y1038" i="2" s="1"/>
  <c r="E1039" i="2"/>
  <c r="Y1039" i="2" s="1"/>
  <c r="E1040" i="2"/>
  <c r="Y1040" i="2" s="1"/>
  <c r="E1041" i="2"/>
  <c r="Y1041" i="2" s="1"/>
  <c r="E1042" i="2"/>
  <c r="Y1042" i="2" s="1"/>
  <c r="E1043" i="2"/>
  <c r="Y1043" i="2" s="1"/>
  <c r="E1044" i="2"/>
  <c r="Y1044" i="2" s="1"/>
  <c r="E1045" i="2"/>
  <c r="Y1045" i="2" s="1"/>
  <c r="E1046" i="2"/>
  <c r="Y1046" i="2" s="1"/>
  <c r="E1047" i="2"/>
  <c r="Y1047" i="2" s="1"/>
  <c r="E1048" i="2"/>
  <c r="Y1048" i="2" s="1"/>
  <c r="E1049" i="2"/>
  <c r="Y1049" i="2" s="1"/>
  <c r="E1050" i="2"/>
  <c r="Y1050" i="2" s="1"/>
  <c r="E1051" i="2"/>
  <c r="Y1051" i="2" s="1"/>
  <c r="E1052" i="2"/>
  <c r="Y1052" i="2" s="1"/>
  <c r="E1053" i="2"/>
  <c r="Y1053" i="2" s="1"/>
  <c r="E1054" i="2"/>
  <c r="Y1054" i="2" s="1"/>
  <c r="E1055" i="2"/>
  <c r="Y1055" i="2" s="1"/>
  <c r="E1056" i="2"/>
  <c r="Y1056" i="2" s="1"/>
  <c r="E1057" i="2"/>
  <c r="Y1057" i="2" s="1"/>
  <c r="E1058" i="2"/>
  <c r="Y1058" i="2" s="1"/>
  <c r="E1059" i="2"/>
  <c r="Y1059" i="2" s="1"/>
  <c r="E1060" i="2"/>
  <c r="Y1060" i="2" s="1"/>
  <c r="E1061" i="2"/>
  <c r="Y1061" i="2" s="1"/>
  <c r="E1062" i="2"/>
  <c r="Y1062" i="2" s="1"/>
  <c r="E1063" i="2"/>
  <c r="Y1063" i="2" s="1"/>
  <c r="E1064" i="2"/>
  <c r="Y1064" i="2" s="1"/>
  <c r="E1065" i="2"/>
  <c r="Y1065" i="2" s="1"/>
  <c r="E1066" i="2"/>
  <c r="Y1066" i="2" s="1"/>
  <c r="E1067" i="2"/>
  <c r="Y1067" i="2" s="1"/>
  <c r="E1068" i="2"/>
  <c r="Y1068" i="2" s="1"/>
  <c r="E1069" i="2"/>
  <c r="Y1069" i="2" s="1"/>
  <c r="E1070" i="2"/>
  <c r="Y1070" i="2" s="1"/>
  <c r="E1071" i="2"/>
  <c r="Y1071" i="2" s="1"/>
  <c r="E1072" i="2"/>
  <c r="Y1072" i="2" s="1"/>
  <c r="E1073" i="2"/>
  <c r="Y1073" i="2" s="1"/>
  <c r="E1074" i="2"/>
  <c r="Y1074" i="2" s="1"/>
  <c r="E1075" i="2"/>
  <c r="Y1075" i="2" s="1"/>
  <c r="E1076" i="2"/>
  <c r="Y1076" i="2" s="1"/>
  <c r="E1077" i="2"/>
  <c r="Y1077" i="2" s="1"/>
  <c r="E1078" i="2"/>
  <c r="Y1078" i="2" s="1"/>
  <c r="E1079" i="2"/>
  <c r="Y1079" i="2" s="1"/>
  <c r="E1080" i="2"/>
  <c r="Y1080" i="2" s="1"/>
  <c r="E1081" i="2"/>
  <c r="Y1081" i="2" s="1"/>
  <c r="E1082" i="2"/>
  <c r="Y1082" i="2" s="1"/>
  <c r="E1083" i="2"/>
  <c r="Y1083" i="2" s="1"/>
  <c r="E1084" i="2"/>
  <c r="Y1084" i="2" s="1"/>
  <c r="E1085" i="2"/>
  <c r="Y1085" i="2" s="1"/>
  <c r="E1086" i="2"/>
  <c r="Y1086" i="2" s="1"/>
  <c r="E1087" i="2"/>
  <c r="Y1087" i="2" s="1"/>
  <c r="E1088" i="2"/>
  <c r="Y1088" i="2" s="1"/>
  <c r="E1089" i="2"/>
  <c r="Y1089" i="2" s="1"/>
  <c r="E1090" i="2"/>
  <c r="Y1090" i="2" s="1"/>
  <c r="E1091" i="2"/>
  <c r="Y1091" i="2" s="1"/>
  <c r="E1092" i="2"/>
  <c r="Y1092" i="2" s="1"/>
  <c r="E1093" i="2"/>
  <c r="Y1093" i="2" s="1"/>
  <c r="E1094" i="2"/>
  <c r="Y1094" i="2" s="1"/>
  <c r="E1095" i="2"/>
  <c r="Y1095" i="2" s="1"/>
  <c r="E1096" i="2"/>
  <c r="Y1096" i="2" s="1"/>
  <c r="E1097" i="2"/>
  <c r="Y1097" i="2" s="1"/>
  <c r="E1098" i="2"/>
  <c r="Y1098" i="2" s="1"/>
  <c r="E1099" i="2"/>
  <c r="Y1099" i="2" s="1"/>
  <c r="E1100" i="2"/>
  <c r="Y1100" i="2" s="1"/>
  <c r="E1101" i="2"/>
  <c r="Y1101" i="2" s="1"/>
  <c r="E1102" i="2"/>
  <c r="Y1102" i="2" s="1"/>
  <c r="E1103" i="2"/>
  <c r="Y1103" i="2" s="1"/>
  <c r="E1104" i="2"/>
  <c r="Y1104" i="2" s="1"/>
  <c r="E1105" i="2"/>
  <c r="Y1105" i="2" s="1"/>
  <c r="E1106" i="2"/>
  <c r="Y1106" i="2" s="1"/>
  <c r="E1107" i="2"/>
  <c r="Y1107" i="2" s="1"/>
  <c r="E1108" i="2"/>
  <c r="Y1108" i="2" s="1"/>
  <c r="E1109" i="2"/>
  <c r="Y1109" i="2" s="1"/>
  <c r="E1110" i="2"/>
  <c r="Y1110" i="2" s="1"/>
  <c r="E1111" i="2"/>
  <c r="Y1111" i="2" s="1"/>
  <c r="E1112" i="2"/>
  <c r="Y1112" i="2" s="1"/>
  <c r="E1113" i="2"/>
  <c r="Y1113" i="2" s="1"/>
  <c r="E1114" i="2"/>
  <c r="Y1114" i="2" s="1"/>
  <c r="E1115" i="2"/>
  <c r="Y1115" i="2" s="1"/>
  <c r="E1116" i="2"/>
  <c r="Y1116" i="2" s="1"/>
  <c r="E1117" i="2"/>
  <c r="Y1117" i="2" s="1"/>
  <c r="E1118" i="2"/>
  <c r="Y1118" i="2" s="1"/>
  <c r="E1119" i="2"/>
  <c r="Y1119" i="2" s="1"/>
  <c r="E1120" i="2"/>
  <c r="Y1120" i="2" s="1"/>
  <c r="E1121" i="2"/>
  <c r="Y1121" i="2" s="1"/>
  <c r="E1122" i="2"/>
  <c r="Y1122" i="2" s="1"/>
  <c r="E1123" i="2"/>
  <c r="Y1123" i="2" s="1"/>
  <c r="E1124" i="2"/>
  <c r="Y1124" i="2" s="1"/>
  <c r="E1125" i="2"/>
  <c r="Y1125" i="2" s="1"/>
  <c r="E1126" i="2"/>
  <c r="Y1126" i="2" s="1"/>
  <c r="E1127" i="2"/>
  <c r="Y1127" i="2" s="1"/>
  <c r="E1128" i="2"/>
  <c r="Y1128" i="2" s="1"/>
  <c r="E1129" i="2"/>
  <c r="Y1129" i="2" s="1"/>
  <c r="E1130" i="2"/>
  <c r="Y1130" i="2" s="1"/>
  <c r="E1131" i="2"/>
  <c r="Y1131" i="2" s="1"/>
  <c r="E1132" i="2"/>
  <c r="Y1132" i="2" s="1"/>
  <c r="E1133" i="2"/>
  <c r="Y1133" i="2" s="1"/>
  <c r="E1134" i="2"/>
  <c r="Y1134" i="2" s="1"/>
  <c r="E1135" i="2"/>
  <c r="Y1135" i="2" s="1"/>
  <c r="E1136" i="2"/>
  <c r="Y1136" i="2" s="1"/>
  <c r="E1137" i="2"/>
  <c r="Y1137" i="2" s="1"/>
  <c r="E1138" i="2"/>
  <c r="Y1138" i="2" s="1"/>
  <c r="E1139" i="2"/>
  <c r="Y1139" i="2" s="1"/>
  <c r="E1140" i="2"/>
  <c r="Y1140" i="2" s="1"/>
  <c r="E1141" i="2"/>
  <c r="Y1141" i="2" s="1"/>
  <c r="E1142" i="2"/>
  <c r="Y1142" i="2" s="1"/>
  <c r="E1143" i="2"/>
  <c r="Y1143" i="2" s="1"/>
  <c r="E1144" i="2"/>
  <c r="Y1144" i="2" s="1"/>
  <c r="E1145" i="2"/>
  <c r="Y1145" i="2" s="1"/>
  <c r="E1146" i="2"/>
  <c r="Y1146" i="2" s="1"/>
  <c r="E1147" i="2"/>
  <c r="Y1147" i="2" s="1"/>
  <c r="E1148" i="2"/>
  <c r="Y1148" i="2" s="1"/>
  <c r="E1149" i="2"/>
  <c r="Y1149" i="2" s="1"/>
  <c r="E1150" i="2"/>
  <c r="E1151" i="2"/>
  <c r="Y1151" i="2" s="1"/>
  <c r="E1152" i="2"/>
  <c r="Y1152" i="2" s="1"/>
  <c r="E1153" i="2"/>
  <c r="Y1153" i="2" s="1"/>
  <c r="E1154" i="2"/>
  <c r="Y1154" i="2" s="1"/>
  <c r="E1155" i="2"/>
  <c r="Y1155" i="2" s="1"/>
  <c r="E1156" i="2"/>
  <c r="Y1156" i="2" s="1"/>
  <c r="E1157" i="2"/>
  <c r="Y1157" i="2" s="1"/>
  <c r="E1158" i="2"/>
  <c r="Y1158" i="2" s="1"/>
  <c r="E1159" i="2"/>
  <c r="Y1159" i="2" s="1"/>
  <c r="E1160" i="2"/>
  <c r="Y1160" i="2" s="1"/>
  <c r="E1161" i="2"/>
  <c r="Y1161" i="2" s="1"/>
  <c r="E1162" i="2"/>
  <c r="Y1162" i="2" s="1"/>
  <c r="E1163" i="2"/>
  <c r="Y1163" i="2" s="1"/>
  <c r="E1164" i="2"/>
  <c r="Y1164" i="2" s="1"/>
  <c r="E1165" i="2"/>
  <c r="Y1165" i="2" s="1"/>
  <c r="E1166" i="2"/>
  <c r="Y1166" i="2" s="1"/>
  <c r="E1167" i="2"/>
  <c r="Y1167" i="2" s="1"/>
  <c r="E1168" i="2"/>
  <c r="Y1168" i="2" s="1"/>
  <c r="E1169" i="2"/>
  <c r="Y1169" i="2" s="1"/>
  <c r="E1170" i="2"/>
  <c r="Y1170" i="2" s="1"/>
  <c r="E1171" i="2"/>
  <c r="Y1171" i="2" s="1"/>
  <c r="E1172" i="2"/>
  <c r="Y1172" i="2" s="1"/>
  <c r="E1173" i="2"/>
  <c r="Y1173" i="2" s="1"/>
  <c r="E1174" i="2"/>
  <c r="Y1174" i="2" s="1"/>
  <c r="E1175" i="2"/>
  <c r="Y1175" i="2" s="1"/>
  <c r="E1176" i="2"/>
  <c r="Y1176" i="2" s="1"/>
  <c r="E1177" i="2"/>
  <c r="Y1177" i="2" s="1"/>
  <c r="E1178" i="2"/>
  <c r="Y1178" i="2" s="1"/>
  <c r="E1179" i="2"/>
  <c r="Y1179" i="2" s="1"/>
  <c r="E1180" i="2"/>
  <c r="Y1180" i="2" s="1"/>
  <c r="E1181" i="2"/>
  <c r="Y1181" i="2" s="1"/>
  <c r="E1182" i="2"/>
  <c r="Y1182" i="2" s="1"/>
  <c r="E1183" i="2"/>
  <c r="Y1183" i="2" s="1"/>
  <c r="E1184" i="2"/>
  <c r="Y1184" i="2" s="1"/>
  <c r="E1185" i="2"/>
  <c r="Y1185" i="2" s="1"/>
  <c r="E1186" i="2"/>
  <c r="Y1186" i="2" s="1"/>
  <c r="E1187" i="2"/>
  <c r="Y1187" i="2" s="1"/>
  <c r="E1188" i="2"/>
  <c r="Y1188" i="2" s="1"/>
  <c r="E1189" i="2"/>
  <c r="Y1189" i="2" s="1"/>
  <c r="E1190" i="2"/>
  <c r="Y1190" i="2" s="1"/>
  <c r="E1191" i="2"/>
  <c r="Y1191" i="2" s="1"/>
  <c r="E1192" i="2"/>
  <c r="Y1192" i="2" s="1"/>
  <c r="E1193" i="2"/>
  <c r="Y1193" i="2" s="1"/>
  <c r="E1194" i="2"/>
  <c r="Y1194" i="2" s="1"/>
  <c r="E1195" i="2"/>
  <c r="Y1195" i="2" s="1"/>
  <c r="E1196" i="2"/>
  <c r="Y1196" i="2" s="1"/>
  <c r="E1197" i="2"/>
  <c r="Y1197" i="2" s="1"/>
  <c r="E1198" i="2"/>
  <c r="Y1198" i="2" s="1"/>
  <c r="E1199" i="2"/>
  <c r="Y1199" i="2" s="1"/>
  <c r="E1200" i="2"/>
  <c r="Y1200" i="2" s="1"/>
  <c r="E1201" i="2"/>
  <c r="Y1201" i="2" s="1"/>
  <c r="Z66" i="2"/>
  <c r="Z80" i="2"/>
  <c r="Z109" i="2"/>
  <c r="Z164" i="2"/>
  <c r="Z196" i="2"/>
  <c r="Z237" i="2"/>
  <c r="Z258" i="2"/>
  <c r="Z264" i="2"/>
  <c r="Z306" i="2"/>
  <c r="Z323" i="2"/>
  <c r="Z356" i="2"/>
  <c r="Z573" i="2"/>
  <c r="Z593" i="2"/>
  <c r="Z691" i="2"/>
  <c r="Z744" i="2"/>
  <c r="Z772" i="2"/>
  <c r="Z803" i="2"/>
  <c r="Z917" i="2"/>
  <c r="Z1059" i="2"/>
  <c r="Z1062" i="2"/>
  <c r="Z1075" i="2"/>
  <c r="Z1157" i="2"/>
  <c r="Z1168" i="2"/>
  <c r="D7" i="3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I2" i="2"/>
  <c r="I3" i="2"/>
  <c r="I4" i="2"/>
  <c r="I5" i="2"/>
  <c r="X5" i="2" s="1"/>
  <c r="I6" i="2"/>
  <c r="I7" i="2"/>
  <c r="I8" i="2"/>
  <c r="I9" i="2"/>
  <c r="X9" i="2" s="1"/>
  <c r="I10" i="2"/>
  <c r="I11" i="2"/>
  <c r="I12" i="2"/>
  <c r="I13" i="2"/>
  <c r="X13" i="2" s="1"/>
  <c r="I14" i="2"/>
  <c r="I15" i="2"/>
  <c r="I16" i="2"/>
  <c r="X16" i="2" s="1"/>
  <c r="I17" i="2"/>
  <c r="I18" i="2"/>
  <c r="I19" i="2"/>
  <c r="I20" i="2"/>
  <c r="I21" i="2"/>
  <c r="X21" i="2" s="1"/>
  <c r="I22" i="2"/>
  <c r="I23" i="2"/>
  <c r="I24" i="2"/>
  <c r="X24" i="2" s="1"/>
  <c r="I25" i="2"/>
  <c r="X25" i="2" s="1"/>
  <c r="I26" i="2"/>
  <c r="I27" i="2"/>
  <c r="X27" i="2" s="1"/>
  <c r="I28" i="2"/>
  <c r="I29" i="2"/>
  <c r="X29" i="2" s="1"/>
  <c r="I30" i="2"/>
  <c r="I31" i="2"/>
  <c r="I32" i="2"/>
  <c r="X32" i="2" s="1"/>
  <c r="I33" i="2"/>
  <c r="X33" i="2" s="1"/>
  <c r="I34" i="2"/>
  <c r="I35" i="2"/>
  <c r="X35" i="2" s="1"/>
  <c r="I36" i="2"/>
  <c r="I37" i="2"/>
  <c r="X37" i="2" s="1"/>
  <c r="I38" i="2"/>
  <c r="I39" i="2"/>
  <c r="I40" i="2"/>
  <c r="X40" i="2" s="1"/>
  <c r="I41" i="2"/>
  <c r="I42" i="2"/>
  <c r="I43" i="2"/>
  <c r="X43" i="2" s="1"/>
  <c r="I44" i="2"/>
  <c r="X44" i="2" s="1"/>
  <c r="I45" i="2"/>
  <c r="X45" i="2" s="1"/>
  <c r="I46" i="2"/>
  <c r="I47" i="2"/>
  <c r="I48" i="2"/>
  <c r="X48" i="2" s="1"/>
  <c r="I49" i="2"/>
  <c r="X49" i="2" s="1"/>
  <c r="I50" i="2"/>
  <c r="I51" i="2"/>
  <c r="I52" i="2"/>
  <c r="I53" i="2"/>
  <c r="X53" i="2" s="1"/>
  <c r="I54" i="2"/>
  <c r="I55" i="2"/>
  <c r="I56" i="2"/>
  <c r="X56" i="2" s="1"/>
  <c r="I57" i="2"/>
  <c r="X57" i="2" s="1"/>
  <c r="I58" i="2"/>
  <c r="I59" i="2"/>
  <c r="I60" i="2"/>
  <c r="I61" i="2"/>
  <c r="X61" i="2" s="1"/>
  <c r="I62" i="2"/>
  <c r="I63" i="2"/>
  <c r="I64" i="2"/>
  <c r="X64" i="2" s="1"/>
  <c r="I65" i="2"/>
  <c r="X65" i="2" s="1"/>
  <c r="I66" i="2"/>
  <c r="I67" i="2"/>
  <c r="X67" i="2" s="1"/>
  <c r="I68" i="2"/>
  <c r="I69" i="2"/>
  <c r="X69" i="2" s="1"/>
  <c r="I70" i="2"/>
  <c r="I71" i="2"/>
  <c r="I72" i="2"/>
  <c r="X72" i="2" s="1"/>
  <c r="I73" i="2"/>
  <c r="X73" i="2" s="1"/>
  <c r="I74" i="2"/>
  <c r="I75" i="2"/>
  <c r="I76" i="2"/>
  <c r="I77" i="2"/>
  <c r="X77" i="2" s="1"/>
  <c r="I78" i="2"/>
  <c r="I79" i="2"/>
  <c r="I80" i="2"/>
  <c r="X80" i="2" s="1"/>
  <c r="I81" i="2"/>
  <c r="X81" i="2" s="1"/>
  <c r="I82" i="2"/>
  <c r="I83" i="2"/>
  <c r="I84" i="2"/>
  <c r="I85" i="2"/>
  <c r="X85" i="2" s="1"/>
  <c r="I86" i="2"/>
  <c r="I87" i="2"/>
  <c r="I88" i="2"/>
  <c r="X88" i="2" s="1"/>
  <c r="I89" i="2"/>
  <c r="X89" i="2" s="1"/>
  <c r="I90" i="2"/>
  <c r="I91" i="2"/>
  <c r="X91" i="2" s="1"/>
  <c r="I92" i="2"/>
  <c r="I93" i="2"/>
  <c r="X93" i="2" s="1"/>
  <c r="I94" i="2"/>
  <c r="I95" i="2"/>
  <c r="I96" i="2"/>
  <c r="I97" i="2"/>
  <c r="X97" i="2" s="1"/>
  <c r="I98" i="2"/>
  <c r="I99" i="2"/>
  <c r="X99" i="2" s="1"/>
  <c r="I100" i="2"/>
  <c r="I101" i="2"/>
  <c r="I102" i="2"/>
  <c r="I103" i="2"/>
  <c r="I104" i="2"/>
  <c r="X104" i="2" s="1"/>
  <c r="I105" i="2"/>
  <c r="I106" i="2"/>
  <c r="I107" i="2"/>
  <c r="X107" i="2" s="1"/>
  <c r="I108" i="2"/>
  <c r="I109" i="2"/>
  <c r="X109" i="2" s="1"/>
  <c r="I110" i="2"/>
  <c r="I111" i="2"/>
  <c r="I112" i="2"/>
  <c r="X112" i="2" s="1"/>
  <c r="I113" i="2"/>
  <c r="I114" i="2"/>
  <c r="I115" i="2"/>
  <c r="X115" i="2" s="1"/>
  <c r="I116" i="2"/>
  <c r="I117" i="2"/>
  <c r="I118" i="2"/>
  <c r="I119" i="2"/>
  <c r="I120" i="2"/>
  <c r="X120" i="2" s="1"/>
  <c r="I121" i="2"/>
  <c r="I122" i="2"/>
  <c r="I123" i="2"/>
  <c r="X123" i="2" s="1"/>
  <c r="I124" i="2"/>
  <c r="I125" i="2"/>
  <c r="I126" i="2"/>
  <c r="I127" i="2"/>
  <c r="I128" i="2"/>
  <c r="X128" i="2" s="1"/>
  <c r="I129" i="2"/>
  <c r="X129" i="2" s="1"/>
  <c r="I130" i="2"/>
  <c r="I131" i="2"/>
  <c r="I132" i="2"/>
  <c r="I133" i="2"/>
  <c r="X133" i="2" s="1"/>
  <c r="I134" i="2"/>
  <c r="I135" i="2"/>
  <c r="X135" i="2" s="1"/>
  <c r="I136" i="2"/>
  <c r="X136" i="2" s="1"/>
  <c r="I137" i="2"/>
  <c r="X137" i="2" s="1"/>
  <c r="I138" i="2"/>
  <c r="I139" i="2"/>
  <c r="I140" i="2"/>
  <c r="I141" i="2"/>
  <c r="X141" i="2" s="1"/>
  <c r="I142" i="2"/>
  <c r="I143" i="2"/>
  <c r="I144" i="2"/>
  <c r="X144" i="2" s="1"/>
  <c r="I145" i="2"/>
  <c r="X145" i="2" s="1"/>
  <c r="I146" i="2"/>
  <c r="I147" i="2"/>
  <c r="X147" i="2" s="1"/>
  <c r="I148" i="2"/>
  <c r="I149" i="2"/>
  <c r="X149" i="2" s="1"/>
  <c r="I150" i="2"/>
  <c r="I151" i="2"/>
  <c r="I152" i="2"/>
  <c r="X152" i="2" s="1"/>
  <c r="I153" i="2"/>
  <c r="X153" i="2" s="1"/>
  <c r="I154" i="2"/>
  <c r="I155" i="2"/>
  <c r="I156" i="2"/>
  <c r="I157" i="2"/>
  <c r="X157" i="2" s="1"/>
  <c r="I158" i="2"/>
  <c r="I159" i="2"/>
  <c r="I160" i="2"/>
  <c r="X160" i="2" s="1"/>
  <c r="I161" i="2"/>
  <c r="I162" i="2"/>
  <c r="I163" i="2"/>
  <c r="I164" i="2"/>
  <c r="I165" i="2"/>
  <c r="I166" i="2"/>
  <c r="I167" i="2"/>
  <c r="I168" i="2"/>
  <c r="X168" i="2" s="1"/>
  <c r="I169" i="2"/>
  <c r="X169" i="2" s="1"/>
  <c r="I170" i="2"/>
  <c r="I171" i="2"/>
  <c r="X171" i="2" s="1"/>
  <c r="I172" i="2"/>
  <c r="I173" i="2"/>
  <c r="X173" i="2" s="1"/>
  <c r="I174" i="2"/>
  <c r="I175" i="2"/>
  <c r="I176" i="2"/>
  <c r="X176" i="2" s="1"/>
  <c r="I177" i="2"/>
  <c r="X177" i="2" s="1"/>
  <c r="I178" i="2"/>
  <c r="I179" i="2"/>
  <c r="I180" i="2"/>
  <c r="I181" i="2"/>
  <c r="X181" i="2" s="1"/>
  <c r="I182" i="2"/>
  <c r="I183" i="2"/>
  <c r="I184" i="2"/>
  <c r="X184" i="2" s="1"/>
  <c r="I185" i="2"/>
  <c r="X185" i="2" s="1"/>
  <c r="I186" i="2"/>
  <c r="I187" i="2"/>
  <c r="X187" i="2" s="1"/>
  <c r="I188" i="2"/>
  <c r="I189" i="2"/>
  <c r="X189" i="2" s="1"/>
  <c r="I190" i="2"/>
  <c r="I191" i="2"/>
  <c r="I192" i="2"/>
  <c r="X192" i="2" s="1"/>
  <c r="I193" i="2"/>
  <c r="X193" i="2" s="1"/>
  <c r="I194" i="2"/>
  <c r="I195" i="2"/>
  <c r="I196" i="2"/>
  <c r="I197" i="2"/>
  <c r="X197" i="2" s="1"/>
  <c r="I198" i="2"/>
  <c r="I199" i="2"/>
  <c r="I200" i="2"/>
  <c r="X200" i="2" s="1"/>
  <c r="I201" i="2"/>
  <c r="X201" i="2" s="1"/>
  <c r="I202" i="2"/>
  <c r="I203" i="2"/>
  <c r="I204" i="2"/>
  <c r="I205" i="2"/>
  <c r="X205" i="2" s="1"/>
  <c r="I206" i="2"/>
  <c r="I207" i="2"/>
  <c r="I208" i="2"/>
  <c r="X208" i="2" s="1"/>
  <c r="I209" i="2"/>
  <c r="X209" i="2" s="1"/>
  <c r="I210" i="2"/>
  <c r="I211" i="2"/>
  <c r="I212" i="2"/>
  <c r="I213" i="2"/>
  <c r="X213" i="2" s="1"/>
  <c r="I214" i="2"/>
  <c r="I215" i="2"/>
  <c r="I216" i="2"/>
  <c r="X216" i="2" s="1"/>
  <c r="I217" i="2"/>
  <c r="X217" i="2" s="1"/>
  <c r="I218" i="2"/>
  <c r="I219" i="2"/>
  <c r="I220" i="2"/>
  <c r="I221" i="2"/>
  <c r="I222" i="2"/>
  <c r="I223" i="2"/>
  <c r="I224" i="2"/>
  <c r="X224" i="2" s="1"/>
  <c r="I225" i="2"/>
  <c r="X225" i="2" s="1"/>
  <c r="I226" i="2"/>
  <c r="I227" i="2"/>
  <c r="I228" i="2"/>
  <c r="I229" i="2"/>
  <c r="X229" i="2" s="1"/>
  <c r="I230" i="2"/>
  <c r="I231" i="2"/>
  <c r="I232" i="2"/>
  <c r="X232" i="2" s="1"/>
  <c r="I233" i="2"/>
  <c r="X233" i="2" s="1"/>
  <c r="I234" i="2"/>
  <c r="I235" i="2"/>
  <c r="X235" i="2" s="1"/>
  <c r="I236" i="2"/>
  <c r="I237" i="2"/>
  <c r="X237" i="2" s="1"/>
  <c r="I238" i="2"/>
  <c r="X238" i="2" s="1"/>
  <c r="I239" i="2"/>
  <c r="I240" i="2"/>
  <c r="I241" i="2"/>
  <c r="X241" i="2" s="1"/>
  <c r="I242" i="2"/>
  <c r="I243" i="2"/>
  <c r="I244" i="2"/>
  <c r="I245" i="2"/>
  <c r="X245" i="2" s="1"/>
  <c r="I246" i="2"/>
  <c r="I247" i="2"/>
  <c r="I248" i="2"/>
  <c r="X248" i="2" s="1"/>
  <c r="I249" i="2"/>
  <c r="X249" i="2" s="1"/>
  <c r="I250" i="2"/>
  <c r="I251" i="2"/>
  <c r="I252" i="2"/>
  <c r="I253" i="2"/>
  <c r="X253" i="2" s="1"/>
  <c r="I254" i="2"/>
  <c r="I255" i="2"/>
  <c r="I256" i="2"/>
  <c r="X256" i="2" s="1"/>
  <c r="I257" i="2"/>
  <c r="X257" i="2" s="1"/>
  <c r="I258" i="2"/>
  <c r="I259" i="2"/>
  <c r="X259" i="2" s="1"/>
  <c r="I260" i="2"/>
  <c r="I261" i="2"/>
  <c r="X261" i="2" s="1"/>
  <c r="I262" i="2"/>
  <c r="I263" i="2"/>
  <c r="I264" i="2"/>
  <c r="X264" i="2" s="1"/>
  <c r="I265" i="2"/>
  <c r="X265" i="2" s="1"/>
  <c r="I266" i="2"/>
  <c r="I267" i="2"/>
  <c r="I268" i="2"/>
  <c r="I269" i="2"/>
  <c r="X269" i="2" s="1"/>
  <c r="I270" i="2"/>
  <c r="I271" i="2"/>
  <c r="I272" i="2"/>
  <c r="X272" i="2" s="1"/>
  <c r="I273" i="2"/>
  <c r="X273" i="2" s="1"/>
  <c r="I274" i="2"/>
  <c r="I275" i="2"/>
  <c r="X275" i="2" s="1"/>
  <c r="I276" i="2"/>
  <c r="I277" i="2"/>
  <c r="X277" i="2" s="1"/>
  <c r="I278" i="2"/>
  <c r="I279" i="2"/>
  <c r="I280" i="2"/>
  <c r="X280" i="2" s="1"/>
  <c r="I281" i="2"/>
  <c r="X281" i="2" s="1"/>
  <c r="I282" i="2"/>
  <c r="I283" i="2"/>
  <c r="I284" i="2"/>
  <c r="I285" i="2"/>
  <c r="X285" i="2" s="1"/>
  <c r="I286" i="2"/>
  <c r="I287" i="2"/>
  <c r="I288" i="2"/>
  <c r="X288" i="2" s="1"/>
  <c r="I289" i="2"/>
  <c r="X289" i="2" s="1"/>
  <c r="I290" i="2"/>
  <c r="I291" i="2"/>
  <c r="I292" i="2"/>
  <c r="I293" i="2"/>
  <c r="X293" i="2" s="1"/>
  <c r="I294" i="2"/>
  <c r="I295" i="2"/>
  <c r="I296" i="2"/>
  <c r="X296" i="2" s="1"/>
  <c r="I297" i="2"/>
  <c r="X297" i="2" s="1"/>
  <c r="I298" i="2"/>
  <c r="I299" i="2"/>
  <c r="X299" i="2" s="1"/>
  <c r="I300" i="2"/>
  <c r="I301" i="2"/>
  <c r="I302" i="2"/>
  <c r="I303" i="2"/>
  <c r="I304" i="2"/>
  <c r="I305" i="2"/>
  <c r="X305" i="2" s="1"/>
  <c r="I306" i="2"/>
  <c r="I307" i="2"/>
  <c r="X307" i="2" s="1"/>
  <c r="I308" i="2"/>
  <c r="I309" i="2"/>
  <c r="X309" i="2" s="1"/>
  <c r="I310" i="2"/>
  <c r="I311" i="2"/>
  <c r="I312" i="2"/>
  <c r="I313" i="2"/>
  <c r="X313" i="2" s="1"/>
  <c r="I314" i="2"/>
  <c r="I315" i="2"/>
  <c r="I316" i="2"/>
  <c r="I317" i="2"/>
  <c r="X317" i="2" s="1"/>
  <c r="I318" i="2"/>
  <c r="I319" i="2"/>
  <c r="I320" i="2"/>
  <c r="X320" i="2" s="1"/>
  <c r="I321" i="2"/>
  <c r="X321" i="2" s="1"/>
  <c r="I322" i="2"/>
  <c r="I323" i="2"/>
  <c r="I324" i="2"/>
  <c r="I325" i="2"/>
  <c r="X325" i="2" s="1"/>
  <c r="I326" i="2"/>
  <c r="I327" i="2"/>
  <c r="I328" i="2"/>
  <c r="X328" i="2" s="1"/>
  <c r="I329" i="2"/>
  <c r="X329" i="2" s="1"/>
  <c r="I330" i="2"/>
  <c r="I331" i="2"/>
  <c r="I332" i="2"/>
  <c r="I333" i="2"/>
  <c r="I334" i="2"/>
  <c r="I335" i="2"/>
  <c r="I336" i="2"/>
  <c r="X336" i="2" s="1"/>
  <c r="I337" i="2"/>
  <c r="X337" i="2" s="1"/>
  <c r="I338" i="2"/>
  <c r="I339" i="2"/>
  <c r="X339" i="2" s="1"/>
  <c r="I340" i="2"/>
  <c r="I341" i="2"/>
  <c r="X341" i="2" s="1"/>
  <c r="I342" i="2"/>
  <c r="I343" i="2"/>
  <c r="I344" i="2"/>
  <c r="X344" i="2" s="1"/>
  <c r="I345" i="2"/>
  <c r="X345" i="2" s="1"/>
  <c r="I346" i="2"/>
  <c r="I347" i="2"/>
  <c r="I348" i="2"/>
  <c r="I349" i="2"/>
  <c r="X349" i="2" s="1"/>
  <c r="I350" i="2"/>
  <c r="I351" i="2"/>
  <c r="I352" i="2"/>
  <c r="X352" i="2" s="1"/>
  <c r="I353" i="2"/>
  <c r="X353" i="2" s="1"/>
  <c r="I354" i="2"/>
  <c r="I355" i="2"/>
  <c r="X355" i="2" s="1"/>
  <c r="I356" i="2"/>
  <c r="I357" i="2"/>
  <c r="X357" i="2" s="1"/>
  <c r="I358" i="2"/>
  <c r="I359" i="2"/>
  <c r="I360" i="2"/>
  <c r="I361" i="2"/>
  <c r="X361" i="2" s="1"/>
  <c r="I362" i="2"/>
  <c r="I363" i="2"/>
  <c r="X363" i="2" s="1"/>
  <c r="I364" i="2"/>
  <c r="I365" i="2"/>
  <c r="X365" i="2" s="1"/>
  <c r="I366" i="2"/>
  <c r="I367" i="2"/>
  <c r="I368" i="2"/>
  <c r="I369" i="2"/>
  <c r="X369" i="2" s="1"/>
  <c r="I370" i="2"/>
  <c r="I371" i="2"/>
  <c r="I372" i="2"/>
  <c r="I373" i="2"/>
  <c r="X373" i="2" s="1"/>
  <c r="I374" i="2"/>
  <c r="I375" i="2"/>
  <c r="I376" i="2"/>
  <c r="X376" i="2" s="1"/>
  <c r="I377" i="2"/>
  <c r="I378" i="2"/>
  <c r="I379" i="2"/>
  <c r="X379" i="2" s="1"/>
  <c r="I380" i="2"/>
  <c r="I381" i="2"/>
  <c r="X381" i="2" s="1"/>
  <c r="I382" i="2"/>
  <c r="I383" i="2"/>
  <c r="I384" i="2"/>
  <c r="X384" i="2" s="1"/>
  <c r="I385" i="2"/>
  <c r="X385" i="2" s="1"/>
  <c r="I386" i="2"/>
  <c r="I387" i="2"/>
  <c r="X387" i="2" s="1"/>
  <c r="I388" i="2"/>
  <c r="I389" i="2"/>
  <c r="X389" i="2" s="1"/>
  <c r="I390" i="2"/>
  <c r="I391" i="2"/>
  <c r="I392" i="2"/>
  <c r="X392" i="2" s="1"/>
  <c r="I393" i="2"/>
  <c r="X393" i="2" s="1"/>
  <c r="I394" i="2"/>
  <c r="I395" i="2"/>
  <c r="I396" i="2"/>
  <c r="I397" i="2"/>
  <c r="I398" i="2"/>
  <c r="I399" i="2"/>
  <c r="I400" i="2"/>
  <c r="X400" i="2" s="1"/>
  <c r="I401" i="2"/>
  <c r="X401" i="2" s="1"/>
  <c r="I402" i="2"/>
  <c r="I403" i="2"/>
  <c r="I404" i="2"/>
  <c r="I405" i="2"/>
  <c r="I406" i="2"/>
  <c r="I407" i="2"/>
  <c r="I408" i="2"/>
  <c r="X408" i="2" s="1"/>
  <c r="I409" i="2"/>
  <c r="X409" i="2" s="1"/>
  <c r="I410" i="2"/>
  <c r="I411" i="2"/>
  <c r="X411" i="2" s="1"/>
  <c r="I412" i="2"/>
  <c r="I413" i="2"/>
  <c r="X413" i="2" s="1"/>
  <c r="I414" i="2"/>
  <c r="I415" i="2"/>
  <c r="I416" i="2"/>
  <c r="X416" i="2" s="1"/>
  <c r="I417" i="2"/>
  <c r="X417" i="2" s="1"/>
  <c r="I418" i="2"/>
  <c r="I419" i="2"/>
  <c r="I420" i="2"/>
  <c r="I421" i="2"/>
  <c r="X421" i="2" s="1"/>
  <c r="I422" i="2"/>
  <c r="I423" i="2"/>
  <c r="I424" i="2"/>
  <c r="X424" i="2" s="1"/>
  <c r="I425" i="2"/>
  <c r="X425" i="2" s="1"/>
  <c r="I426" i="2"/>
  <c r="I427" i="2"/>
  <c r="X427" i="2" s="1"/>
  <c r="I428" i="2"/>
  <c r="I429" i="2"/>
  <c r="I430" i="2"/>
  <c r="I431" i="2"/>
  <c r="I432" i="2"/>
  <c r="X432" i="2" s="1"/>
  <c r="I433" i="2"/>
  <c r="X433" i="2" s="1"/>
  <c r="I434" i="2"/>
  <c r="I435" i="2"/>
  <c r="I436" i="2"/>
  <c r="I437" i="2"/>
  <c r="X437" i="2" s="1"/>
  <c r="I438" i="2"/>
  <c r="I439" i="2"/>
  <c r="I440" i="2"/>
  <c r="I441" i="2"/>
  <c r="X441" i="2" s="1"/>
  <c r="I442" i="2"/>
  <c r="I443" i="2"/>
  <c r="X443" i="2" s="1"/>
  <c r="I444" i="2"/>
  <c r="I445" i="2"/>
  <c r="X445" i="2" s="1"/>
  <c r="I446" i="2"/>
  <c r="I447" i="2"/>
  <c r="I448" i="2"/>
  <c r="X448" i="2" s="1"/>
  <c r="I449" i="2"/>
  <c r="I450" i="2"/>
  <c r="I451" i="2"/>
  <c r="I452" i="2"/>
  <c r="I453" i="2"/>
  <c r="X453" i="2" s="1"/>
  <c r="I454" i="2"/>
  <c r="I455" i="2"/>
  <c r="I456" i="2"/>
  <c r="X456" i="2" s="1"/>
  <c r="I457" i="2"/>
  <c r="I458" i="2"/>
  <c r="I459" i="2"/>
  <c r="I460" i="2"/>
  <c r="I461" i="2"/>
  <c r="X461" i="2" s="1"/>
  <c r="I462" i="2"/>
  <c r="I463" i="2"/>
  <c r="I464" i="2"/>
  <c r="I465" i="2"/>
  <c r="I466" i="2"/>
  <c r="I467" i="2"/>
  <c r="I468" i="2"/>
  <c r="I469" i="2"/>
  <c r="X469" i="2" s="1"/>
  <c r="I470" i="2"/>
  <c r="I471" i="2"/>
  <c r="I472" i="2"/>
  <c r="I473" i="2"/>
  <c r="X473" i="2" s="1"/>
  <c r="I474" i="2"/>
  <c r="X474" i="2" s="1"/>
  <c r="I475" i="2"/>
  <c r="X475" i="2" s="1"/>
  <c r="I476" i="2"/>
  <c r="I477" i="2"/>
  <c r="I478" i="2"/>
  <c r="I479" i="2"/>
  <c r="I480" i="2"/>
  <c r="X480" i="2" s="1"/>
  <c r="I481" i="2"/>
  <c r="X481" i="2" s="1"/>
  <c r="I482" i="2"/>
  <c r="I483" i="2"/>
  <c r="X483" i="2" s="1"/>
  <c r="I484" i="2"/>
  <c r="I485" i="2"/>
  <c r="X485" i="2" s="1"/>
  <c r="I486" i="2"/>
  <c r="X486" i="2" s="1"/>
  <c r="I487" i="2"/>
  <c r="I488" i="2"/>
  <c r="X488" i="2" s="1"/>
  <c r="I489" i="2"/>
  <c r="X489" i="2" s="1"/>
  <c r="I490" i="2"/>
  <c r="I491" i="2"/>
  <c r="I492" i="2"/>
  <c r="I493" i="2"/>
  <c r="X493" i="2" s="1"/>
  <c r="I494" i="2"/>
  <c r="I495" i="2"/>
  <c r="I496" i="2"/>
  <c r="X496" i="2" s="1"/>
  <c r="I497" i="2"/>
  <c r="X497" i="2" s="1"/>
  <c r="I498" i="2"/>
  <c r="I499" i="2"/>
  <c r="X499" i="2" s="1"/>
  <c r="I500" i="2"/>
  <c r="I501" i="2"/>
  <c r="X501" i="2" s="1"/>
  <c r="I502" i="2"/>
  <c r="X502" i="2" s="1"/>
  <c r="I503" i="2"/>
  <c r="I504" i="2"/>
  <c r="X504" i="2" s="1"/>
  <c r="I505" i="2"/>
  <c r="X505" i="2" s="1"/>
  <c r="I506" i="2"/>
  <c r="I507" i="2"/>
  <c r="I508" i="2"/>
  <c r="I509" i="2"/>
  <c r="X509" i="2" s="1"/>
  <c r="I510" i="2"/>
  <c r="I511" i="2"/>
  <c r="I512" i="2"/>
  <c r="X512" i="2" s="1"/>
  <c r="I513" i="2"/>
  <c r="I514" i="2"/>
  <c r="I515" i="2"/>
  <c r="X515" i="2" s="1"/>
  <c r="I516" i="2"/>
  <c r="I517" i="2"/>
  <c r="I518" i="2"/>
  <c r="I519" i="2"/>
  <c r="I520" i="2"/>
  <c r="X520" i="2" s="1"/>
  <c r="I521" i="2"/>
  <c r="X521" i="2" s="1"/>
  <c r="I522" i="2"/>
  <c r="I523" i="2"/>
  <c r="X523" i="2" s="1"/>
  <c r="I524" i="2"/>
  <c r="I525" i="2"/>
  <c r="X525" i="2" s="1"/>
  <c r="I526" i="2"/>
  <c r="I527" i="2"/>
  <c r="I528" i="2"/>
  <c r="X528" i="2" s="1"/>
  <c r="I529" i="2"/>
  <c r="X529" i="2" s="1"/>
  <c r="I530" i="2"/>
  <c r="I531" i="2"/>
  <c r="X531" i="2" s="1"/>
  <c r="I532" i="2"/>
  <c r="I533" i="2"/>
  <c r="X533" i="2" s="1"/>
  <c r="I534" i="2"/>
  <c r="I535" i="2"/>
  <c r="I536" i="2"/>
  <c r="X536" i="2" s="1"/>
  <c r="I537" i="2"/>
  <c r="X537" i="2" s="1"/>
  <c r="I538" i="2"/>
  <c r="I539" i="2"/>
  <c r="I540" i="2"/>
  <c r="I541" i="2"/>
  <c r="X541" i="2" s="1"/>
  <c r="I542" i="2"/>
  <c r="I543" i="2"/>
  <c r="I544" i="2"/>
  <c r="X544" i="2" s="1"/>
  <c r="I545" i="2"/>
  <c r="X545" i="2" s="1"/>
  <c r="I546" i="2"/>
  <c r="I547" i="2"/>
  <c r="I548" i="2"/>
  <c r="I549" i="2"/>
  <c r="X549" i="2" s="1"/>
  <c r="I550" i="2"/>
  <c r="X550" i="2" s="1"/>
  <c r="I551" i="2"/>
  <c r="I552" i="2"/>
  <c r="X552" i="2" s="1"/>
  <c r="I553" i="2"/>
  <c r="X553" i="2" s="1"/>
  <c r="I554" i="2"/>
  <c r="I555" i="2"/>
  <c r="X555" i="2" s="1"/>
  <c r="I556" i="2"/>
  <c r="I557" i="2"/>
  <c r="I558" i="2"/>
  <c r="I559" i="2"/>
  <c r="I560" i="2"/>
  <c r="X560" i="2" s="1"/>
  <c r="I561" i="2"/>
  <c r="X561" i="2" s="1"/>
  <c r="I562" i="2"/>
  <c r="I563" i="2"/>
  <c r="I564" i="2"/>
  <c r="I565" i="2"/>
  <c r="X565" i="2" s="1"/>
  <c r="I566" i="2"/>
  <c r="I567" i="2"/>
  <c r="I568" i="2"/>
  <c r="X568" i="2" s="1"/>
  <c r="I569" i="2"/>
  <c r="X569" i="2" s="1"/>
  <c r="I570" i="2"/>
  <c r="I571" i="2"/>
  <c r="I572" i="2"/>
  <c r="I573" i="2"/>
  <c r="X573" i="2" s="1"/>
  <c r="I574" i="2"/>
  <c r="I575" i="2"/>
  <c r="I576" i="2"/>
  <c r="I577" i="2"/>
  <c r="I578" i="2"/>
  <c r="I579" i="2"/>
  <c r="X579" i="2" s="1"/>
  <c r="I580" i="2"/>
  <c r="I581" i="2"/>
  <c r="X581" i="2" s="1"/>
  <c r="I582" i="2"/>
  <c r="I583" i="2"/>
  <c r="I584" i="2"/>
  <c r="X584" i="2" s="1"/>
  <c r="I585" i="2"/>
  <c r="X585" i="2" s="1"/>
  <c r="I586" i="2"/>
  <c r="I587" i="2"/>
  <c r="X587" i="2" s="1"/>
  <c r="I588" i="2"/>
  <c r="I589" i="2"/>
  <c r="X589" i="2" s="1"/>
  <c r="I590" i="2"/>
  <c r="I591" i="2"/>
  <c r="I592" i="2"/>
  <c r="X592" i="2" s="1"/>
  <c r="I593" i="2"/>
  <c r="I594" i="2"/>
  <c r="I595" i="2"/>
  <c r="X595" i="2" s="1"/>
  <c r="I596" i="2"/>
  <c r="I597" i="2"/>
  <c r="X597" i="2" s="1"/>
  <c r="I598" i="2"/>
  <c r="I599" i="2"/>
  <c r="I600" i="2"/>
  <c r="X600" i="2" s="1"/>
  <c r="I601" i="2"/>
  <c r="I602" i="2"/>
  <c r="I603" i="2"/>
  <c r="X603" i="2" s="1"/>
  <c r="I604" i="2"/>
  <c r="I605" i="2"/>
  <c r="X605" i="2" s="1"/>
  <c r="I606" i="2"/>
  <c r="I607" i="2"/>
  <c r="I608" i="2"/>
  <c r="X608" i="2" s="1"/>
  <c r="I609" i="2"/>
  <c r="X609" i="2" s="1"/>
  <c r="I610" i="2"/>
  <c r="I611" i="2"/>
  <c r="X611" i="2" s="1"/>
  <c r="I612" i="2"/>
  <c r="I613" i="2"/>
  <c r="X613" i="2" s="1"/>
  <c r="I614" i="2"/>
  <c r="I615" i="2"/>
  <c r="I616" i="2"/>
  <c r="X616" i="2" s="1"/>
  <c r="I617" i="2"/>
  <c r="X617" i="2" s="1"/>
  <c r="I618" i="2"/>
  <c r="I619" i="2"/>
  <c r="X619" i="2" s="1"/>
  <c r="I620" i="2"/>
  <c r="I621" i="2"/>
  <c r="X621" i="2" s="1"/>
  <c r="I622" i="2"/>
  <c r="X622" i="2" s="1"/>
  <c r="I623" i="2"/>
  <c r="I624" i="2"/>
  <c r="X624" i="2" s="1"/>
  <c r="I625" i="2"/>
  <c r="I626" i="2"/>
  <c r="I627" i="2"/>
  <c r="X627" i="2" s="1"/>
  <c r="I628" i="2"/>
  <c r="X628" i="2" s="1"/>
  <c r="I629" i="2"/>
  <c r="X629" i="2" s="1"/>
  <c r="I630" i="2"/>
  <c r="I631" i="2"/>
  <c r="I632" i="2"/>
  <c r="I633" i="2"/>
  <c r="I634" i="2"/>
  <c r="I635" i="2"/>
  <c r="I636" i="2"/>
  <c r="I637" i="2"/>
  <c r="X637" i="2" s="1"/>
  <c r="I638" i="2"/>
  <c r="I639" i="2"/>
  <c r="I640" i="2"/>
  <c r="X640" i="2" s="1"/>
  <c r="I641" i="2"/>
  <c r="X641" i="2" s="1"/>
  <c r="I642" i="2"/>
  <c r="I643" i="2"/>
  <c r="X643" i="2" s="1"/>
  <c r="I644" i="2"/>
  <c r="I645" i="2"/>
  <c r="I646" i="2"/>
  <c r="I647" i="2"/>
  <c r="I648" i="2"/>
  <c r="X648" i="2" s="1"/>
  <c r="I649" i="2"/>
  <c r="X649" i="2" s="1"/>
  <c r="I650" i="2"/>
  <c r="I651" i="2"/>
  <c r="X651" i="2" s="1"/>
  <c r="I652" i="2"/>
  <c r="I653" i="2"/>
  <c r="X653" i="2" s="1"/>
  <c r="I654" i="2"/>
  <c r="I655" i="2"/>
  <c r="I656" i="2"/>
  <c r="X656" i="2" s="1"/>
  <c r="I657" i="2"/>
  <c r="X657" i="2" s="1"/>
  <c r="I658" i="2"/>
  <c r="I659" i="2"/>
  <c r="X659" i="2" s="1"/>
  <c r="I660" i="2"/>
  <c r="I661" i="2"/>
  <c r="X661" i="2" s="1"/>
  <c r="I662" i="2"/>
  <c r="I663" i="2"/>
  <c r="I664" i="2"/>
  <c r="X664" i="2" s="1"/>
  <c r="I665" i="2"/>
  <c r="X665" i="2" s="1"/>
  <c r="I666" i="2"/>
  <c r="I667" i="2"/>
  <c r="I668" i="2"/>
  <c r="I669" i="2"/>
  <c r="I670" i="2"/>
  <c r="I671" i="2"/>
  <c r="I672" i="2"/>
  <c r="X672" i="2" s="1"/>
  <c r="I673" i="2"/>
  <c r="X673" i="2" s="1"/>
  <c r="I674" i="2"/>
  <c r="I675" i="2"/>
  <c r="X675" i="2" s="1"/>
  <c r="I676" i="2"/>
  <c r="I677" i="2"/>
  <c r="X677" i="2" s="1"/>
  <c r="I678" i="2"/>
  <c r="X678" i="2" s="1"/>
  <c r="I679" i="2"/>
  <c r="I680" i="2"/>
  <c r="I681" i="2"/>
  <c r="X681" i="2" s="1"/>
  <c r="I682" i="2"/>
  <c r="X682" i="2" s="1"/>
  <c r="I683" i="2"/>
  <c r="X683" i="2" s="1"/>
  <c r="I684" i="2"/>
  <c r="I685" i="2"/>
  <c r="X685" i="2" s="1"/>
  <c r="I686" i="2"/>
  <c r="I687" i="2"/>
  <c r="I688" i="2"/>
  <c r="X688" i="2" s="1"/>
  <c r="I689" i="2"/>
  <c r="I690" i="2"/>
  <c r="I691" i="2"/>
  <c r="X691" i="2" s="1"/>
  <c r="I692" i="2"/>
  <c r="I693" i="2"/>
  <c r="X693" i="2" s="1"/>
  <c r="I694" i="2"/>
  <c r="I695" i="2"/>
  <c r="I696" i="2"/>
  <c r="X696" i="2" s="1"/>
  <c r="I697" i="2"/>
  <c r="I698" i="2"/>
  <c r="I699" i="2"/>
  <c r="I700" i="2"/>
  <c r="I701" i="2"/>
  <c r="X701" i="2" s="1"/>
  <c r="I702" i="2"/>
  <c r="I703" i="2"/>
  <c r="I704" i="2"/>
  <c r="X704" i="2" s="1"/>
  <c r="I705" i="2"/>
  <c r="I706" i="2"/>
  <c r="I707" i="2"/>
  <c r="I708" i="2"/>
  <c r="I709" i="2"/>
  <c r="X709" i="2" s="1"/>
  <c r="I710" i="2"/>
  <c r="I711" i="2"/>
  <c r="I712" i="2"/>
  <c r="X712" i="2" s="1"/>
  <c r="I713" i="2"/>
  <c r="I714" i="2"/>
  <c r="I715" i="2"/>
  <c r="I716" i="2"/>
  <c r="I717" i="2"/>
  <c r="X717" i="2" s="1"/>
  <c r="I718" i="2"/>
  <c r="I719" i="2"/>
  <c r="X719" i="2" s="1"/>
  <c r="I720" i="2"/>
  <c r="X720" i="2" s="1"/>
  <c r="I721" i="2"/>
  <c r="X721" i="2" s="1"/>
  <c r="I722" i="2"/>
  <c r="I723" i="2"/>
  <c r="I724" i="2"/>
  <c r="I725" i="2"/>
  <c r="X725" i="2" s="1"/>
  <c r="I726" i="2"/>
  <c r="I727" i="2"/>
  <c r="I728" i="2"/>
  <c r="X728" i="2" s="1"/>
  <c r="I729" i="2"/>
  <c r="X729" i="2" s="1"/>
  <c r="I730" i="2"/>
  <c r="X730" i="2" s="1"/>
  <c r="I731" i="2"/>
  <c r="I732" i="2"/>
  <c r="I733" i="2"/>
  <c r="X733" i="2" s="1"/>
  <c r="I734" i="2"/>
  <c r="X734" i="2" s="1"/>
  <c r="I735" i="2"/>
  <c r="I736" i="2"/>
  <c r="X736" i="2" s="1"/>
  <c r="I737" i="2"/>
  <c r="I738" i="2"/>
  <c r="X738" i="2" s="1"/>
  <c r="I739" i="2"/>
  <c r="X739" i="2" s="1"/>
  <c r="I740" i="2"/>
  <c r="I741" i="2"/>
  <c r="I742" i="2"/>
  <c r="I743" i="2"/>
  <c r="I744" i="2"/>
  <c r="X744" i="2" s="1"/>
  <c r="I745" i="2"/>
  <c r="X745" i="2" s="1"/>
  <c r="I746" i="2"/>
  <c r="I747" i="2"/>
  <c r="X747" i="2" s="1"/>
  <c r="I748" i="2"/>
  <c r="I749" i="2"/>
  <c r="X749" i="2" s="1"/>
  <c r="I750" i="2"/>
  <c r="X750" i="2" s="1"/>
  <c r="I751" i="2"/>
  <c r="I752" i="2"/>
  <c r="X752" i="2" s="1"/>
  <c r="I753" i="2"/>
  <c r="I754" i="2"/>
  <c r="I755" i="2"/>
  <c r="I756" i="2"/>
  <c r="I757" i="2"/>
  <c r="X757" i="2" s="1"/>
  <c r="I758" i="2"/>
  <c r="I759" i="2"/>
  <c r="I760" i="2"/>
  <c r="X760" i="2" s="1"/>
  <c r="I761" i="2"/>
  <c r="X761" i="2" s="1"/>
  <c r="I762" i="2"/>
  <c r="I763" i="2"/>
  <c r="X763" i="2" s="1"/>
  <c r="I764" i="2"/>
  <c r="I765" i="2"/>
  <c r="X765" i="2" s="1"/>
  <c r="I766" i="2"/>
  <c r="I767" i="2"/>
  <c r="I768" i="2"/>
  <c r="X768" i="2" s="1"/>
  <c r="I769" i="2"/>
  <c r="X769" i="2" s="1"/>
  <c r="I770" i="2"/>
  <c r="I771" i="2"/>
  <c r="X771" i="2" s="1"/>
  <c r="I772" i="2"/>
  <c r="I773" i="2"/>
  <c r="I774" i="2"/>
  <c r="I775" i="2"/>
  <c r="I776" i="2"/>
  <c r="X776" i="2" s="1"/>
  <c r="I777" i="2"/>
  <c r="X777" i="2" s="1"/>
  <c r="I778" i="2"/>
  <c r="I779" i="2"/>
  <c r="I780" i="2"/>
  <c r="I781" i="2"/>
  <c r="X781" i="2" s="1"/>
  <c r="I782" i="2"/>
  <c r="I783" i="2"/>
  <c r="I784" i="2"/>
  <c r="X784" i="2" s="1"/>
  <c r="I785" i="2"/>
  <c r="X785" i="2" s="1"/>
  <c r="I786" i="2"/>
  <c r="I787" i="2"/>
  <c r="X787" i="2" s="1"/>
  <c r="I788" i="2"/>
  <c r="I789" i="2"/>
  <c r="X789" i="2" s="1"/>
  <c r="I790" i="2"/>
  <c r="I791" i="2"/>
  <c r="I792" i="2"/>
  <c r="X792" i="2" s="1"/>
  <c r="I793" i="2"/>
  <c r="I794" i="2"/>
  <c r="X794" i="2" s="1"/>
  <c r="I795" i="2"/>
  <c r="I796" i="2"/>
  <c r="I797" i="2"/>
  <c r="I798" i="2"/>
  <c r="X798" i="2" s="1"/>
  <c r="I799" i="2"/>
  <c r="I800" i="2"/>
  <c r="X800" i="2" s="1"/>
  <c r="I801" i="2"/>
  <c r="X801" i="2" s="1"/>
  <c r="I802" i="2"/>
  <c r="I803" i="2"/>
  <c r="I804" i="2"/>
  <c r="I805" i="2"/>
  <c r="X805" i="2" s="1"/>
  <c r="I806" i="2"/>
  <c r="I807" i="2"/>
  <c r="I808" i="2"/>
  <c r="X808" i="2" s="1"/>
  <c r="I809" i="2"/>
  <c r="X809" i="2" s="1"/>
  <c r="I810" i="2"/>
  <c r="I811" i="2"/>
  <c r="I812" i="2"/>
  <c r="I813" i="2"/>
  <c r="I814" i="2"/>
  <c r="I815" i="2"/>
  <c r="I816" i="2"/>
  <c r="X816" i="2" s="1"/>
  <c r="I817" i="2"/>
  <c r="I818" i="2"/>
  <c r="I819" i="2"/>
  <c r="X819" i="2" s="1"/>
  <c r="I820" i="2"/>
  <c r="I821" i="2"/>
  <c r="X821" i="2" s="1"/>
  <c r="I822" i="2"/>
  <c r="I823" i="2"/>
  <c r="X823" i="2" s="1"/>
  <c r="I824" i="2"/>
  <c r="X824" i="2" s="1"/>
  <c r="I825" i="2"/>
  <c r="X825" i="2" s="1"/>
  <c r="I826" i="2"/>
  <c r="X826" i="2" s="1"/>
  <c r="I827" i="2"/>
  <c r="I828" i="2"/>
  <c r="X828" i="2" s="1"/>
  <c r="I829" i="2"/>
  <c r="I830" i="2"/>
  <c r="I831" i="2"/>
  <c r="I832" i="2"/>
  <c r="X832" i="2" s="1"/>
  <c r="I833" i="2"/>
  <c r="X833" i="2" s="1"/>
  <c r="I834" i="2"/>
  <c r="I835" i="2"/>
  <c r="I836" i="2"/>
  <c r="I837" i="2"/>
  <c r="X837" i="2" s="1"/>
  <c r="I838" i="2"/>
  <c r="I839" i="2"/>
  <c r="I840" i="2"/>
  <c r="X840" i="2" s="1"/>
  <c r="I841" i="2"/>
  <c r="X841" i="2" s="1"/>
  <c r="I842" i="2"/>
  <c r="I843" i="2"/>
  <c r="X843" i="2" s="1"/>
  <c r="I844" i="2"/>
  <c r="X844" i="2" s="1"/>
  <c r="I845" i="2"/>
  <c r="X845" i="2" s="1"/>
  <c r="I846" i="2"/>
  <c r="I847" i="2"/>
  <c r="I848" i="2"/>
  <c r="X848" i="2" s="1"/>
  <c r="I849" i="2"/>
  <c r="X849" i="2" s="1"/>
  <c r="I850" i="2"/>
  <c r="I851" i="2"/>
  <c r="X851" i="2" s="1"/>
  <c r="I852" i="2"/>
  <c r="I853" i="2"/>
  <c r="X853" i="2" s="1"/>
  <c r="I854" i="2"/>
  <c r="I855" i="2"/>
  <c r="I856" i="2"/>
  <c r="X856" i="2" s="1"/>
  <c r="I857" i="2"/>
  <c r="X857" i="2" s="1"/>
  <c r="I858" i="2"/>
  <c r="I859" i="2"/>
  <c r="I860" i="2"/>
  <c r="I861" i="2"/>
  <c r="X861" i="2" s="1"/>
  <c r="I862" i="2"/>
  <c r="I863" i="2"/>
  <c r="I864" i="2"/>
  <c r="X864" i="2" s="1"/>
  <c r="I865" i="2"/>
  <c r="X865" i="2" s="1"/>
  <c r="I866" i="2"/>
  <c r="I867" i="2"/>
  <c r="X867" i="2" s="1"/>
  <c r="I868" i="2"/>
  <c r="I869" i="2"/>
  <c r="I870" i="2"/>
  <c r="I871" i="2"/>
  <c r="I872" i="2"/>
  <c r="X872" i="2" s="1"/>
  <c r="I873" i="2"/>
  <c r="I874" i="2"/>
  <c r="I875" i="2"/>
  <c r="I876" i="2"/>
  <c r="I877" i="2"/>
  <c r="X877" i="2" s="1"/>
  <c r="I878" i="2"/>
  <c r="X878" i="2" s="1"/>
  <c r="I879" i="2"/>
  <c r="I880" i="2"/>
  <c r="X880" i="2" s="1"/>
  <c r="I881" i="2"/>
  <c r="X881" i="2" s="1"/>
  <c r="I882" i="2"/>
  <c r="I883" i="2"/>
  <c r="X883" i="2" s="1"/>
  <c r="I884" i="2"/>
  <c r="I885" i="2"/>
  <c r="X885" i="2" s="1"/>
  <c r="I886" i="2"/>
  <c r="I887" i="2"/>
  <c r="I888" i="2"/>
  <c r="X888" i="2" s="1"/>
  <c r="I889" i="2"/>
  <c r="X889" i="2" s="1"/>
  <c r="I890" i="2"/>
  <c r="I891" i="2"/>
  <c r="X891" i="2" s="1"/>
  <c r="I892" i="2"/>
  <c r="I893" i="2"/>
  <c r="X893" i="2" s="1"/>
  <c r="I894" i="2"/>
  <c r="I895" i="2"/>
  <c r="I896" i="2"/>
  <c r="I897" i="2"/>
  <c r="X897" i="2" s="1"/>
  <c r="I898" i="2"/>
  <c r="I899" i="2"/>
  <c r="I900" i="2"/>
  <c r="I901" i="2"/>
  <c r="I902" i="2"/>
  <c r="X902" i="2" s="1"/>
  <c r="I903" i="2"/>
  <c r="I904" i="2"/>
  <c r="X904" i="2" s="1"/>
  <c r="I905" i="2"/>
  <c r="X905" i="2" s="1"/>
  <c r="I906" i="2"/>
  <c r="I907" i="2"/>
  <c r="X907" i="2" s="1"/>
  <c r="I908" i="2"/>
  <c r="I909" i="2"/>
  <c r="X909" i="2" s="1"/>
  <c r="I910" i="2"/>
  <c r="I911" i="2"/>
  <c r="I912" i="2"/>
  <c r="X912" i="2" s="1"/>
  <c r="I913" i="2"/>
  <c r="X913" i="2" s="1"/>
  <c r="I914" i="2"/>
  <c r="I915" i="2"/>
  <c r="I916" i="2"/>
  <c r="I917" i="2"/>
  <c r="X917" i="2" s="1"/>
  <c r="I918" i="2"/>
  <c r="I919" i="2"/>
  <c r="I920" i="2"/>
  <c r="X920" i="2" s="1"/>
  <c r="I921" i="2"/>
  <c r="X921" i="2" s="1"/>
  <c r="I922" i="2"/>
  <c r="I923" i="2"/>
  <c r="X923" i="2" s="1"/>
  <c r="I924" i="2"/>
  <c r="I925" i="2"/>
  <c r="X925" i="2" s="1"/>
  <c r="I926" i="2"/>
  <c r="I927" i="2"/>
  <c r="I928" i="2"/>
  <c r="X928" i="2" s="1"/>
  <c r="I929" i="2"/>
  <c r="X929" i="2" s="1"/>
  <c r="I930" i="2"/>
  <c r="I931" i="2"/>
  <c r="X931" i="2" s="1"/>
  <c r="I932" i="2"/>
  <c r="I933" i="2"/>
  <c r="X933" i="2" s="1"/>
  <c r="I934" i="2"/>
  <c r="X934" i="2" s="1"/>
  <c r="I935" i="2"/>
  <c r="I936" i="2"/>
  <c r="X936" i="2" s="1"/>
  <c r="I937" i="2"/>
  <c r="I938" i="2"/>
  <c r="I939" i="2"/>
  <c r="X939" i="2" s="1"/>
  <c r="I940" i="2"/>
  <c r="I941" i="2"/>
  <c r="X941" i="2" s="1"/>
  <c r="I942" i="2"/>
  <c r="X942" i="2" s="1"/>
  <c r="I943" i="2"/>
  <c r="I944" i="2"/>
  <c r="X944" i="2" s="1"/>
  <c r="I945" i="2"/>
  <c r="X945" i="2" s="1"/>
  <c r="I946" i="2"/>
  <c r="I947" i="2"/>
  <c r="I948" i="2"/>
  <c r="I949" i="2"/>
  <c r="X949" i="2" s="1"/>
  <c r="I950" i="2"/>
  <c r="I951" i="2"/>
  <c r="I952" i="2"/>
  <c r="X952" i="2" s="1"/>
  <c r="I953" i="2"/>
  <c r="X953" i="2" s="1"/>
  <c r="I954" i="2"/>
  <c r="I955" i="2"/>
  <c r="I956" i="2"/>
  <c r="I957" i="2"/>
  <c r="X957" i="2" s="1"/>
  <c r="I958" i="2"/>
  <c r="X958" i="2" s="1"/>
  <c r="I959" i="2"/>
  <c r="I960" i="2"/>
  <c r="X960" i="2" s="1"/>
  <c r="I961" i="2"/>
  <c r="I962" i="2"/>
  <c r="I963" i="2"/>
  <c r="X963" i="2" s="1"/>
  <c r="I964" i="2"/>
  <c r="I965" i="2"/>
  <c r="I966" i="2"/>
  <c r="X966" i="2" s="1"/>
  <c r="I967" i="2"/>
  <c r="I968" i="2"/>
  <c r="X968" i="2" s="1"/>
  <c r="I969" i="2"/>
  <c r="X969" i="2" s="1"/>
  <c r="I970" i="2"/>
  <c r="X970" i="2" s="1"/>
  <c r="I971" i="2"/>
  <c r="I972" i="2"/>
  <c r="I973" i="2"/>
  <c r="X973" i="2" s="1"/>
  <c r="I974" i="2"/>
  <c r="I975" i="2"/>
  <c r="I976" i="2"/>
  <c r="X976" i="2" s="1"/>
  <c r="I977" i="2"/>
  <c r="I978" i="2"/>
  <c r="I979" i="2"/>
  <c r="I980" i="2"/>
  <c r="I981" i="2"/>
  <c r="X981" i="2" s="1"/>
  <c r="I982" i="2"/>
  <c r="X982" i="2" s="1"/>
  <c r="I983" i="2"/>
  <c r="X983" i="2" s="1"/>
  <c r="I984" i="2"/>
  <c r="X984" i="2" s="1"/>
  <c r="I985" i="2"/>
  <c r="I986" i="2"/>
  <c r="X986" i="2" s="1"/>
  <c r="I987" i="2"/>
  <c r="X987" i="2" s="1"/>
  <c r="I988" i="2"/>
  <c r="I989" i="2"/>
  <c r="X989" i="2" s="1"/>
  <c r="I990" i="2"/>
  <c r="X990" i="2" s="1"/>
  <c r="I991" i="2"/>
  <c r="X991" i="2" s="1"/>
  <c r="I992" i="2"/>
  <c r="X992" i="2" s="1"/>
  <c r="I993" i="2"/>
  <c r="X993" i="2" s="1"/>
  <c r="I994" i="2"/>
  <c r="I995" i="2"/>
  <c r="I996" i="2"/>
  <c r="I997" i="2"/>
  <c r="X997" i="2" s="1"/>
  <c r="I998" i="2"/>
  <c r="X998" i="2" s="1"/>
  <c r="I999" i="2"/>
  <c r="I1000" i="2"/>
  <c r="X1000" i="2" s="1"/>
  <c r="I1001" i="2"/>
  <c r="I1002" i="2"/>
  <c r="I1003" i="2"/>
  <c r="X1003" i="2" s="1"/>
  <c r="I1004" i="2"/>
  <c r="I1005" i="2"/>
  <c r="X1005" i="2" s="1"/>
  <c r="I1006" i="2"/>
  <c r="I1007" i="2"/>
  <c r="I1008" i="2"/>
  <c r="X1008" i="2" s="1"/>
  <c r="I1009" i="2"/>
  <c r="X1009" i="2" s="1"/>
  <c r="I1010" i="2"/>
  <c r="I1011" i="2"/>
  <c r="X1011" i="2" s="1"/>
  <c r="I1012" i="2"/>
  <c r="I1013" i="2"/>
  <c r="X1013" i="2" s="1"/>
  <c r="I1014" i="2"/>
  <c r="I1015" i="2"/>
  <c r="X1015" i="2" s="1"/>
  <c r="I1016" i="2"/>
  <c r="X1016" i="2" s="1"/>
  <c r="I1017" i="2"/>
  <c r="I1018" i="2"/>
  <c r="I1019" i="2"/>
  <c r="I1020" i="2"/>
  <c r="I1021" i="2"/>
  <c r="I1022" i="2"/>
  <c r="X1022" i="2" s="1"/>
  <c r="I1023" i="2"/>
  <c r="X1023" i="2" s="1"/>
  <c r="I1024" i="2"/>
  <c r="X1024" i="2" s="1"/>
  <c r="I1025" i="2"/>
  <c r="X1025" i="2" s="1"/>
  <c r="I1026" i="2"/>
  <c r="I1027" i="2"/>
  <c r="I1028" i="2"/>
  <c r="X1028" i="2" s="1"/>
  <c r="I1029" i="2"/>
  <c r="I1030" i="2"/>
  <c r="X1030" i="2" s="1"/>
  <c r="I1031" i="2"/>
  <c r="I1032" i="2"/>
  <c r="X1032" i="2" s="1"/>
  <c r="I1033" i="2"/>
  <c r="I1034" i="2"/>
  <c r="I1035" i="2"/>
  <c r="X1035" i="2" s="1"/>
  <c r="I1036" i="2"/>
  <c r="I1037" i="2"/>
  <c r="X1037" i="2" s="1"/>
  <c r="I1038" i="2"/>
  <c r="I1039" i="2"/>
  <c r="I1040" i="2"/>
  <c r="X1040" i="2" s="1"/>
  <c r="I1041" i="2"/>
  <c r="X1041" i="2" s="1"/>
  <c r="I1042" i="2"/>
  <c r="I1043" i="2"/>
  <c r="I1044" i="2"/>
  <c r="X1044" i="2" s="1"/>
  <c r="I1045" i="2"/>
  <c r="X1045" i="2" s="1"/>
  <c r="I1046" i="2"/>
  <c r="X1046" i="2" s="1"/>
  <c r="I1047" i="2"/>
  <c r="X1047" i="2" s="1"/>
  <c r="I1048" i="2"/>
  <c r="X1048" i="2" s="1"/>
  <c r="I1049" i="2"/>
  <c r="X1049" i="2" s="1"/>
  <c r="I1050" i="2"/>
  <c r="X1050" i="2" s="1"/>
  <c r="I1051" i="2"/>
  <c r="X1051" i="2" s="1"/>
  <c r="I1052" i="2"/>
  <c r="I1053" i="2"/>
  <c r="X1053" i="2" s="1"/>
  <c r="I1054" i="2"/>
  <c r="I1055" i="2"/>
  <c r="I1056" i="2"/>
  <c r="X1056" i="2" s="1"/>
  <c r="I1057" i="2"/>
  <c r="X1057" i="2" s="1"/>
  <c r="I1058" i="2"/>
  <c r="I1059" i="2"/>
  <c r="I1060" i="2"/>
  <c r="I1061" i="2"/>
  <c r="X1061" i="2" s="1"/>
  <c r="I1062" i="2"/>
  <c r="X1062" i="2" s="1"/>
  <c r="I1063" i="2"/>
  <c r="I1064" i="2"/>
  <c r="X1064" i="2" s="1"/>
  <c r="I1065" i="2"/>
  <c r="I1066" i="2"/>
  <c r="X1066" i="2" s="1"/>
  <c r="I1067" i="2"/>
  <c r="I1068" i="2"/>
  <c r="I1069" i="2"/>
  <c r="X1069" i="2" s="1"/>
  <c r="I1070" i="2"/>
  <c r="X1070" i="2" s="1"/>
  <c r="I1071" i="2"/>
  <c r="X1071" i="2" s="1"/>
  <c r="I1072" i="2"/>
  <c r="X1072" i="2" s="1"/>
  <c r="I1073" i="2"/>
  <c r="X1073" i="2" s="1"/>
  <c r="I1074" i="2"/>
  <c r="I1075" i="2"/>
  <c r="X1075" i="2" s="1"/>
  <c r="I1076" i="2"/>
  <c r="I1077" i="2"/>
  <c r="X1077" i="2" s="1"/>
  <c r="I1078" i="2"/>
  <c r="X1078" i="2" s="1"/>
  <c r="I1079" i="2"/>
  <c r="I1080" i="2"/>
  <c r="X1080" i="2" s="1"/>
  <c r="I1081" i="2"/>
  <c r="I1082" i="2"/>
  <c r="I1083" i="2"/>
  <c r="I1084" i="2"/>
  <c r="I1085" i="2"/>
  <c r="X1085" i="2" s="1"/>
  <c r="I1086" i="2"/>
  <c r="X1086" i="2" s="1"/>
  <c r="I1087" i="2"/>
  <c r="X1087" i="2" s="1"/>
  <c r="I1088" i="2"/>
  <c r="I1089" i="2"/>
  <c r="X1089" i="2" s="1"/>
  <c r="I1090" i="2"/>
  <c r="X1090" i="2" s="1"/>
  <c r="I1091" i="2"/>
  <c r="X1091" i="2" s="1"/>
  <c r="I1092" i="2"/>
  <c r="I1093" i="2"/>
  <c r="X1093" i="2" s="1"/>
  <c r="I1094" i="2"/>
  <c r="X1094" i="2" s="1"/>
  <c r="I1095" i="2"/>
  <c r="X1095" i="2" s="1"/>
  <c r="I1096" i="2"/>
  <c r="X1096" i="2" s="1"/>
  <c r="I1097" i="2"/>
  <c r="X1097" i="2" s="1"/>
  <c r="I1098" i="2"/>
  <c r="I1099" i="2"/>
  <c r="X1099" i="2" s="1"/>
  <c r="I1100" i="2"/>
  <c r="I1101" i="2"/>
  <c r="X1101" i="2" s="1"/>
  <c r="I1102" i="2"/>
  <c r="X1102" i="2" s="1"/>
  <c r="I1103" i="2"/>
  <c r="I1104" i="2"/>
  <c r="X1104" i="2" s="1"/>
  <c r="I1105" i="2"/>
  <c r="X1105" i="2" s="1"/>
  <c r="I1106" i="2"/>
  <c r="I1107" i="2"/>
  <c r="I1108" i="2"/>
  <c r="I1109" i="2"/>
  <c r="X1109" i="2" s="1"/>
  <c r="I1110" i="2"/>
  <c r="X1110" i="2" s="1"/>
  <c r="I1111" i="2"/>
  <c r="X1111" i="2" s="1"/>
  <c r="I1112" i="2"/>
  <c r="X1112" i="2" s="1"/>
  <c r="I1113" i="2"/>
  <c r="X1113" i="2" s="1"/>
  <c r="I1114" i="2"/>
  <c r="I1115" i="2"/>
  <c r="X1115" i="2" s="1"/>
  <c r="I1116" i="2"/>
  <c r="I1117" i="2"/>
  <c r="X1117" i="2" s="1"/>
  <c r="I1118" i="2"/>
  <c r="I1119" i="2"/>
  <c r="I1120" i="2"/>
  <c r="X1120" i="2" s="1"/>
  <c r="I1121" i="2"/>
  <c r="I1122" i="2"/>
  <c r="I1123" i="2"/>
  <c r="X1123" i="2" s="1"/>
  <c r="I1124" i="2"/>
  <c r="I1125" i="2"/>
  <c r="X1125" i="2" s="1"/>
  <c r="I1126" i="2"/>
  <c r="X1126" i="2" s="1"/>
  <c r="I1127" i="2"/>
  <c r="I1128" i="2"/>
  <c r="X1128" i="2" s="1"/>
  <c r="I1129" i="2"/>
  <c r="X1129" i="2" s="1"/>
  <c r="I1130" i="2"/>
  <c r="X1130" i="2" s="1"/>
  <c r="I1131" i="2"/>
  <c r="I1132" i="2"/>
  <c r="I1133" i="2"/>
  <c r="X1133" i="2" s="1"/>
  <c r="I1134" i="2"/>
  <c r="I1135" i="2"/>
  <c r="X1135" i="2" s="1"/>
  <c r="I1136" i="2"/>
  <c r="X1136" i="2" s="1"/>
  <c r="I1137" i="2"/>
  <c r="X1137" i="2" s="1"/>
  <c r="I1138" i="2"/>
  <c r="I1139" i="2"/>
  <c r="I1140" i="2"/>
  <c r="I1141" i="2"/>
  <c r="X1141" i="2" s="1"/>
  <c r="I1142" i="2"/>
  <c r="X1142" i="2" s="1"/>
  <c r="I1143" i="2"/>
  <c r="I1144" i="2"/>
  <c r="X1144" i="2" s="1"/>
  <c r="I1145" i="2"/>
  <c r="X1145" i="2" s="1"/>
  <c r="I1146" i="2"/>
  <c r="X1146" i="2" s="1"/>
  <c r="I1147" i="2"/>
  <c r="X1147" i="2" s="1"/>
  <c r="I1148" i="2"/>
  <c r="I1149" i="2"/>
  <c r="X1149" i="2" s="1"/>
  <c r="I1150" i="2"/>
  <c r="X1150" i="2" s="1"/>
  <c r="I1151" i="2"/>
  <c r="X1151" i="2" s="1"/>
  <c r="I1152" i="2"/>
  <c r="X1152" i="2" s="1"/>
  <c r="I1153" i="2"/>
  <c r="X1153" i="2" s="1"/>
  <c r="I1154" i="2"/>
  <c r="I1155" i="2"/>
  <c r="I1156" i="2"/>
  <c r="I1157" i="2"/>
  <c r="X1157" i="2" s="1"/>
  <c r="I1158" i="2"/>
  <c r="X1158" i="2" s="1"/>
  <c r="I1159" i="2"/>
  <c r="X1159" i="2" s="1"/>
  <c r="I1160" i="2"/>
  <c r="X1160" i="2" s="1"/>
  <c r="I1161" i="2"/>
  <c r="X1161" i="2" s="1"/>
  <c r="I1162" i="2"/>
  <c r="X1162" i="2" s="1"/>
  <c r="I1163" i="2"/>
  <c r="I1164" i="2"/>
  <c r="I1165" i="2"/>
  <c r="I1166" i="2"/>
  <c r="X1166" i="2" s="1"/>
  <c r="I1167" i="2"/>
  <c r="I1168" i="2"/>
  <c r="X1168" i="2" s="1"/>
  <c r="I1169" i="2"/>
  <c r="X1169" i="2" s="1"/>
  <c r="I1170" i="2"/>
  <c r="I1171" i="2"/>
  <c r="I1172" i="2"/>
  <c r="I1173" i="2"/>
  <c r="X1173" i="2" s="1"/>
  <c r="I1174" i="2"/>
  <c r="X1174" i="2" s="1"/>
  <c r="I1175" i="2"/>
  <c r="X1175" i="2" s="1"/>
  <c r="I1176" i="2"/>
  <c r="X1176" i="2" s="1"/>
  <c r="I1177" i="2"/>
  <c r="X1177" i="2" s="1"/>
  <c r="I1178" i="2"/>
  <c r="X1178" i="2" s="1"/>
  <c r="I1179" i="2"/>
  <c r="X1179" i="2" s="1"/>
  <c r="I1180" i="2"/>
  <c r="I1181" i="2"/>
  <c r="X1181" i="2" s="1"/>
  <c r="I1182" i="2"/>
  <c r="X1182" i="2" s="1"/>
  <c r="I1183" i="2"/>
  <c r="I1184" i="2"/>
  <c r="X1184" i="2" s="1"/>
  <c r="I1185" i="2"/>
  <c r="X1185" i="2" s="1"/>
  <c r="I1186" i="2"/>
  <c r="I1187" i="2"/>
  <c r="X1187" i="2" s="1"/>
  <c r="I1188" i="2"/>
  <c r="I1189" i="2"/>
  <c r="X1189" i="2" s="1"/>
  <c r="I1190" i="2"/>
  <c r="I1191" i="2"/>
  <c r="I1192" i="2"/>
  <c r="X1192" i="2" s="1"/>
  <c r="I1193" i="2"/>
  <c r="X1193" i="2" s="1"/>
  <c r="I1194" i="2"/>
  <c r="I1195" i="2"/>
  <c r="X1195" i="2" s="1"/>
  <c r="I1196" i="2"/>
  <c r="X1196" i="2" s="1"/>
  <c r="I1197" i="2"/>
  <c r="X1197" i="2" s="1"/>
  <c r="I1198" i="2"/>
  <c r="X1198" i="2" s="1"/>
  <c r="I1199" i="2"/>
  <c r="X1199" i="2" s="1"/>
  <c r="I1200" i="2"/>
  <c r="X1200" i="2" s="1"/>
  <c r="I1201" i="2"/>
  <c r="X1201" i="2" s="1"/>
  <c r="X58" i="2"/>
  <c r="X74" i="2"/>
  <c r="X100" i="2"/>
  <c r="X132" i="2"/>
  <c r="X146" i="2"/>
  <c r="X154" i="2"/>
  <c r="X162" i="2"/>
  <c r="X180" i="2"/>
  <c r="X182" i="2"/>
  <c r="X196" i="2"/>
  <c r="X202" i="2"/>
  <c r="X243" i="2"/>
  <c r="X292" i="2"/>
  <c r="X298" i="2"/>
  <c r="X364" i="2"/>
  <c r="X395" i="2"/>
  <c r="X446" i="2"/>
  <c r="X468" i="2"/>
  <c r="X490" i="2"/>
  <c r="X491" i="2"/>
  <c r="X524" i="2"/>
  <c r="X588" i="2"/>
  <c r="X610" i="2"/>
  <c r="X634" i="2"/>
  <c r="X684" i="2"/>
  <c r="X724" i="2"/>
  <c r="X756" i="2"/>
  <c r="X762" i="2"/>
  <c r="X803" i="2"/>
  <c r="X806" i="2"/>
  <c r="X811" i="2"/>
  <c r="X820" i="2"/>
  <c r="X835" i="2"/>
  <c r="X862" i="2"/>
  <c r="X866" i="2"/>
  <c r="X876" i="2"/>
  <c r="X890" i="2"/>
  <c r="X899" i="2"/>
  <c r="X900" i="2"/>
  <c r="X906" i="2"/>
  <c r="X915" i="2"/>
  <c r="X927" i="2"/>
  <c r="X932" i="2"/>
  <c r="X947" i="2"/>
  <c r="X948" i="2"/>
  <c r="X954" i="2"/>
  <c r="X955" i="2"/>
  <c r="X964" i="2"/>
  <c r="X971" i="2"/>
  <c r="X980" i="2"/>
  <c r="X996" i="2"/>
  <c r="X1002" i="2"/>
  <c r="X1012" i="2"/>
  <c r="X1014" i="2"/>
  <c r="X1018" i="2"/>
  <c r="X1019" i="2"/>
  <c r="X1034" i="2"/>
  <c r="X1058" i="2"/>
  <c r="X1059" i="2"/>
  <c r="X1076" i="2"/>
  <c r="X1082" i="2"/>
  <c r="X1083" i="2"/>
  <c r="X1098" i="2"/>
  <c r="X1108" i="2"/>
  <c r="X1114" i="2"/>
  <c r="X1122" i="2"/>
  <c r="X1134" i="2"/>
  <c r="X1140" i="2"/>
  <c r="X1154" i="2"/>
  <c r="X1155" i="2"/>
  <c r="X1172" i="2"/>
  <c r="X1186" i="2"/>
  <c r="G2" i="2"/>
  <c r="G3" i="2"/>
  <c r="G4" i="2"/>
  <c r="AA4" i="2" s="1"/>
  <c r="G5" i="2"/>
  <c r="AA5" i="2" s="1"/>
  <c r="G6" i="2"/>
  <c r="AA6" i="2" s="1"/>
  <c r="G7" i="2"/>
  <c r="AA7" i="2" s="1"/>
  <c r="G8" i="2"/>
  <c r="G9" i="2"/>
  <c r="G10" i="2"/>
  <c r="AA10" i="2" s="1"/>
  <c r="G11" i="2"/>
  <c r="G12" i="2"/>
  <c r="AA12" i="2" s="1"/>
  <c r="G13" i="2"/>
  <c r="AA13" i="2" s="1"/>
  <c r="G14" i="2"/>
  <c r="AA14" i="2" s="1"/>
  <c r="G15" i="2"/>
  <c r="AA15" i="2" s="1"/>
  <c r="G16" i="2"/>
  <c r="G17" i="2"/>
  <c r="G18" i="2"/>
  <c r="AA18" i="2" s="1"/>
  <c r="G19" i="2"/>
  <c r="G20" i="2"/>
  <c r="AA20" i="2" s="1"/>
  <c r="G21" i="2"/>
  <c r="AA21" i="2" s="1"/>
  <c r="G22" i="2"/>
  <c r="AA22" i="2" s="1"/>
  <c r="G23" i="2"/>
  <c r="AA23" i="2" s="1"/>
  <c r="G24" i="2"/>
  <c r="G25" i="2"/>
  <c r="G26" i="2"/>
  <c r="AA26" i="2" s="1"/>
  <c r="G27" i="2"/>
  <c r="G28" i="2"/>
  <c r="AA28" i="2" s="1"/>
  <c r="G29" i="2"/>
  <c r="G30" i="2"/>
  <c r="AA30" i="2" s="1"/>
  <c r="G31" i="2"/>
  <c r="AA31" i="2" s="1"/>
  <c r="G32" i="2"/>
  <c r="G33" i="2"/>
  <c r="G34" i="2"/>
  <c r="AA34" i="2" s="1"/>
  <c r="G35" i="2"/>
  <c r="G36" i="2"/>
  <c r="AA36" i="2" s="1"/>
  <c r="G37" i="2"/>
  <c r="AA37" i="2" s="1"/>
  <c r="G38" i="2"/>
  <c r="AA38" i="2" s="1"/>
  <c r="G39" i="2"/>
  <c r="AA39" i="2" s="1"/>
  <c r="G40" i="2"/>
  <c r="G41" i="2"/>
  <c r="G42" i="2"/>
  <c r="G43" i="2"/>
  <c r="G44" i="2"/>
  <c r="AA44" i="2" s="1"/>
  <c r="G45" i="2"/>
  <c r="AA45" i="2" s="1"/>
  <c r="G46" i="2"/>
  <c r="AA46" i="2" s="1"/>
  <c r="G47" i="2"/>
  <c r="AA47" i="2" s="1"/>
  <c r="G48" i="2"/>
  <c r="G49" i="2"/>
  <c r="G50" i="2"/>
  <c r="AA50" i="2" s="1"/>
  <c r="G51" i="2"/>
  <c r="G52" i="2"/>
  <c r="AA52" i="2" s="1"/>
  <c r="G53" i="2"/>
  <c r="G54" i="2"/>
  <c r="AA54" i="2" s="1"/>
  <c r="G55" i="2"/>
  <c r="AA55" i="2" s="1"/>
  <c r="G56" i="2"/>
  <c r="G57" i="2"/>
  <c r="G58" i="2"/>
  <c r="AA58" i="2" s="1"/>
  <c r="G59" i="2"/>
  <c r="G60" i="2"/>
  <c r="AA60" i="2" s="1"/>
  <c r="G61" i="2"/>
  <c r="AA61" i="2" s="1"/>
  <c r="G62" i="2"/>
  <c r="AA62" i="2" s="1"/>
  <c r="G63" i="2"/>
  <c r="AA63" i="2" s="1"/>
  <c r="G64" i="2"/>
  <c r="G65" i="2"/>
  <c r="G66" i="2"/>
  <c r="G67" i="2"/>
  <c r="G68" i="2"/>
  <c r="AA68" i="2" s="1"/>
  <c r="G69" i="2"/>
  <c r="AA69" i="2" s="1"/>
  <c r="G70" i="2"/>
  <c r="AA70" i="2" s="1"/>
  <c r="G71" i="2"/>
  <c r="AA71" i="2" s="1"/>
  <c r="G72" i="2"/>
  <c r="G73" i="2"/>
  <c r="G74" i="2"/>
  <c r="G75" i="2"/>
  <c r="G76" i="2"/>
  <c r="AA76" i="2" s="1"/>
  <c r="G77" i="2"/>
  <c r="AA77" i="2" s="1"/>
  <c r="G78" i="2"/>
  <c r="AA78" i="2" s="1"/>
  <c r="G79" i="2"/>
  <c r="AA79" i="2" s="1"/>
  <c r="G80" i="2"/>
  <c r="G81" i="2"/>
  <c r="G82" i="2"/>
  <c r="AA82" i="2" s="1"/>
  <c r="G83" i="2"/>
  <c r="G84" i="2"/>
  <c r="AA84" i="2" s="1"/>
  <c r="G85" i="2"/>
  <c r="G86" i="2"/>
  <c r="AA86" i="2" s="1"/>
  <c r="G87" i="2"/>
  <c r="AA87" i="2" s="1"/>
  <c r="G88" i="2"/>
  <c r="G89" i="2"/>
  <c r="G90" i="2"/>
  <c r="G91" i="2"/>
  <c r="G92" i="2"/>
  <c r="AA92" i="2" s="1"/>
  <c r="G93" i="2"/>
  <c r="AA93" i="2" s="1"/>
  <c r="G94" i="2"/>
  <c r="AA94" i="2" s="1"/>
  <c r="G95" i="2"/>
  <c r="AA95" i="2" s="1"/>
  <c r="G96" i="2"/>
  <c r="G97" i="2"/>
  <c r="G98" i="2"/>
  <c r="G99" i="2"/>
  <c r="G100" i="2"/>
  <c r="G101" i="2"/>
  <c r="AA101" i="2" s="1"/>
  <c r="G102" i="2"/>
  <c r="G103" i="2"/>
  <c r="AA103" i="2" s="1"/>
  <c r="G104" i="2"/>
  <c r="G105" i="2"/>
  <c r="G106" i="2"/>
  <c r="AA106" i="2" s="1"/>
  <c r="G107" i="2"/>
  <c r="G108" i="2"/>
  <c r="AA108" i="2" s="1"/>
  <c r="G109" i="2"/>
  <c r="AA109" i="2" s="1"/>
  <c r="G110" i="2"/>
  <c r="G111" i="2"/>
  <c r="AA111" i="2" s="1"/>
  <c r="G112" i="2"/>
  <c r="G113" i="2"/>
  <c r="G114" i="2"/>
  <c r="AA114" i="2" s="1"/>
  <c r="G115" i="2"/>
  <c r="G116" i="2"/>
  <c r="AA116" i="2" s="1"/>
  <c r="G117" i="2"/>
  <c r="AA117" i="2" s="1"/>
  <c r="G118" i="2"/>
  <c r="G119" i="2"/>
  <c r="AA119" i="2" s="1"/>
  <c r="G120" i="2"/>
  <c r="G121" i="2"/>
  <c r="G122" i="2"/>
  <c r="G123" i="2"/>
  <c r="G124" i="2"/>
  <c r="AA124" i="2" s="1"/>
  <c r="G125" i="2"/>
  <c r="AA125" i="2" s="1"/>
  <c r="G126" i="2"/>
  <c r="G127" i="2"/>
  <c r="AA127" i="2" s="1"/>
  <c r="G128" i="2"/>
  <c r="G129" i="2"/>
  <c r="G130" i="2"/>
  <c r="G131" i="2"/>
  <c r="G132" i="2"/>
  <c r="AA132" i="2" s="1"/>
  <c r="G133" i="2"/>
  <c r="AA133" i="2" s="1"/>
  <c r="G134" i="2"/>
  <c r="G135" i="2"/>
  <c r="AA135" i="2" s="1"/>
  <c r="G136" i="2"/>
  <c r="G137" i="2"/>
  <c r="G138" i="2"/>
  <c r="G139" i="2"/>
  <c r="G140" i="2"/>
  <c r="AA140" i="2" s="1"/>
  <c r="G141" i="2"/>
  <c r="AA141" i="2" s="1"/>
  <c r="G142" i="2"/>
  <c r="G143" i="2"/>
  <c r="AA143" i="2" s="1"/>
  <c r="G144" i="2"/>
  <c r="G145" i="2"/>
  <c r="G146" i="2"/>
  <c r="G147" i="2"/>
  <c r="G148" i="2"/>
  <c r="AA148" i="2" s="1"/>
  <c r="G149" i="2"/>
  <c r="G150" i="2"/>
  <c r="G151" i="2"/>
  <c r="AA151" i="2" s="1"/>
  <c r="G152" i="2"/>
  <c r="G153" i="2"/>
  <c r="G154" i="2"/>
  <c r="AA154" i="2" s="1"/>
  <c r="G155" i="2"/>
  <c r="G156" i="2"/>
  <c r="AA156" i="2" s="1"/>
  <c r="G157" i="2"/>
  <c r="G158" i="2"/>
  <c r="G159" i="2"/>
  <c r="AA159" i="2" s="1"/>
  <c r="G160" i="2"/>
  <c r="G161" i="2"/>
  <c r="G162" i="2"/>
  <c r="AA162" i="2" s="1"/>
  <c r="G163" i="2"/>
  <c r="G164" i="2"/>
  <c r="AA164" i="2" s="1"/>
  <c r="G165" i="2"/>
  <c r="AA165" i="2" s="1"/>
  <c r="G166" i="2"/>
  <c r="G167" i="2"/>
  <c r="AA167" i="2" s="1"/>
  <c r="G168" i="2"/>
  <c r="G169" i="2"/>
  <c r="G170" i="2"/>
  <c r="G171" i="2"/>
  <c r="G172" i="2"/>
  <c r="AA172" i="2" s="1"/>
  <c r="G173" i="2"/>
  <c r="AA173" i="2" s="1"/>
  <c r="G174" i="2"/>
  <c r="G175" i="2"/>
  <c r="AA175" i="2" s="1"/>
  <c r="G176" i="2"/>
  <c r="G177" i="2"/>
  <c r="G178" i="2"/>
  <c r="G179" i="2"/>
  <c r="G180" i="2"/>
  <c r="AA180" i="2" s="1"/>
  <c r="G181" i="2"/>
  <c r="G182" i="2"/>
  <c r="G183" i="2"/>
  <c r="AA183" i="2" s="1"/>
  <c r="G184" i="2"/>
  <c r="G185" i="2"/>
  <c r="G186" i="2"/>
  <c r="AA186" i="2" s="1"/>
  <c r="G187" i="2"/>
  <c r="G188" i="2"/>
  <c r="AA188" i="2" s="1"/>
  <c r="G189" i="2"/>
  <c r="AA189" i="2" s="1"/>
  <c r="G190" i="2"/>
  <c r="G191" i="2"/>
  <c r="AA191" i="2" s="1"/>
  <c r="G192" i="2"/>
  <c r="G193" i="2"/>
  <c r="G194" i="2"/>
  <c r="AA194" i="2" s="1"/>
  <c r="G195" i="2"/>
  <c r="G196" i="2"/>
  <c r="AA196" i="2" s="1"/>
  <c r="G197" i="2"/>
  <c r="AA197" i="2" s="1"/>
  <c r="G198" i="2"/>
  <c r="G199" i="2"/>
  <c r="AA199" i="2" s="1"/>
  <c r="G200" i="2"/>
  <c r="G201" i="2"/>
  <c r="G202" i="2"/>
  <c r="AA202" i="2" s="1"/>
  <c r="G203" i="2"/>
  <c r="G204" i="2"/>
  <c r="AA204" i="2" s="1"/>
  <c r="G205" i="2"/>
  <c r="AA205" i="2" s="1"/>
  <c r="G206" i="2"/>
  <c r="G207" i="2"/>
  <c r="AA207" i="2" s="1"/>
  <c r="G208" i="2"/>
  <c r="G209" i="2"/>
  <c r="G210" i="2"/>
  <c r="G211" i="2"/>
  <c r="G212" i="2"/>
  <c r="AA212" i="2" s="1"/>
  <c r="G213" i="2"/>
  <c r="AA213" i="2" s="1"/>
  <c r="G214" i="2"/>
  <c r="G215" i="2"/>
  <c r="AA215" i="2" s="1"/>
  <c r="G216" i="2"/>
  <c r="G217" i="2"/>
  <c r="G218" i="2"/>
  <c r="G219" i="2"/>
  <c r="G220" i="2"/>
  <c r="AA220" i="2" s="1"/>
  <c r="G221" i="2"/>
  <c r="AA221" i="2" s="1"/>
  <c r="G222" i="2"/>
  <c r="G223" i="2"/>
  <c r="AA223" i="2" s="1"/>
  <c r="G224" i="2"/>
  <c r="G225" i="2"/>
  <c r="G226" i="2"/>
  <c r="AA226" i="2" s="1"/>
  <c r="G227" i="2"/>
  <c r="G228" i="2"/>
  <c r="AA228" i="2" s="1"/>
  <c r="G229" i="2"/>
  <c r="AA229" i="2" s="1"/>
  <c r="G230" i="2"/>
  <c r="G231" i="2"/>
  <c r="AA231" i="2" s="1"/>
  <c r="G232" i="2"/>
  <c r="G233" i="2"/>
  <c r="G234" i="2"/>
  <c r="G235" i="2"/>
  <c r="G236" i="2"/>
  <c r="AA236" i="2" s="1"/>
  <c r="G237" i="2"/>
  <c r="AA237" i="2" s="1"/>
  <c r="G238" i="2"/>
  <c r="G239" i="2"/>
  <c r="AA239" i="2" s="1"/>
  <c r="G240" i="2"/>
  <c r="G241" i="2"/>
  <c r="G242" i="2"/>
  <c r="G243" i="2"/>
  <c r="G244" i="2"/>
  <c r="AA244" i="2" s="1"/>
  <c r="G245" i="2"/>
  <c r="AA245" i="2" s="1"/>
  <c r="G246" i="2"/>
  <c r="G247" i="2"/>
  <c r="AA247" i="2" s="1"/>
  <c r="G248" i="2"/>
  <c r="G249" i="2"/>
  <c r="G250" i="2"/>
  <c r="G251" i="2"/>
  <c r="G252" i="2"/>
  <c r="AA252" i="2" s="1"/>
  <c r="G253" i="2"/>
  <c r="AA253" i="2" s="1"/>
  <c r="G254" i="2"/>
  <c r="G255" i="2"/>
  <c r="AA255" i="2" s="1"/>
  <c r="G256" i="2"/>
  <c r="G257" i="2"/>
  <c r="G258" i="2"/>
  <c r="G259" i="2"/>
  <c r="G260" i="2"/>
  <c r="AA260" i="2" s="1"/>
  <c r="G261" i="2"/>
  <c r="AA261" i="2" s="1"/>
  <c r="G262" i="2"/>
  <c r="G263" i="2"/>
  <c r="AA263" i="2" s="1"/>
  <c r="G264" i="2"/>
  <c r="G265" i="2"/>
  <c r="G266" i="2"/>
  <c r="G267" i="2"/>
  <c r="G268" i="2"/>
  <c r="AA268" i="2" s="1"/>
  <c r="G269" i="2"/>
  <c r="AA269" i="2" s="1"/>
  <c r="G270" i="2"/>
  <c r="G271" i="2"/>
  <c r="AA271" i="2" s="1"/>
  <c r="G272" i="2"/>
  <c r="G273" i="2"/>
  <c r="G274" i="2"/>
  <c r="G275" i="2"/>
  <c r="G276" i="2"/>
  <c r="AA276" i="2" s="1"/>
  <c r="G277" i="2"/>
  <c r="AA277" i="2" s="1"/>
  <c r="G278" i="2"/>
  <c r="G279" i="2"/>
  <c r="AA279" i="2" s="1"/>
  <c r="G280" i="2"/>
  <c r="G281" i="2"/>
  <c r="G282" i="2"/>
  <c r="G283" i="2"/>
  <c r="G284" i="2"/>
  <c r="AA284" i="2" s="1"/>
  <c r="G285" i="2"/>
  <c r="AA285" i="2" s="1"/>
  <c r="G286" i="2"/>
  <c r="G287" i="2"/>
  <c r="AA287" i="2" s="1"/>
  <c r="G288" i="2"/>
  <c r="G289" i="2"/>
  <c r="G290" i="2"/>
  <c r="AA290" i="2" s="1"/>
  <c r="G291" i="2"/>
  <c r="G292" i="2"/>
  <c r="AA292" i="2" s="1"/>
  <c r="G293" i="2"/>
  <c r="AA293" i="2" s="1"/>
  <c r="G294" i="2"/>
  <c r="G295" i="2"/>
  <c r="AA295" i="2" s="1"/>
  <c r="G296" i="2"/>
  <c r="G297" i="2"/>
  <c r="G298" i="2"/>
  <c r="G299" i="2"/>
  <c r="G300" i="2"/>
  <c r="AA300" i="2" s="1"/>
  <c r="G301" i="2"/>
  <c r="AA301" i="2" s="1"/>
  <c r="G302" i="2"/>
  <c r="G303" i="2"/>
  <c r="AA303" i="2" s="1"/>
  <c r="G304" i="2"/>
  <c r="G305" i="2"/>
  <c r="G306" i="2"/>
  <c r="G307" i="2"/>
  <c r="G308" i="2"/>
  <c r="AA308" i="2" s="1"/>
  <c r="G309" i="2"/>
  <c r="AA309" i="2" s="1"/>
  <c r="G310" i="2"/>
  <c r="G311" i="2"/>
  <c r="AA311" i="2" s="1"/>
  <c r="G312" i="2"/>
  <c r="G313" i="2"/>
  <c r="G314" i="2"/>
  <c r="G315" i="2"/>
  <c r="G316" i="2"/>
  <c r="AA316" i="2" s="1"/>
  <c r="G317" i="2"/>
  <c r="AA317" i="2" s="1"/>
  <c r="G318" i="2"/>
  <c r="G319" i="2"/>
  <c r="AA319" i="2" s="1"/>
  <c r="G320" i="2"/>
  <c r="G321" i="2"/>
  <c r="G322" i="2"/>
  <c r="G323" i="2"/>
  <c r="G324" i="2"/>
  <c r="AA324" i="2" s="1"/>
  <c r="G325" i="2"/>
  <c r="AA325" i="2" s="1"/>
  <c r="G326" i="2"/>
  <c r="G327" i="2"/>
  <c r="AA327" i="2" s="1"/>
  <c r="G328" i="2"/>
  <c r="G329" i="2"/>
  <c r="G330" i="2"/>
  <c r="G331" i="2"/>
  <c r="G332" i="2"/>
  <c r="AA332" i="2" s="1"/>
  <c r="G333" i="2"/>
  <c r="AA333" i="2" s="1"/>
  <c r="G334" i="2"/>
  <c r="G335" i="2"/>
  <c r="AA335" i="2" s="1"/>
  <c r="G336" i="2"/>
  <c r="G337" i="2"/>
  <c r="G338" i="2"/>
  <c r="G339" i="2"/>
  <c r="G340" i="2"/>
  <c r="AA340" i="2" s="1"/>
  <c r="G341" i="2"/>
  <c r="AA341" i="2" s="1"/>
  <c r="G342" i="2"/>
  <c r="G343" i="2"/>
  <c r="AA343" i="2" s="1"/>
  <c r="G344" i="2"/>
  <c r="G345" i="2"/>
  <c r="G346" i="2"/>
  <c r="G347" i="2"/>
  <c r="G348" i="2"/>
  <c r="AA348" i="2" s="1"/>
  <c r="G349" i="2"/>
  <c r="AA349" i="2" s="1"/>
  <c r="G350" i="2"/>
  <c r="G351" i="2"/>
  <c r="AA351" i="2" s="1"/>
  <c r="G352" i="2"/>
  <c r="G353" i="2"/>
  <c r="G354" i="2"/>
  <c r="AA354" i="2" s="1"/>
  <c r="G355" i="2"/>
  <c r="G356" i="2"/>
  <c r="AA356" i="2" s="1"/>
  <c r="G357" i="2"/>
  <c r="AA357" i="2" s="1"/>
  <c r="G358" i="2"/>
  <c r="AA358" i="2" s="1"/>
  <c r="G359" i="2"/>
  <c r="AA359" i="2" s="1"/>
  <c r="G360" i="2"/>
  <c r="G361" i="2"/>
  <c r="G362" i="2"/>
  <c r="G363" i="2"/>
  <c r="G364" i="2"/>
  <c r="AA364" i="2" s="1"/>
  <c r="G365" i="2"/>
  <c r="AA365" i="2" s="1"/>
  <c r="G366" i="2"/>
  <c r="G367" i="2"/>
  <c r="AA367" i="2" s="1"/>
  <c r="G368" i="2"/>
  <c r="G369" i="2"/>
  <c r="G370" i="2"/>
  <c r="G371" i="2"/>
  <c r="G372" i="2"/>
  <c r="AA372" i="2" s="1"/>
  <c r="G373" i="2"/>
  <c r="AA373" i="2" s="1"/>
  <c r="G374" i="2"/>
  <c r="AA374" i="2" s="1"/>
  <c r="G375" i="2"/>
  <c r="G376" i="2"/>
  <c r="G377" i="2"/>
  <c r="G378" i="2"/>
  <c r="G379" i="2"/>
  <c r="G380" i="2"/>
  <c r="AA380" i="2" s="1"/>
  <c r="G381" i="2"/>
  <c r="AA381" i="2" s="1"/>
  <c r="G382" i="2"/>
  <c r="AA382" i="2" s="1"/>
  <c r="G383" i="2"/>
  <c r="AA383" i="2" s="1"/>
  <c r="G384" i="2"/>
  <c r="G385" i="2"/>
  <c r="G386" i="2"/>
  <c r="G387" i="2"/>
  <c r="G388" i="2"/>
  <c r="AA388" i="2" s="1"/>
  <c r="G389" i="2"/>
  <c r="AA389" i="2" s="1"/>
  <c r="G390" i="2"/>
  <c r="AA390" i="2" s="1"/>
  <c r="G391" i="2"/>
  <c r="AA391" i="2" s="1"/>
  <c r="G392" i="2"/>
  <c r="AA392" i="2" s="1"/>
  <c r="G393" i="2"/>
  <c r="G394" i="2"/>
  <c r="AA394" i="2" s="1"/>
  <c r="G395" i="2"/>
  <c r="G396" i="2"/>
  <c r="AA396" i="2" s="1"/>
  <c r="G397" i="2"/>
  <c r="AA397" i="2" s="1"/>
  <c r="G398" i="2"/>
  <c r="AA398" i="2" s="1"/>
  <c r="G399" i="2"/>
  <c r="G400" i="2"/>
  <c r="AA400" i="2" s="1"/>
  <c r="G401" i="2"/>
  <c r="G402" i="2"/>
  <c r="G403" i="2"/>
  <c r="G404" i="2"/>
  <c r="AA404" i="2" s="1"/>
  <c r="G405" i="2"/>
  <c r="AA405" i="2" s="1"/>
  <c r="G406" i="2"/>
  <c r="G407" i="2"/>
  <c r="AA407" i="2" s="1"/>
  <c r="G408" i="2"/>
  <c r="G409" i="2"/>
  <c r="G410" i="2"/>
  <c r="G411" i="2"/>
  <c r="G412" i="2"/>
  <c r="AA412" i="2" s="1"/>
  <c r="G413" i="2"/>
  <c r="G414" i="2"/>
  <c r="G415" i="2"/>
  <c r="G416" i="2"/>
  <c r="AA416" i="2" s="1"/>
  <c r="G417" i="2"/>
  <c r="G418" i="2"/>
  <c r="AA418" i="2" s="1"/>
  <c r="G419" i="2"/>
  <c r="G420" i="2"/>
  <c r="AA420" i="2" s="1"/>
  <c r="G421" i="2"/>
  <c r="AA421" i="2" s="1"/>
  <c r="G422" i="2"/>
  <c r="AA422" i="2" s="1"/>
  <c r="G423" i="2"/>
  <c r="AA423" i="2" s="1"/>
  <c r="G424" i="2"/>
  <c r="G425" i="2"/>
  <c r="G426" i="2"/>
  <c r="AA426" i="2" s="1"/>
  <c r="G427" i="2"/>
  <c r="G428" i="2"/>
  <c r="G429" i="2"/>
  <c r="AA429" i="2" s="1"/>
  <c r="G430" i="2"/>
  <c r="AA430" i="2" s="1"/>
  <c r="G431" i="2"/>
  <c r="AA431" i="2" s="1"/>
  <c r="G432" i="2"/>
  <c r="G433" i="2"/>
  <c r="G434" i="2"/>
  <c r="AA434" i="2" s="1"/>
  <c r="G435" i="2"/>
  <c r="G436" i="2"/>
  <c r="AA436" i="2" s="1"/>
  <c r="G437" i="2"/>
  <c r="AA437" i="2" s="1"/>
  <c r="G438" i="2"/>
  <c r="AA438" i="2" s="1"/>
  <c r="G439" i="2"/>
  <c r="AA439" i="2" s="1"/>
  <c r="G440" i="2"/>
  <c r="G441" i="2"/>
  <c r="G442" i="2"/>
  <c r="G443" i="2"/>
  <c r="G444" i="2"/>
  <c r="AA444" i="2" s="1"/>
  <c r="G445" i="2"/>
  <c r="AA445" i="2" s="1"/>
  <c r="G446" i="2"/>
  <c r="AA446" i="2" s="1"/>
  <c r="G447" i="2"/>
  <c r="AA447" i="2" s="1"/>
  <c r="G448" i="2"/>
  <c r="G449" i="2"/>
  <c r="G450" i="2"/>
  <c r="AA450" i="2" s="1"/>
  <c r="G451" i="2"/>
  <c r="G452" i="2"/>
  <c r="AA452" i="2" s="1"/>
  <c r="G453" i="2"/>
  <c r="AA453" i="2" s="1"/>
  <c r="G454" i="2"/>
  <c r="G455" i="2"/>
  <c r="AA455" i="2" s="1"/>
  <c r="G456" i="2"/>
  <c r="AA456" i="2" s="1"/>
  <c r="G457" i="2"/>
  <c r="G458" i="2"/>
  <c r="G459" i="2"/>
  <c r="G460" i="2"/>
  <c r="AA460" i="2" s="1"/>
  <c r="G461" i="2"/>
  <c r="AA461" i="2" s="1"/>
  <c r="G462" i="2"/>
  <c r="AA462" i="2" s="1"/>
  <c r="G463" i="2"/>
  <c r="AA463" i="2" s="1"/>
  <c r="G464" i="2"/>
  <c r="AA464" i="2" s="1"/>
  <c r="G465" i="2"/>
  <c r="G466" i="2"/>
  <c r="AA466" i="2" s="1"/>
  <c r="G467" i="2"/>
  <c r="G468" i="2"/>
  <c r="AA468" i="2" s="1"/>
  <c r="G469" i="2"/>
  <c r="AA469" i="2" s="1"/>
  <c r="G470" i="2"/>
  <c r="AA470" i="2" s="1"/>
  <c r="G471" i="2"/>
  <c r="AA471" i="2" s="1"/>
  <c r="G472" i="2"/>
  <c r="G473" i="2"/>
  <c r="G474" i="2"/>
  <c r="G475" i="2"/>
  <c r="G476" i="2"/>
  <c r="AA476" i="2" s="1"/>
  <c r="G477" i="2"/>
  <c r="AA477" i="2" s="1"/>
  <c r="G478" i="2"/>
  <c r="AA478" i="2" s="1"/>
  <c r="G479" i="2"/>
  <c r="AA479" i="2" s="1"/>
  <c r="G480" i="2"/>
  <c r="AA480" i="2" s="1"/>
  <c r="G481" i="2"/>
  <c r="G482" i="2"/>
  <c r="G483" i="2"/>
  <c r="G484" i="2"/>
  <c r="AA484" i="2" s="1"/>
  <c r="G485" i="2"/>
  <c r="AA485" i="2" s="1"/>
  <c r="G486" i="2"/>
  <c r="AA486" i="2" s="1"/>
  <c r="G487" i="2"/>
  <c r="AA487" i="2" s="1"/>
  <c r="G488" i="2"/>
  <c r="G489" i="2"/>
  <c r="G490" i="2"/>
  <c r="G491" i="2"/>
  <c r="G492" i="2"/>
  <c r="AA492" i="2" s="1"/>
  <c r="G493" i="2"/>
  <c r="G494" i="2"/>
  <c r="AA494" i="2" s="1"/>
  <c r="G495" i="2"/>
  <c r="AA495" i="2" s="1"/>
  <c r="G496" i="2"/>
  <c r="G497" i="2"/>
  <c r="G498" i="2"/>
  <c r="G499" i="2"/>
  <c r="G500" i="2"/>
  <c r="AA500" i="2" s="1"/>
  <c r="G501" i="2"/>
  <c r="AA501" i="2" s="1"/>
  <c r="G502" i="2"/>
  <c r="AA502" i="2" s="1"/>
  <c r="G503" i="2"/>
  <c r="G504" i="2"/>
  <c r="G505" i="2"/>
  <c r="G506" i="2"/>
  <c r="G507" i="2"/>
  <c r="G508" i="2"/>
  <c r="AA508" i="2" s="1"/>
  <c r="G509" i="2"/>
  <c r="AA509" i="2" s="1"/>
  <c r="G510" i="2"/>
  <c r="AA510" i="2" s="1"/>
  <c r="G511" i="2"/>
  <c r="AA511" i="2" s="1"/>
  <c r="G512" i="2"/>
  <c r="G513" i="2"/>
  <c r="G514" i="2"/>
  <c r="G515" i="2"/>
  <c r="G516" i="2"/>
  <c r="AA516" i="2" s="1"/>
  <c r="G517" i="2"/>
  <c r="G518" i="2"/>
  <c r="AA518" i="2" s="1"/>
  <c r="G519" i="2"/>
  <c r="AA519" i="2" s="1"/>
  <c r="G520" i="2"/>
  <c r="AA520" i="2" s="1"/>
  <c r="G521" i="2"/>
  <c r="G522" i="2"/>
  <c r="AA522" i="2" s="1"/>
  <c r="G523" i="2"/>
  <c r="G524" i="2"/>
  <c r="AA524" i="2" s="1"/>
  <c r="G525" i="2"/>
  <c r="AA525" i="2" s="1"/>
  <c r="G526" i="2"/>
  <c r="AA526" i="2" s="1"/>
  <c r="G527" i="2"/>
  <c r="AA527" i="2" s="1"/>
  <c r="G528" i="2"/>
  <c r="AA528" i="2" s="1"/>
  <c r="G529" i="2"/>
  <c r="G530" i="2"/>
  <c r="G531" i="2"/>
  <c r="G532" i="2"/>
  <c r="AA532" i="2" s="1"/>
  <c r="G533" i="2"/>
  <c r="G534" i="2"/>
  <c r="G535" i="2"/>
  <c r="AA535" i="2" s="1"/>
  <c r="G536" i="2"/>
  <c r="G537" i="2"/>
  <c r="G538" i="2"/>
  <c r="G539" i="2"/>
  <c r="G540" i="2"/>
  <c r="AA540" i="2" s="1"/>
  <c r="G541" i="2"/>
  <c r="AA541" i="2" s="1"/>
  <c r="G542" i="2"/>
  <c r="G543" i="2"/>
  <c r="G544" i="2"/>
  <c r="AA544" i="2" s="1"/>
  <c r="G545" i="2"/>
  <c r="G546" i="2"/>
  <c r="AA546" i="2" s="1"/>
  <c r="G547" i="2"/>
  <c r="G548" i="2"/>
  <c r="AA548" i="2" s="1"/>
  <c r="G549" i="2"/>
  <c r="G550" i="2"/>
  <c r="AA550" i="2" s="1"/>
  <c r="G551" i="2"/>
  <c r="AA551" i="2" s="1"/>
  <c r="G552" i="2"/>
  <c r="G553" i="2"/>
  <c r="G554" i="2"/>
  <c r="G555" i="2"/>
  <c r="G556" i="2"/>
  <c r="AA556" i="2" s="1"/>
  <c r="G557" i="2"/>
  <c r="AA557" i="2" s="1"/>
  <c r="G558" i="2"/>
  <c r="AA558" i="2" s="1"/>
  <c r="G559" i="2"/>
  <c r="AA559" i="2" s="1"/>
  <c r="G560" i="2"/>
  <c r="G561" i="2"/>
  <c r="G562" i="2"/>
  <c r="G563" i="2"/>
  <c r="G564" i="2"/>
  <c r="AA564" i="2" s="1"/>
  <c r="G565" i="2"/>
  <c r="AA565" i="2" s="1"/>
  <c r="G566" i="2"/>
  <c r="AA566" i="2" s="1"/>
  <c r="G567" i="2"/>
  <c r="AA567" i="2" s="1"/>
  <c r="G568" i="2"/>
  <c r="G569" i="2"/>
  <c r="G570" i="2"/>
  <c r="AA570" i="2" s="1"/>
  <c r="G571" i="2"/>
  <c r="G572" i="2"/>
  <c r="AA572" i="2" s="1"/>
  <c r="G573" i="2"/>
  <c r="AA573" i="2" s="1"/>
  <c r="G574" i="2"/>
  <c r="AA574" i="2" s="1"/>
  <c r="G575" i="2"/>
  <c r="AA575" i="2" s="1"/>
  <c r="G576" i="2"/>
  <c r="G577" i="2"/>
  <c r="G578" i="2"/>
  <c r="G579" i="2"/>
  <c r="G580" i="2"/>
  <c r="AA580" i="2" s="1"/>
  <c r="G581" i="2"/>
  <c r="AA581" i="2" s="1"/>
  <c r="G582" i="2"/>
  <c r="G583" i="2"/>
  <c r="AA583" i="2" s="1"/>
  <c r="G584" i="2"/>
  <c r="AA584" i="2" s="1"/>
  <c r="G585" i="2"/>
  <c r="G586" i="2"/>
  <c r="G587" i="2"/>
  <c r="G588" i="2"/>
  <c r="AA588" i="2" s="1"/>
  <c r="G589" i="2"/>
  <c r="AA589" i="2" s="1"/>
  <c r="G590" i="2"/>
  <c r="G591" i="2"/>
  <c r="G592" i="2"/>
  <c r="AA592" i="2" s="1"/>
  <c r="G593" i="2"/>
  <c r="G594" i="2"/>
  <c r="G595" i="2"/>
  <c r="G596" i="2"/>
  <c r="AA596" i="2" s="1"/>
  <c r="G597" i="2"/>
  <c r="AA597" i="2" s="1"/>
  <c r="G598" i="2"/>
  <c r="AA598" i="2" s="1"/>
  <c r="G599" i="2"/>
  <c r="AA599" i="2" s="1"/>
  <c r="G600" i="2"/>
  <c r="G601" i="2"/>
  <c r="G602" i="2"/>
  <c r="G603" i="2"/>
  <c r="G604" i="2"/>
  <c r="G605" i="2"/>
  <c r="G606" i="2"/>
  <c r="AA606" i="2" s="1"/>
  <c r="G607" i="2"/>
  <c r="AA607" i="2" s="1"/>
  <c r="G608" i="2"/>
  <c r="AA608" i="2" s="1"/>
  <c r="G609" i="2"/>
  <c r="G610" i="2"/>
  <c r="G611" i="2"/>
  <c r="G612" i="2"/>
  <c r="AA612" i="2" s="1"/>
  <c r="G613" i="2"/>
  <c r="AA613" i="2" s="1"/>
  <c r="G614" i="2"/>
  <c r="AA614" i="2" s="1"/>
  <c r="G615" i="2"/>
  <c r="AA615" i="2" s="1"/>
  <c r="G616" i="2"/>
  <c r="G617" i="2"/>
  <c r="G618" i="2"/>
  <c r="G619" i="2"/>
  <c r="G620" i="2"/>
  <c r="AA620" i="2" s="1"/>
  <c r="G621" i="2"/>
  <c r="G622" i="2"/>
  <c r="AA622" i="2" s="1"/>
  <c r="G623" i="2"/>
  <c r="AA623" i="2" s="1"/>
  <c r="G624" i="2"/>
  <c r="G625" i="2"/>
  <c r="G626" i="2"/>
  <c r="G627" i="2"/>
  <c r="G628" i="2"/>
  <c r="G629" i="2"/>
  <c r="AA629" i="2" s="1"/>
  <c r="G630" i="2"/>
  <c r="AA630" i="2" s="1"/>
  <c r="G631" i="2"/>
  <c r="AA631" i="2" s="1"/>
  <c r="G632" i="2"/>
  <c r="G633" i="2"/>
  <c r="G634" i="2"/>
  <c r="G635" i="2"/>
  <c r="G636" i="2"/>
  <c r="AA636" i="2" s="1"/>
  <c r="G637" i="2"/>
  <c r="AA637" i="2" s="1"/>
  <c r="G638" i="2"/>
  <c r="AA638" i="2" s="1"/>
  <c r="G639" i="2"/>
  <c r="AA639" i="2" s="1"/>
  <c r="G640" i="2"/>
  <c r="G641" i="2"/>
  <c r="G642" i="2"/>
  <c r="AA642" i="2" s="1"/>
  <c r="G643" i="2"/>
  <c r="G644" i="2"/>
  <c r="AA644" i="2" s="1"/>
  <c r="G645" i="2"/>
  <c r="AA645" i="2" s="1"/>
  <c r="G646" i="2"/>
  <c r="AA646" i="2" s="1"/>
  <c r="G647" i="2"/>
  <c r="AA647" i="2" s="1"/>
  <c r="G648" i="2"/>
  <c r="AA648" i="2" s="1"/>
  <c r="G649" i="2"/>
  <c r="G650" i="2"/>
  <c r="G651" i="2"/>
  <c r="G652" i="2"/>
  <c r="AA652" i="2" s="1"/>
  <c r="G653" i="2"/>
  <c r="AA653" i="2" s="1"/>
  <c r="G654" i="2"/>
  <c r="AA654" i="2" s="1"/>
  <c r="G655" i="2"/>
  <c r="AA655" i="2" s="1"/>
  <c r="G656" i="2"/>
  <c r="AA656" i="2" s="1"/>
  <c r="G657" i="2"/>
  <c r="G658" i="2"/>
  <c r="G659" i="2"/>
  <c r="G660" i="2"/>
  <c r="G661" i="2"/>
  <c r="AA661" i="2" s="1"/>
  <c r="G662" i="2"/>
  <c r="AA662" i="2" s="1"/>
  <c r="G663" i="2"/>
  <c r="AA663" i="2" s="1"/>
  <c r="G664" i="2"/>
  <c r="G665" i="2"/>
  <c r="G666" i="2"/>
  <c r="AA666" i="2" s="1"/>
  <c r="G667" i="2"/>
  <c r="G668" i="2"/>
  <c r="AA668" i="2" s="1"/>
  <c r="G669" i="2"/>
  <c r="AA669" i="2" s="1"/>
  <c r="G670" i="2"/>
  <c r="AA670" i="2" s="1"/>
  <c r="G671" i="2"/>
  <c r="AA671" i="2" s="1"/>
  <c r="G672" i="2"/>
  <c r="AA672" i="2" s="1"/>
  <c r="G673" i="2"/>
  <c r="G674" i="2"/>
  <c r="G675" i="2"/>
  <c r="G676" i="2"/>
  <c r="AA676" i="2" s="1"/>
  <c r="G677" i="2"/>
  <c r="G678" i="2"/>
  <c r="AA678" i="2" s="1"/>
  <c r="G679" i="2"/>
  <c r="AA679" i="2" s="1"/>
  <c r="G680" i="2"/>
  <c r="G681" i="2"/>
  <c r="G682" i="2"/>
  <c r="AA682" i="2" s="1"/>
  <c r="G683" i="2"/>
  <c r="G684" i="2"/>
  <c r="G685" i="2"/>
  <c r="G686" i="2"/>
  <c r="AA686" i="2" s="1"/>
  <c r="G687" i="2"/>
  <c r="AA687" i="2" s="1"/>
  <c r="G688" i="2"/>
  <c r="G689" i="2"/>
  <c r="G690" i="2"/>
  <c r="AA690" i="2" s="1"/>
  <c r="G691" i="2"/>
  <c r="G692" i="2"/>
  <c r="AA692" i="2" s="1"/>
  <c r="G693" i="2"/>
  <c r="AA693" i="2" s="1"/>
  <c r="G694" i="2"/>
  <c r="AA694" i="2" s="1"/>
  <c r="G695" i="2"/>
  <c r="AA695" i="2" s="1"/>
  <c r="G696" i="2"/>
  <c r="G697" i="2"/>
  <c r="G698" i="2"/>
  <c r="G699" i="2"/>
  <c r="G700" i="2"/>
  <c r="AA700" i="2" s="1"/>
  <c r="G701" i="2"/>
  <c r="AA701" i="2" s="1"/>
  <c r="G702" i="2"/>
  <c r="AA702" i="2" s="1"/>
  <c r="G703" i="2"/>
  <c r="AA703" i="2" s="1"/>
  <c r="G704" i="2"/>
  <c r="G705" i="2"/>
  <c r="G706" i="2"/>
  <c r="G707" i="2"/>
  <c r="G708" i="2"/>
  <c r="AA708" i="2" s="1"/>
  <c r="G709" i="2"/>
  <c r="G710" i="2"/>
  <c r="AA710" i="2" s="1"/>
  <c r="G711" i="2"/>
  <c r="AA711" i="2" s="1"/>
  <c r="G712" i="2"/>
  <c r="AA712" i="2" s="1"/>
  <c r="G713" i="2"/>
  <c r="G714" i="2"/>
  <c r="G715" i="2"/>
  <c r="G716" i="2"/>
  <c r="AA716" i="2" s="1"/>
  <c r="G717" i="2"/>
  <c r="AA717" i="2" s="1"/>
  <c r="G718" i="2"/>
  <c r="AA718" i="2" s="1"/>
  <c r="G719" i="2"/>
  <c r="AA719" i="2" s="1"/>
  <c r="G720" i="2"/>
  <c r="AA720" i="2" s="1"/>
  <c r="G721" i="2"/>
  <c r="G722" i="2"/>
  <c r="G723" i="2"/>
  <c r="G724" i="2"/>
  <c r="G725" i="2"/>
  <c r="G726" i="2"/>
  <c r="AA726" i="2" s="1"/>
  <c r="G727" i="2"/>
  <c r="AA727" i="2" s="1"/>
  <c r="G728" i="2"/>
  <c r="G729" i="2"/>
  <c r="G730" i="2"/>
  <c r="G731" i="2"/>
  <c r="G732" i="2"/>
  <c r="AA732" i="2" s="1"/>
  <c r="G733" i="2"/>
  <c r="AA733" i="2" s="1"/>
  <c r="G734" i="2"/>
  <c r="AA734" i="2" s="1"/>
  <c r="G735" i="2"/>
  <c r="AA735" i="2" s="1"/>
  <c r="G736" i="2"/>
  <c r="AA736" i="2" s="1"/>
  <c r="G737" i="2"/>
  <c r="G738" i="2"/>
  <c r="G739" i="2"/>
  <c r="G740" i="2"/>
  <c r="AA740" i="2" s="1"/>
  <c r="G741" i="2"/>
  <c r="G742" i="2"/>
  <c r="AA742" i="2" s="1"/>
  <c r="G743" i="2"/>
  <c r="AA743" i="2" s="1"/>
  <c r="G744" i="2"/>
  <c r="G745" i="2"/>
  <c r="G746" i="2"/>
  <c r="G747" i="2"/>
  <c r="G748" i="2"/>
  <c r="AA748" i="2" s="1"/>
  <c r="G749" i="2"/>
  <c r="G750" i="2"/>
  <c r="AA750" i="2" s="1"/>
  <c r="G751" i="2"/>
  <c r="AA751" i="2" s="1"/>
  <c r="G752" i="2"/>
  <c r="G753" i="2"/>
  <c r="G754" i="2"/>
  <c r="G755" i="2"/>
  <c r="G756" i="2"/>
  <c r="AA756" i="2" s="1"/>
  <c r="G757" i="2"/>
  <c r="AA757" i="2" s="1"/>
  <c r="G758" i="2"/>
  <c r="AA758" i="2" s="1"/>
  <c r="G759" i="2"/>
  <c r="AA759" i="2" s="1"/>
  <c r="G760" i="2"/>
  <c r="G761" i="2"/>
  <c r="G762" i="2"/>
  <c r="G763" i="2"/>
  <c r="G764" i="2"/>
  <c r="G765" i="2"/>
  <c r="AA765" i="2" s="1"/>
  <c r="G766" i="2"/>
  <c r="AA766" i="2" s="1"/>
  <c r="G767" i="2"/>
  <c r="AA767" i="2" s="1"/>
  <c r="G768" i="2"/>
  <c r="G769" i="2"/>
  <c r="G770" i="2"/>
  <c r="G771" i="2"/>
  <c r="G772" i="2"/>
  <c r="AA772" i="2" s="1"/>
  <c r="G773" i="2"/>
  <c r="AA773" i="2" s="1"/>
  <c r="G774" i="2"/>
  <c r="AA774" i="2" s="1"/>
  <c r="G775" i="2"/>
  <c r="AA775" i="2" s="1"/>
  <c r="G776" i="2"/>
  <c r="AA776" i="2" s="1"/>
  <c r="G777" i="2"/>
  <c r="G778" i="2"/>
  <c r="AA778" i="2" s="1"/>
  <c r="G779" i="2"/>
  <c r="G780" i="2"/>
  <c r="AA780" i="2" s="1"/>
  <c r="G781" i="2"/>
  <c r="AA781" i="2" s="1"/>
  <c r="G782" i="2"/>
  <c r="AA782" i="2" s="1"/>
  <c r="G783" i="2"/>
  <c r="G784" i="2"/>
  <c r="AA784" i="2" s="1"/>
  <c r="G785" i="2"/>
  <c r="G786" i="2"/>
  <c r="AA786" i="2" s="1"/>
  <c r="G787" i="2"/>
  <c r="G788" i="2"/>
  <c r="AA788" i="2" s="1"/>
  <c r="G789" i="2"/>
  <c r="AA789" i="2" s="1"/>
  <c r="G790" i="2"/>
  <c r="AA790" i="2" s="1"/>
  <c r="G791" i="2"/>
  <c r="AA791" i="2" s="1"/>
  <c r="G792" i="2"/>
  <c r="G793" i="2"/>
  <c r="G794" i="2"/>
  <c r="G795" i="2"/>
  <c r="G796" i="2"/>
  <c r="AA796" i="2" s="1"/>
  <c r="G797" i="2"/>
  <c r="AA797" i="2" s="1"/>
  <c r="G798" i="2"/>
  <c r="G799" i="2"/>
  <c r="AA799" i="2" s="1"/>
  <c r="G800" i="2"/>
  <c r="AA800" i="2" s="1"/>
  <c r="G801" i="2"/>
  <c r="G802" i="2"/>
  <c r="G803" i="2"/>
  <c r="G804" i="2"/>
  <c r="AA804" i="2" s="1"/>
  <c r="G805" i="2"/>
  <c r="G806" i="2"/>
  <c r="AA806" i="2" s="1"/>
  <c r="G807" i="2"/>
  <c r="AA807" i="2" s="1"/>
  <c r="G808" i="2"/>
  <c r="G809" i="2"/>
  <c r="G810" i="2"/>
  <c r="AA810" i="2" s="1"/>
  <c r="G811" i="2"/>
  <c r="G812" i="2"/>
  <c r="AA812" i="2" s="1"/>
  <c r="G813" i="2"/>
  <c r="AA813" i="2" s="1"/>
  <c r="G814" i="2"/>
  <c r="AA814" i="2" s="1"/>
  <c r="G815" i="2"/>
  <c r="G816" i="2"/>
  <c r="G817" i="2"/>
  <c r="G818" i="2"/>
  <c r="G819" i="2"/>
  <c r="G820" i="2"/>
  <c r="AA820" i="2" s="1"/>
  <c r="G821" i="2"/>
  <c r="AA821" i="2" s="1"/>
  <c r="G822" i="2"/>
  <c r="AA822" i="2" s="1"/>
  <c r="G823" i="2"/>
  <c r="AA823" i="2" s="1"/>
  <c r="G824" i="2"/>
  <c r="G825" i="2"/>
  <c r="G826" i="2"/>
  <c r="G827" i="2"/>
  <c r="G828" i="2"/>
  <c r="AA828" i="2" s="1"/>
  <c r="G829" i="2"/>
  <c r="AA829" i="2" s="1"/>
  <c r="G830" i="2"/>
  <c r="AA830" i="2" s="1"/>
  <c r="G831" i="2"/>
  <c r="AA831" i="2" s="1"/>
  <c r="G832" i="2"/>
  <c r="G833" i="2"/>
  <c r="G834" i="2"/>
  <c r="AA834" i="2" s="1"/>
  <c r="G835" i="2"/>
  <c r="G836" i="2"/>
  <c r="AA836" i="2" s="1"/>
  <c r="G837" i="2"/>
  <c r="AA837" i="2" s="1"/>
  <c r="G838" i="2"/>
  <c r="AA838" i="2" s="1"/>
  <c r="G839" i="2"/>
  <c r="AA839" i="2" s="1"/>
  <c r="G840" i="2"/>
  <c r="AA840" i="2" s="1"/>
  <c r="G841" i="2"/>
  <c r="G842" i="2"/>
  <c r="G843" i="2"/>
  <c r="G844" i="2"/>
  <c r="G845" i="2"/>
  <c r="AA845" i="2" s="1"/>
  <c r="G846" i="2"/>
  <c r="AA846" i="2" s="1"/>
  <c r="G847" i="2"/>
  <c r="AA847" i="2" s="1"/>
  <c r="G848" i="2"/>
  <c r="AA848" i="2" s="1"/>
  <c r="G849" i="2"/>
  <c r="G850" i="2"/>
  <c r="AA850" i="2" s="1"/>
  <c r="G851" i="2"/>
  <c r="G852" i="2"/>
  <c r="AA852" i="2" s="1"/>
  <c r="G853" i="2"/>
  <c r="AA853" i="2" s="1"/>
  <c r="G854" i="2"/>
  <c r="G855" i="2"/>
  <c r="AA855" i="2" s="1"/>
  <c r="G856" i="2"/>
  <c r="G857" i="2"/>
  <c r="G858" i="2"/>
  <c r="G859" i="2"/>
  <c r="G860" i="2"/>
  <c r="G861" i="2"/>
  <c r="AA861" i="2" s="1"/>
  <c r="G862" i="2"/>
  <c r="G863" i="2"/>
  <c r="AA863" i="2" s="1"/>
  <c r="G864" i="2"/>
  <c r="AA864" i="2" s="1"/>
  <c r="G865" i="2"/>
  <c r="G866" i="2"/>
  <c r="G867" i="2"/>
  <c r="G868" i="2"/>
  <c r="AA868" i="2" s="1"/>
  <c r="G869" i="2"/>
  <c r="AA869" i="2" s="1"/>
  <c r="G870" i="2"/>
  <c r="AA870" i="2" s="1"/>
  <c r="G871" i="2"/>
  <c r="AA871" i="2" s="1"/>
  <c r="G872" i="2"/>
  <c r="G873" i="2"/>
  <c r="G874" i="2"/>
  <c r="G875" i="2"/>
  <c r="G876" i="2"/>
  <c r="AA876" i="2" s="1"/>
  <c r="G877" i="2"/>
  <c r="AA877" i="2" s="1"/>
  <c r="G878" i="2"/>
  <c r="AA878" i="2" s="1"/>
  <c r="G879" i="2"/>
  <c r="AA879" i="2" s="1"/>
  <c r="G880" i="2"/>
  <c r="G881" i="2"/>
  <c r="G882" i="2"/>
  <c r="G883" i="2"/>
  <c r="G884" i="2"/>
  <c r="AA884" i="2" s="1"/>
  <c r="G885" i="2"/>
  <c r="AA885" i="2" s="1"/>
  <c r="G886" i="2"/>
  <c r="AA886" i="2" s="1"/>
  <c r="G887" i="2"/>
  <c r="G888" i="2"/>
  <c r="G889" i="2"/>
  <c r="G890" i="2"/>
  <c r="G891" i="2"/>
  <c r="G892" i="2"/>
  <c r="AA892" i="2" s="1"/>
  <c r="G893" i="2"/>
  <c r="AA893" i="2" s="1"/>
  <c r="G894" i="2"/>
  <c r="AA894" i="2" s="1"/>
  <c r="G895" i="2"/>
  <c r="AA895" i="2" s="1"/>
  <c r="G896" i="2"/>
  <c r="G897" i="2"/>
  <c r="G898" i="2"/>
  <c r="G899" i="2"/>
  <c r="G900" i="2"/>
  <c r="AA900" i="2" s="1"/>
  <c r="G901" i="2"/>
  <c r="AA901" i="2" s="1"/>
  <c r="G902" i="2"/>
  <c r="AA902" i="2" s="1"/>
  <c r="G903" i="2"/>
  <c r="AA903" i="2" s="1"/>
  <c r="G904" i="2"/>
  <c r="AA904" i="2" s="1"/>
  <c r="G905" i="2"/>
  <c r="G906" i="2"/>
  <c r="G907" i="2"/>
  <c r="G908" i="2"/>
  <c r="G909" i="2"/>
  <c r="AA909" i="2" s="1"/>
  <c r="G910" i="2"/>
  <c r="AA910" i="2" s="1"/>
  <c r="G911" i="2"/>
  <c r="G912" i="2"/>
  <c r="AA912" i="2" s="1"/>
  <c r="G913" i="2"/>
  <c r="G914" i="2"/>
  <c r="G915" i="2"/>
  <c r="G916" i="2"/>
  <c r="AA916" i="2" s="1"/>
  <c r="G917" i="2"/>
  <c r="AA917" i="2" s="1"/>
  <c r="G918" i="2"/>
  <c r="AA918" i="2" s="1"/>
  <c r="G919" i="2"/>
  <c r="AA919" i="2" s="1"/>
  <c r="G920" i="2"/>
  <c r="G921" i="2"/>
  <c r="G922" i="2"/>
  <c r="G923" i="2"/>
  <c r="G924" i="2"/>
  <c r="AA924" i="2" s="1"/>
  <c r="G925" i="2"/>
  <c r="G926" i="2"/>
  <c r="AA926" i="2" s="1"/>
  <c r="G927" i="2"/>
  <c r="AA927" i="2" s="1"/>
  <c r="G928" i="2"/>
  <c r="AA928" i="2" s="1"/>
  <c r="G929" i="2"/>
  <c r="G930" i="2"/>
  <c r="AA930" i="2" s="1"/>
  <c r="G931" i="2"/>
  <c r="G932" i="2"/>
  <c r="AA932" i="2" s="1"/>
  <c r="G933" i="2"/>
  <c r="AA933" i="2" s="1"/>
  <c r="G934" i="2"/>
  <c r="AA934" i="2" s="1"/>
  <c r="G935" i="2"/>
  <c r="AA935" i="2" s="1"/>
  <c r="G936" i="2"/>
  <c r="G937" i="2"/>
  <c r="G938" i="2"/>
  <c r="G939" i="2"/>
  <c r="G940" i="2"/>
  <c r="G941" i="2"/>
  <c r="AA941" i="2" s="1"/>
  <c r="G942" i="2"/>
  <c r="AA942" i="2" s="1"/>
  <c r="G943" i="2"/>
  <c r="AA943" i="2" s="1"/>
  <c r="G944" i="2"/>
  <c r="G945" i="2"/>
  <c r="G946" i="2"/>
  <c r="G947" i="2"/>
  <c r="G948" i="2"/>
  <c r="AA948" i="2" s="1"/>
  <c r="G949" i="2"/>
  <c r="AA949" i="2" s="1"/>
  <c r="G950" i="2"/>
  <c r="AA950" i="2" s="1"/>
  <c r="G951" i="2"/>
  <c r="AA951" i="2" s="1"/>
  <c r="G952" i="2"/>
  <c r="G953" i="2"/>
  <c r="G954" i="2"/>
  <c r="G955" i="2"/>
  <c r="G956" i="2"/>
  <c r="AA956" i="2" s="1"/>
  <c r="G957" i="2"/>
  <c r="AA957" i="2" s="1"/>
  <c r="G958" i="2"/>
  <c r="AA958" i="2" s="1"/>
  <c r="G959" i="2"/>
  <c r="AA959" i="2" s="1"/>
  <c r="G960" i="2"/>
  <c r="G961" i="2"/>
  <c r="G962" i="2"/>
  <c r="G963" i="2"/>
  <c r="G964" i="2"/>
  <c r="G965" i="2"/>
  <c r="AA965" i="2" s="1"/>
  <c r="G966" i="2"/>
  <c r="AA966" i="2" s="1"/>
  <c r="G967" i="2"/>
  <c r="AA967" i="2" s="1"/>
  <c r="G968" i="2"/>
  <c r="AA968" i="2" s="1"/>
  <c r="G969" i="2"/>
  <c r="G970" i="2"/>
  <c r="G971" i="2"/>
  <c r="G972" i="2"/>
  <c r="AA972" i="2" s="1"/>
  <c r="G973" i="2"/>
  <c r="AA973" i="2" s="1"/>
  <c r="G974" i="2"/>
  <c r="AA974" i="2" s="1"/>
  <c r="G975" i="2"/>
  <c r="AA975" i="2" s="1"/>
  <c r="G976" i="2"/>
  <c r="AA976" i="2" s="1"/>
  <c r="G977" i="2"/>
  <c r="G978" i="2"/>
  <c r="AA978" i="2" s="1"/>
  <c r="G979" i="2"/>
  <c r="G980" i="2"/>
  <c r="AA980" i="2" s="1"/>
  <c r="G981" i="2"/>
  <c r="G982" i="2"/>
  <c r="G983" i="2"/>
  <c r="AA983" i="2" s="1"/>
  <c r="G984" i="2"/>
  <c r="G985" i="2"/>
  <c r="G986" i="2"/>
  <c r="G987" i="2"/>
  <c r="G988" i="2"/>
  <c r="AA988" i="2" s="1"/>
  <c r="G989" i="2"/>
  <c r="AA989" i="2" s="1"/>
  <c r="G990" i="2"/>
  <c r="G991" i="2"/>
  <c r="AA991" i="2" s="1"/>
  <c r="G992" i="2"/>
  <c r="AA992" i="2" s="1"/>
  <c r="G993" i="2"/>
  <c r="G994" i="2"/>
  <c r="G995" i="2"/>
  <c r="G996" i="2"/>
  <c r="G997" i="2"/>
  <c r="AA997" i="2" s="1"/>
  <c r="G998" i="2"/>
  <c r="AA998" i="2" s="1"/>
  <c r="G999" i="2"/>
  <c r="G1000" i="2"/>
  <c r="G1001" i="2"/>
  <c r="G1002" i="2"/>
  <c r="AA1002" i="2" s="1"/>
  <c r="G1003" i="2"/>
  <c r="G1004" i="2"/>
  <c r="AA1004" i="2" s="1"/>
  <c r="G1005" i="2"/>
  <c r="AA1005" i="2" s="1"/>
  <c r="G1006" i="2"/>
  <c r="AA1006" i="2" s="1"/>
  <c r="G1007" i="2"/>
  <c r="G1008" i="2"/>
  <c r="G1009" i="2"/>
  <c r="G1010" i="2"/>
  <c r="AA1010" i="2" s="1"/>
  <c r="G1011" i="2"/>
  <c r="G1012" i="2"/>
  <c r="AA1012" i="2" s="1"/>
  <c r="G1013" i="2"/>
  <c r="AA1013" i="2" s="1"/>
  <c r="G1014" i="2"/>
  <c r="AA1014" i="2" s="1"/>
  <c r="G1015" i="2"/>
  <c r="AA1015" i="2" s="1"/>
  <c r="G1016" i="2"/>
  <c r="G1017" i="2"/>
  <c r="G1018" i="2"/>
  <c r="G1019" i="2"/>
  <c r="G1020" i="2"/>
  <c r="G1021" i="2"/>
  <c r="AA1021" i="2" s="1"/>
  <c r="G1022" i="2"/>
  <c r="AA1022" i="2" s="1"/>
  <c r="G1023" i="2"/>
  <c r="AA1023" i="2" s="1"/>
  <c r="G1024" i="2"/>
  <c r="G1025" i="2"/>
  <c r="G1026" i="2"/>
  <c r="AA1026" i="2" s="1"/>
  <c r="G1027" i="2"/>
  <c r="G1028" i="2"/>
  <c r="AA1028" i="2" s="1"/>
  <c r="G1029" i="2"/>
  <c r="AA1029" i="2" s="1"/>
  <c r="G1030" i="2"/>
  <c r="AA1030" i="2" s="1"/>
  <c r="G1031" i="2"/>
  <c r="AA1031" i="2" s="1"/>
  <c r="G1032" i="2"/>
  <c r="AA1032" i="2" s="1"/>
  <c r="G1033" i="2"/>
  <c r="G1034" i="2"/>
  <c r="G1035" i="2"/>
  <c r="G1036" i="2"/>
  <c r="AA1036" i="2" s="1"/>
  <c r="G1037" i="2"/>
  <c r="G1038" i="2"/>
  <c r="AA1038" i="2" s="1"/>
  <c r="G1039" i="2"/>
  <c r="AA1039" i="2" s="1"/>
  <c r="G1040" i="2"/>
  <c r="AA1040" i="2" s="1"/>
  <c r="G1041" i="2"/>
  <c r="G1042" i="2"/>
  <c r="G1043" i="2"/>
  <c r="G1044" i="2"/>
  <c r="AA1044" i="2" s="1"/>
  <c r="G1045" i="2"/>
  <c r="AA1045" i="2" s="1"/>
  <c r="G1046" i="2"/>
  <c r="AA1046" i="2" s="1"/>
  <c r="G1047" i="2"/>
  <c r="AA1047" i="2" s="1"/>
  <c r="G1048" i="2"/>
  <c r="G1049" i="2"/>
  <c r="G1050" i="2"/>
  <c r="AA1050" i="2" s="1"/>
  <c r="G1051" i="2"/>
  <c r="G1052" i="2"/>
  <c r="AA1052" i="2" s="1"/>
  <c r="G1053" i="2"/>
  <c r="G1054" i="2"/>
  <c r="AA1054" i="2" s="1"/>
  <c r="G1055" i="2"/>
  <c r="AA1055" i="2" s="1"/>
  <c r="G1056" i="2"/>
  <c r="AA1056" i="2" s="1"/>
  <c r="G1057" i="2"/>
  <c r="G1058" i="2"/>
  <c r="AA1058" i="2" s="1"/>
  <c r="G1059" i="2"/>
  <c r="G1060" i="2"/>
  <c r="AA1060" i="2" s="1"/>
  <c r="G1061" i="2"/>
  <c r="AA1061" i="2" s="1"/>
  <c r="G1062" i="2"/>
  <c r="AA1062" i="2" s="1"/>
  <c r="G1063" i="2"/>
  <c r="G1064" i="2"/>
  <c r="G1065" i="2"/>
  <c r="G1066" i="2"/>
  <c r="G1067" i="2"/>
  <c r="G1068" i="2"/>
  <c r="AA1068" i="2" s="1"/>
  <c r="G1069" i="2"/>
  <c r="AA1069" i="2" s="1"/>
  <c r="G1070" i="2"/>
  <c r="AA1070" i="2" s="1"/>
  <c r="G1071" i="2"/>
  <c r="AA1071" i="2" s="1"/>
  <c r="G1072" i="2"/>
  <c r="G1073" i="2"/>
  <c r="G1074" i="2"/>
  <c r="G1075" i="2"/>
  <c r="G1076" i="2"/>
  <c r="AA1076" i="2" s="1"/>
  <c r="G1077" i="2"/>
  <c r="AA1077" i="2" s="1"/>
  <c r="G1078" i="2"/>
  <c r="AA1078" i="2" s="1"/>
  <c r="G1079" i="2"/>
  <c r="AA1079" i="2" s="1"/>
  <c r="G1080" i="2"/>
  <c r="G1081" i="2"/>
  <c r="G1082" i="2"/>
  <c r="AA1082" i="2" s="1"/>
  <c r="G1083" i="2"/>
  <c r="G1084" i="2"/>
  <c r="AA1084" i="2" s="1"/>
  <c r="G1085" i="2"/>
  <c r="AA1085" i="2" s="1"/>
  <c r="G1086" i="2"/>
  <c r="AA1086" i="2" s="1"/>
  <c r="G1087" i="2"/>
  <c r="AA1087" i="2" s="1"/>
  <c r="G1088" i="2"/>
  <c r="G1089" i="2"/>
  <c r="G1090" i="2"/>
  <c r="AA1090" i="2" s="1"/>
  <c r="G1091" i="2"/>
  <c r="G1092" i="2"/>
  <c r="AA1092" i="2" s="1"/>
  <c r="G1093" i="2"/>
  <c r="AA1093" i="2" s="1"/>
  <c r="G1094" i="2"/>
  <c r="AA1094" i="2" s="1"/>
  <c r="G1095" i="2"/>
  <c r="AA1095" i="2" s="1"/>
  <c r="G1096" i="2"/>
  <c r="AA1096" i="2" s="1"/>
  <c r="G1097" i="2"/>
  <c r="G1098" i="2"/>
  <c r="G1099" i="2"/>
  <c r="G1100" i="2"/>
  <c r="AA1100" i="2" s="1"/>
  <c r="G1101" i="2"/>
  <c r="AA1101" i="2" s="1"/>
  <c r="G1102" i="2"/>
  <c r="AA1102" i="2" s="1"/>
  <c r="G1103" i="2"/>
  <c r="AA1103" i="2" s="1"/>
  <c r="G1104" i="2"/>
  <c r="AA1104" i="2" s="1"/>
  <c r="G1105" i="2"/>
  <c r="G1106" i="2"/>
  <c r="AA1106" i="2" s="1"/>
  <c r="G1107" i="2"/>
  <c r="G1108" i="2"/>
  <c r="AA1108" i="2" s="1"/>
  <c r="G1109" i="2"/>
  <c r="AA1109" i="2" s="1"/>
  <c r="G1110" i="2"/>
  <c r="AA1110" i="2" s="1"/>
  <c r="G1111" i="2"/>
  <c r="AA1111" i="2" s="1"/>
  <c r="G1112" i="2"/>
  <c r="G1113" i="2"/>
  <c r="G1114" i="2"/>
  <c r="AA1114" i="2" s="1"/>
  <c r="G1115" i="2"/>
  <c r="G1116" i="2"/>
  <c r="AA1116" i="2" s="1"/>
  <c r="G1117" i="2"/>
  <c r="AA1117" i="2" s="1"/>
  <c r="G1118" i="2"/>
  <c r="AA1118" i="2" s="1"/>
  <c r="G1119" i="2"/>
  <c r="G1120" i="2"/>
  <c r="AA1120" i="2" s="1"/>
  <c r="G1121" i="2"/>
  <c r="G1122" i="2"/>
  <c r="G1123" i="2"/>
  <c r="G1124" i="2"/>
  <c r="AA1124" i="2" s="1"/>
  <c r="G1125" i="2"/>
  <c r="AA1125" i="2" s="1"/>
  <c r="G1126" i="2"/>
  <c r="AA1126" i="2" s="1"/>
  <c r="G1127" i="2"/>
  <c r="AA1127" i="2" s="1"/>
  <c r="G1128" i="2"/>
  <c r="G1129" i="2"/>
  <c r="G1130" i="2"/>
  <c r="G1131" i="2"/>
  <c r="G1132" i="2"/>
  <c r="G1133" i="2"/>
  <c r="AA1133" i="2" s="1"/>
  <c r="G1134" i="2"/>
  <c r="AA1134" i="2" s="1"/>
  <c r="G1135" i="2"/>
  <c r="G1136" i="2"/>
  <c r="G1137" i="2"/>
  <c r="G1138" i="2"/>
  <c r="AA1138" i="2" s="1"/>
  <c r="G1139" i="2"/>
  <c r="G1140" i="2"/>
  <c r="AA1140" i="2" s="1"/>
  <c r="G1141" i="2"/>
  <c r="G1142" i="2"/>
  <c r="AA1142" i="2" s="1"/>
  <c r="G1143" i="2"/>
  <c r="G1144" i="2"/>
  <c r="G1145" i="2"/>
  <c r="G1146" i="2"/>
  <c r="G1147" i="2"/>
  <c r="G1148" i="2"/>
  <c r="AA1148" i="2" s="1"/>
  <c r="G1149" i="2"/>
  <c r="AA1149" i="2" s="1"/>
  <c r="G1150" i="2"/>
  <c r="AA1150" i="2" s="1"/>
  <c r="G1151" i="2"/>
  <c r="AA1151" i="2" s="1"/>
  <c r="G1152" i="2"/>
  <c r="G1153" i="2"/>
  <c r="G1154" i="2"/>
  <c r="G1155" i="2"/>
  <c r="G1156" i="2"/>
  <c r="AA1156" i="2" s="1"/>
  <c r="G1157" i="2"/>
  <c r="AA1157" i="2" s="1"/>
  <c r="G1158" i="2"/>
  <c r="AA1158" i="2" s="1"/>
  <c r="G1159" i="2"/>
  <c r="AA1159" i="2" s="1"/>
  <c r="G1160" i="2"/>
  <c r="AA1160" i="2" s="1"/>
  <c r="G1161" i="2"/>
  <c r="G1162" i="2"/>
  <c r="AA1162" i="2" s="1"/>
  <c r="G1163" i="2"/>
  <c r="G1164" i="2"/>
  <c r="AA1164" i="2" s="1"/>
  <c r="G1165" i="2"/>
  <c r="AA1165" i="2" s="1"/>
  <c r="G1166" i="2"/>
  <c r="AA1166" i="2" s="1"/>
  <c r="G1167" i="2"/>
  <c r="AA1167" i="2" s="1"/>
  <c r="G1168" i="2"/>
  <c r="AA1168" i="2" s="1"/>
  <c r="G1169" i="2"/>
  <c r="G1170" i="2"/>
  <c r="AA1170" i="2" s="1"/>
  <c r="G1171" i="2"/>
  <c r="G1172" i="2"/>
  <c r="AA1172" i="2" s="1"/>
  <c r="G1173" i="2"/>
  <c r="AA1173" i="2" s="1"/>
  <c r="G1174" i="2"/>
  <c r="G1175" i="2"/>
  <c r="AA1175" i="2" s="1"/>
  <c r="G1176" i="2"/>
  <c r="G1177" i="2"/>
  <c r="G1178" i="2"/>
  <c r="AA1178" i="2" s="1"/>
  <c r="G1179" i="2"/>
  <c r="G1180" i="2"/>
  <c r="AA1180" i="2" s="1"/>
  <c r="G1181" i="2"/>
  <c r="AA1181" i="2" s="1"/>
  <c r="G1182" i="2"/>
  <c r="AA1182" i="2" s="1"/>
  <c r="G1183" i="2"/>
  <c r="AA1183" i="2" s="1"/>
  <c r="G1184" i="2"/>
  <c r="AA1184" i="2" s="1"/>
  <c r="G1185" i="2"/>
  <c r="G1186" i="2"/>
  <c r="AA1186" i="2" s="1"/>
  <c r="G1187" i="2"/>
  <c r="G1188" i="2"/>
  <c r="G1189" i="2"/>
  <c r="AA1189" i="2" s="1"/>
  <c r="G1190" i="2"/>
  <c r="AA1190" i="2" s="1"/>
  <c r="G1191" i="2"/>
  <c r="G1192" i="2"/>
  <c r="G1193" i="2"/>
  <c r="G1194" i="2"/>
  <c r="G1195" i="2"/>
  <c r="G1196" i="2"/>
  <c r="AA1196" i="2" s="1"/>
  <c r="G1197" i="2"/>
  <c r="G1198" i="2"/>
  <c r="AA1198" i="2" s="1"/>
  <c r="G1199" i="2"/>
  <c r="G1200" i="2"/>
  <c r="G1201" i="2"/>
  <c r="AA406" i="2"/>
  <c r="AA414" i="2"/>
  <c r="AA454" i="2"/>
  <c r="AA534" i="2"/>
  <c r="AA542" i="2"/>
  <c r="AA582" i="2"/>
  <c r="AA590" i="2"/>
  <c r="AA798" i="2"/>
  <c r="AA854" i="2"/>
  <c r="AA862" i="2"/>
  <c r="AA982" i="2"/>
  <c r="AA990" i="2"/>
  <c r="AA1174" i="2"/>
  <c r="Q2" i="2"/>
  <c r="W2" i="2" s="1"/>
  <c r="Q3" i="2"/>
  <c r="W3" i="2" s="1"/>
  <c r="Q4" i="2"/>
  <c r="W4" i="2" s="1"/>
  <c r="Q5" i="2"/>
  <c r="W5" i="2" s="1"/>
  <c r="Q6" i="2"/>
  <c r="W6" i="2" s="1"/>
  <c r="Q7" i="2"/>
  <c r="W7" i="2" s="1"/>
  <c r="Q8" i="2"/>
  <c r="W8" i="2" s="1"/>
  <c r="Q9" i="2"/>
  <c r="W9" i="2" s="1"/>
  <c r="Q10" i="2"/>
  <c r="W10" i="2" s="1"/>
  <c r="Q11" i="2"/>
  <c r="W11" i="2" s="1"/>
  <c r="Q12" i="2"/>
  <c r="W12" i="2" s="1"/>
  <c r="Q13" i="2"/>
  <c r="W13" i="2" s="1"/>
  <c r="Q14" i="2"/>
  <c r="W14" i="2" s="1"/>
  <c r="Q15" i="2"/>
  <c r="W15" i="2" s="1"/>
  <c r="Q16" i="2"/>
  <c r="W16" i="2" s="1"/>
  <c r="Q17" i="2"/>
  <c r="W17" i="2" s="1"/>
  <c r="Q18" i="2"/>
  <c r="W18" i="2" s="1"/>
  <c r="Q19" i="2"/>
  <c r="W19" i="2" s="1"/>
  <c r="Q20" i="2"/>
  <c r="W20" i="2" s="1"/>
  <c r="Q21" i="2"/>
  <c r="W21" i="2" s="1"/>
  <c r="Q22" i="2"/>
  <c r="W22" i="2" s="1"/>
  <c r="Q23" i="2"/>
  <c r="W23" i="2" s="1"/>
  <c r="Q24" i="2"/>
  <c r="W24" i="2" s="1"/>
  <c r="Q25" i="2"/>
  <c r="W25" i="2" s="1"/>
  <c r="Q26" i="2"/>
  <c r="W26" i="2" s="1"/>
  <c r="Q27" i="2"/>
  <c r="W27" i="2" s="1"/>
  <c r="Q28" i="2"/>
  <c r="W28" i="2" s="1"/>
  <c r="Q29" i="2"/>
  <c r="W29" i="2" s="1"/>
  <c r="Q30" i="2"/>
  <c r="W30" i="2" s="1"/>
  <c r="Q31" i="2"/>
  <c r="W31" i="2" s="1"/>
  <c r="Q32" i="2"/>
  <c r="W32" i="2" s="1"/>
  <c r="Q33" i="2"/>
  <c r="W33" i="2" s="1"/>
  <c r="Q34" i="2"/>
  <c r="W34" i="2" s="1"/>
  <c r="Q35" i="2"/>
  <c r="W35" i="2" s="1"/>
  <c r="Q36" i="2"/>
  <c r="W36" i="2" s="1"/>
  <c r="Q37" i="2"/>
  <c r="W37" i="2" s="1"/>
  <c r="Q38" i="2"/>
  <c r="W38" i="2" s="1"/>
  <c r="Q39" i="2"/>
  <c r="W39" i="2" s="1"/>
  <c r="Q40" i="2"/>
  <c r="W40" i="2" s="1"/>
  <c r="Q41" i="2"/>
  <c r="W41" i="2" s="1"/>
  <c r="Q42" i="2"/>
  <c r="W42" i="2" s="1"/>
  <c r="Q43" i="2"/>
  <c r="W43" i="2" s="1"/>
  <c r="Q44" i="2"/>
  <c r="W44" i="2" s="1"/>
  <c r="Q45" i="2"/>
  <c r="W45" i="2" s="1"/>
  <c r="Q46" i="2"/>
  <c r="W46" i="2" s="1"/>
  <c r="Q47" i="2"/>
  <c r="W47" i="2" s="1"/>
  <c r="Q48" i="2"/>
  <c r="W48" i="2" s="1"/>
  <c r="Q49" i="2"/>
  <c r="W49" i="2" s="1"/>
  <c r="Q50" i="2"/>
  <c r="W50" i="2" s="1"/>
  <c r="Q51" i="2"/>
  <c r="W51" i="2" s="1"/>
  <c r="Q52" i="2"/>
  <c r="W52" i="2" s="1"/>
  <c r="Q53" i="2"/>
  <c r="W53" i="2" s="1"/>
  <c r="Q54" i="2"/>
  <c r="W54" i="2" s="1"/>
  <c r="Q55" i="2"/>
  <c r="W55" i="2" s="1"/>
  <c r="Q56" i="2"/>
  <c r="W56" i="2" s="1"/>
  <c r="Q57" i="2"/>
  <c r="W57" i="2" s="1"/>
  <c r="Q58" i="2"/>
  <c r="W58" i="2" s="1"/>
  <c r="Q59" i="2"/>
  <c r="W59" i="2" s="1"/>
  <c r="Q60" i="2"/>
  <c r="W60" i="2" s="1"/>
  <c r="Q61" i="2"/>
  <c r="W61" i="2" s="1"/>
  <c r="Q62" i="2"/>
  <c r="W62" i="2" s="1"/>
  <c r="Q63" i="2"/>
  <c r="W63" i="2" s="1"/>
  <c r="Q64" i="2"/>
  <c r="W64" i="2" s="1"/>
  <c r="Q65" i="2"/>
  <c r="W65" i="2" s="1"/>
  <c r="Q66" i="2"/>
  <c r="W66" i="2" s="1"/>
  <c r="Q67" i="2"/>
  <c r="W67" i="2" s="1"/>
  <c r="Q68" i="2"/>
  <c r="W68" i="2" s="1"/>
  <c r="Q69" i="2"/>
  <c r="W69" i="2" s="1"/>
  <c r="Q70" i="2"/>
  <c r="W70" i="2" s="1"/>
  <c r="Q71" i="2"/>
  <c r="W71" i="2" s="1"/>
  <c r="Q72" i="2"/>
  <c r="W72" i="2" s="1"/>
  <c r="Q73" i="2"/>
  <c r="W73" i="2" s="1"/>
  <c r="Q74" i="2"/>
  <c r="W74" i="2" s="1"/>
  <c r="Q75" i="2"/>
  <c r="W75" i="2" s="1"/>
  <c r="Q76" i="2"/>
  <c r="W76" i="2" s="1"/>
  <c r="Q77" i="2"/>
  <c r="W77" i="2" s="1"/>
  <c r="Q78" i="2"/>
  <c r="W78" i="2" s="1"/>
  <c r="Q79" i="2"/>
  <c r="W79" i="2" s="1"/>
  <c r="Q80" i="2"/>
  <c r="W80" i="2" s="1"/>
  <c r="Q81" i="2"/>
  <c r="W81" i="2" s="1"/>
  <c r="Q82" i="2"/>
  <c r="W82" i="2" s="1"/>
  <c r="Q83" i="2"/>
  <c r="W83" i="2" s="1"/>
  <c r="Q84" i="2"/>
  <c r="W84" i="2" s="1"/>
  <c r="Q85" i="2"/>
  <c r="W85" i="2" s="1"/>
  <c r="Q86" i="2"/>
  <c r="W86" i="2" s="1"/>
  <c r="Q87" i="2"/>
  <c r="W87" i="2" s="1"/>
  <c r="Q88" i="2"/>
  <c r="W88" i="2" s="1"/>
  <c r="Q89" i="2"/>
  <c r="W89" i="2" s="1"/>
  <c r="Q90" i="2"/>
  <c r="W90" i="2" s="1"/>
  <c r="Q91" i="2"/>
  <c r="W91" i="2" s="1"/>
  <c r="Q92" i="2"/>
  <c r="W92" i="2" s="1"/>
  <c r="Q93" i="2"/>
  <c r="W93" i="2" s="1"/>
  <c r="Q94" i="2"/>
  <c r="W94" i="2" s="1"/>
  <c r="Q95" i="2"/>
  <c r="W95" i="2" s="1"/>
  <c r="Q96" i="2"/>
  <c r="W96" i="2" s="1"/>
  <c r="Q97" i="2"/>
  <c r="W97" i="2" s="1"/>
  <c r="Q98" i="2"/>
  <c r="W98" i="2" s="1"/>
  <c r="Q99" i="2"/>
  <c r="W99" i="2" s="1"/>
  <c r="Q100" i="2"/>
  <c r="W100" i="2" s="1"/>
  <c r="Q101" i="2"/>
  <c r="W101" i="2" s="1"/>
  <c r="Q102" i="2"/>
  <c r="W102" i="2" s="1"/>
  <c r="Q103" i="2"/>
  <c r="W103" i="2" s="1"/>
  <c r="Q104" i="2"/>
  <c r="W104" i="2" s="1"/>
  <c r="Q105" i="2"/>
  <c r="W105" i="2" s="1"/>
  <c r="Q106" i="2"/>
  <c r="W106" i="2" s="1"/>
  <c r="Q107" i="2"/>
  <c r="W107" i="2" s="1"/>
  <c r="Q108" i="2"/>
  <c r="W108" i="2" s="1"/>
  <c r="Q109" i="2"/>
  <c r="W109" i="2" s="1"/>
  <c r="Q110" i="2"/>
  <c r="W110" i="2" s="1"/>
  <c r="Q111" i="2"/>
  <c r="W111" i="2" s="1"/>
  <c r="Q112" i="2"/>
  <c r="W112" i="2" s="1"/>
  <c r="Q113" i="2"/>
  <c r="W113" i="2" s="1"/>
  <c r="Q114" i="2"/>
  <c r="W114" i="2" s="1"/>
  <c r="Q115" i="2"/>
  <c r="W115" i="2" s="1"/>
  <c r="Q116" i="2"/>
  <c r="W116" i="2" s="1"/>
  <c r="Q117" i="2"/>
  <c r="W117" i="2" s="1"/>
  <c r="Q118" i="2"/>
  <c r="W118" i="2" s="1"/>
  <c r="Q119" i="2"/>
  <c r="W119" i="2" s="1"/>
  <c r="Q120" i="2"/>
  <c r="W120" i="2" s="1"/>
  <c r="Q121" i="2"/>
  <c r="W121" i="2" s="1"/>
  <c r="Q122" i="2"/>
  <c r="W122" i="2" s="1"/>
  <c r="Q123" i="2"/>
  <c r="W123" i="2" s="1"/>
  <c r="Q124" i="2"/>
  <c r="W124" i="2" s="1"/>
  <c r="Q125" i="2"/>
  <c r="W125" i="2" s="1"/>
  <c r="Q126" i="2"/>
  <c r="W126" i="2" s="1"/>
  <c r="Q127" i="2"/>
  <c r="W127" i="2" s="1"/>
  <c r="Q128" i="2"/>
  <c r="W128" i="2" s="1"/>
  <c r="Q129" i="2"/>
  <c r="W129" i="2" s="1"/>
  <c r="Q130" i="2"/>
  <c r="W130" i="2" s="1"/>
  <c r="Q131" i="2"/>
  <c r="W131" i="2" s="1"/>
  <c r="Q132" i="2"/>
  <c r="W132" i="2" s="1"/>
  <c r="Q133" i="2"/>
  <c r="W133" i="2" s="1"/>
  <c r="Q134" i="2"/>
  <c r="W134" i="2" s="1"/>
  <c r="Q135" i="2"/>
  <c r="W135" i="2" s="1"/>
  <c r="Q136" i="2"/>
  <c r="W136" i="2" s="1"/>
  <c r="Q137" i="2"/>
  <c r="W137" i="2" s="1"/>
  <c r="Q138" i="2"/>
  <c r="W138" i="2" s="1"/>
  <c r="Q139" i="2"/>
  <c r="W139" i="2" s="1"/>
  <c r="Q140" i="2"/>
  <c r="W140" i="2" s="1"/>
  <c r="Q141" i="2"/>
  <c r="W141" i="2" s="1"/>
  <c r="Q142" i="2"/>
  <c r="W142" i="2" s="1"/>
  <c r="Q143" i="2"/>
  <c r="W143" i="2" s="1"/>
  <c r="Q144" i="2"/>
  <c r="W144" i="2" s="1"/>
  <c r="Q145" i="2"/>
  <c r="W145" i="2" s="1"/>
  <c r="Q146" i="2"/>
  <c r="W146" i="2" s="1"/>
  <c r="Q147" i="2"/>
  <c r="W147" i="2" s="1"/>
  <c r="Q148" i="2"/>
  <c r="W148" i="2" s="1"/>
  <c r="Q149" i="2"/>
  <c r="W149" i="2" s="1"/>
  <c r="Q150" i="2"/>
  <c r="W150" i="2" s="1"/>
  <c r="Q151" i="2"/>
  <c r="W151" i="2" s="1"/>
  <c r="Q152" i="2"/>
  <c r="W152" i="2" s="1"/>
  <c r="Q153" i="2"/>
  <c r="W153" i="2" s="1"/>
  <c r="Q154" i="2"/>
  <c r="W154" i="2" s="1"/>
  <c r="Q155" i="2"/>
  <c r="W155" i="2" s="1"/>
  <c r="Q156" i="2"/>
  <c r="W156" i="2" s="1"/>
  <c r="Q157" i="2"/>
  <c r="W157" i="2" s="1"/>
  <c r="Q158" i="2"/>
  <c r="W158" i="2" s="1"/>
  <c r="Q159" i="2"/>
  <c r="W159" i="2" s="1"/>
  <c r="Q160" i="2"/>
  <c r="W160" i="2" s="1"/>
  <c r="Q161" i="2"/>
  <c r="W161" i="2" s="1"/>
  <c r="Q162" i="2"/>
  <c r="W162" i="2" s="1"/>
  <c r="Q163" i="2"/>
  <c r="W163" i="2" s="1"/>
  <c r="Q164" i="2"/>
  <c r="W164" i="2" s="1"/>
  <c r="Q165" i="2"/>
  <c r="W165" i="2" s="1"/>
  <c r="Q166" i="2"/>
  <c r="W166" i="2" s="1"/>
  <c r="Q167" i="2"/>
  <c r="W167" i="2" s="1"/>
  <c r="Q168" i="2"/>
  <c r="W168" i="2" s="1"/>
  <c r="Q169" i="2"/>
  <c r="W169" i="2" s="1"/>
  <c r="Q170" i="2"/>
  <c r="W170" i="2" s="1"/>
  <c r="Q171" i="2"/>
  <c r="W171" i="2" s="1"/>
  <c r="Q172" i="2"/>
  <c r="W172" i="2" s="1"/>
  <c r="Q173" i="2"/>
  <c r="W173" i="2" s="1"/>
  <c r="Q174" i="2"/>
  <c r="W174" i="2" s="1"/>
  <c r="Q175" i="2"/>
  <c r="W175" i="2" s="1"/>
  <c r="Q176" i="2"/>
  <c r="W176" i="2" s="1"/>
  <c r="Q177" i="2"/>
  <c r="W177" i="2" s="1"/>
  <c r="Q178" i="2"/>
  <c r="W178" i="2" s="1"/>
  <c r="Q179" i="2"/>
  <c r="W179" i="2" s="1"/>
  <c r="Q180" i="2"/>
  <c r="W180" i="2" s="1"/>
  <c r="Q181" i="2"/>
  <c r="W181" i="2" s="1"/>
  <c r="Q182" i="2"/>
  <c r="W182" i="2" s="1"/>
  <c r="Q183" i="2"/>
  <c r="W183" i="2" s="1"/>
  <c r="Q184" i="2"/>
  <c r="W184" i="2" s="1"/>
  <c r="Q185" i="2"/>
  <c r="W185" i="2" s="1"/>
  <c r="Q186" i="2"/>
  <c r="W186" i="2" s="1"/>
  <c r="Q187" i="2"/>
  <c r="W187" i="2" s="1"/>
  <c r="Q188" i="2"/>
  <c r="W188" i="2" s="1"/>
  <c r="Q189" i="2"/>
  <c r="W189" i="2" s="1"/>
  <c r="Q190" i="2"/>
  <c r="W190" i="2" s="1"/>
  <c r="Q191" i="2"/>
  <c r="W191" i="2" s="1"/>
  <c r="Q192" i="2"/>
  <c r="W192" i="2" s="1"/>
  <c r="Q193" i="2"/>
  <c r="W193" i="2" s="1"/>
  <c r="Q194" i="2"/>
  <c r="W194" i="2" s="1"/>
  <c r="Q195" i="2"/>
  <c r="W195" i="2" s="1"/>
  <c r="Q196" i="2"/>
  <c r="W196" i="2" s="1"/>
  <c r="Q197" i="2"/>
  <c r="W197" i="2" s="1"/>
  <c r="Q198" i="2"/>
  <c r="W198" i="2" s="1"/>
  <c r="Q199" i="2"/>
  <c r="W199" i="2" s="1"/>
  <c r="Q200" i="2"/>
  <c r="W200" i="2" s="1"/>
  <c r="Q201" i="2"/>
  <c r="W201" i="2" s="1"/>
  <c r="Q202" i="2"/>
  <c r="W202" i="2" s="1"/>
  <c r="Q203" i="2"/>
  <c r="W203" i="2" s="1"/>
  <c r="Q204" i="2"/>
  <c r="W204" i="2" s="1"/>
  <c r="Q205" i="2"/>
  <c r="W205" i="2" s="1"/>
  <c r="Q206" i="2"/>
  <c r="W206" i="2" s="1"/>
  <c r="Q207" i="2"/>
  <c r="W207" i="2" s="1"/>
  <c r="Q208" i="2"/>
  <c r="W208" i="2" s="1"/>
  <c r="Q209" i="2"/>
  <c r="W209" i="2" s="1"/>
  <c r="Q210" i="2"/>
  <c r="W210" i="2" s="1"/>
  <c r="Q211" i="2"/>
  <c r="W211" i="2" s="1"/>
  <c r="Q212" i="2"/>
  <c r="W212" i="2" s="1"/>
  <c r="Q213" i="2"/>
  <c r="W213" i="2" s="1"/>
  <c r="Q214" i="2"/>
  <c r="W214" i="2" s="1"/>
  <c r="Q215" i="2"/>
  <c r="W215" i="2" s="1"/>
  <c r="Q216" i="2"/>
  <c r="W216" i="2" s="1"/>
  <c r="Q217" i="2"/>
  <c r="W217" i="2" s="1"/>
  <c r="Q218" i="2"/>
  <c r="W218" i="2" s="1"/>
  <c r="Q219" i="2"/>
  <c r="W219" i="2" s="1"/>
  <c r="Q220" i="2"/>
  <c r="W220" i="2" s="1"/>
  <c r="Q221" i="2"/>
  <c r="W221" i="2" s="1"/>
  <c r="Q222" i="2"/>
  <c r="W222" i="2" s="1"/>
  <c r="Q223" i="2"/>
  <c r="W223" i="2" s="1"/>
  <c r="Q224" i="2"/>
  <c r="W224" i="2" s="1"/>
  <c r="Q225" i="2"/>
  <c r="W225" i="2" s="1"/>
  <c r="Q226" i="2"/>
  <c r="W226" i="2" s="1"/>
  <c r="Q227" i="2"/>
  <c r="W227" i="2" s="1"/>
  <c r="Q228" i="2"/>
  <c r="W228" i="2" s="1"/>
  <c r="Q229" i="2"/>
  <c r="W229" i="2" s="1"/>
  <c r="Q230" i="2"/>
  <c r="W230" i="2" s="1"/>
  <c r="Q231" i="2"/>
  <c r="W231" i="2" s="1"/>
  <c r="Q232" i="2"/>
  <c r="W232" i="2" s="1"/>
  <c r="Q233" i="2"/>
  <c r="W233" i="2" s="1"/>
  <c r="Q234" i="2"/>
  <c r="W234" i="2" s="1"/>
  <c r="Q235" i="2"/>
  <c r="W235" i="2" s="1"/>
  <c r="Q236" i="2"/>
  <c r="W236" i="2" s="1"/>
  <c r="Q237" i="2"/>
  <c r="W237" i="2" s="1"/>
  <c r="Q238" i="2"/>
  <c r="W238" i="2" s="1"/>
  <c r="Q239" i="2"/>
  <c r="W239" i="2" s="1"/>
  <c r="Q240" i="2"/>
  <c r="W240" i="2" s="1"/>
  <c r="Q241" i="2"/>
  <c r="W241" i="2" s="1"/>
  <c r="Q242" i="2"/>
  <c r="W242" i="2" s="1"/>
  <c r="Q243" i="2"/>
  <c r="W243" i="2" s="1"/>
  <c r="Q244" i="2"/>
  <c r="W244" i="2" s="1"/>
  <c r="Q245" i="2"/>
  <c r="W245" i="2" s="1"/>
  <c r="Q246" i="2"/>
  <c r="W246" i="2" s="1"/>
  <c r="Q247" i="2"/>
  <c r="W247" i="2" s="1"/>
  <c r="Q248" i="2"/>
  <c r="W248" i="2" s="1"/>
  <c r="Q249" i="2"/>
  <c r="W249" i="2" s="1"/>
  <c r="Q250" i="2"/>
  <c r="W250" i="2" s="1"/>
  <c r="Q251" i="2"/>
  <c r="W251" i="2" s="1"/>
  <c r="Q252" i="2"/>
  <c r="W252" i="2" s="1"/>
  <c r="Q253" i="2"/>
  <c r="W253" i="2" s="1"/>
  <c r="Q254" i="2"/>
  <c r="W254" i="2" s="1"/>
  <c r="Q255" i="2"/>
  <c r="W255" i="2" s="1"/>
  <c r="Q256" i="2"/>
  <c r="W256" i="2" s="1"/>
  <c r="Q257" i="2"/>
  <c r="W257" i="2" s="1"/>
  <c r="Q258" i="2"/>
  <c r="W258" i="2" s="1"/>
  <c r="Q259" i="2"/>
  <c r="W259" i="2" s="1"/>
  <c r="Q260" i="2"/>
  <c r="W260" i="2" s="1"/>
  <c r="Q261" i="2"/>
  <c r="W261" i="2" s="1"/>
  <c r="Q262" i="2"/>
  <c r="W262" i="2" s="1"/>
  <c r="Q263" i="2"/>
  <c r="W263" i="2" s="1"/>
  <c r="Q264" i="2"/>
  <c r="W264" i="2" s="1"/>
  <c r="Q265" i="2"/>
  <c r="W265" i="2" s="1"/>
  <c r="Q266" i="2"/>
  <c r="W266" i="2" s="1"/>
  <c r="Q267" i="2"/>
  <c r="W267" i="2" s="1"/>
  <c r="Q268" i="2"/>
  <c r="W268" i="2" s="1"/>
  <c r="Q269" i="2"/>
  <c r="W269" i="2" s="1"/>
  <c r="Q270" i="2"/>
  <c r="W270" i="2" s="1"/>
  <c r="Q271" i="2"/>
  <c r="W271" i="2" s="1"/>
  <c r="Q272" i="2"/>
  <c r="W272" i="2" s="1"/>
  <c r="Q273" i="2"/>
  <c r="W273" i="2" s="1"/>
  <c r="Q274" i="2"/>
  <c r="W274" i="2" s="1"/>
  <c r="Q275" i="2"/>
  <c r="W275" i="2" s="1"/>
  <c r="Q276" i="2"/>
  <c r="W276" i="2" s="1"/>
  <c r="Q277" i="2"/>
  <c r="W277" i="2" s="1"/>
  <c r="Q278" i="2"/>
  <c r="W278" i="2" s="1"/>
  <c r="Q279" i="2"/>
  <c r="W279" i="2" s="1"/>
  <c r="Q280" i="2"/>
  <c r="W280" i="2" s="1"/>
  <c r="Q281" i="2"/>
  <c r="W281" i="2" s="1"/>
  <c r="Q282" i="2"/>
  <c r="W282" i="2" s="1"/>
  <c r="Q283" i="2"/>
  <c r="W283" i="2" s="1"/>
  <c r="Q284" i="2"/>
  <c r="W284" i="2" s="1"/>
  <c r="Q285" i="2"/>
  <c r="W285" i="2" s="1"/>
  <c r="Q286" i="2"/>
  <c r="W286" i="2" s="1"/>
  <c r="Q287" i="2"/>
  <c r="W287" i="2" s="1"/>
  <c r="Q288" i="2"/>
  <c r="W288" i="2" s="1"/>
  <c r="Q289" i="2"/>
  <c r="W289" i="2" s="1"/>
  <c r="Q290" i="2"/>
  <c r="W290" i="2" s="1"/>
  <c r="Q291" i="2"/>
  <c r="W291" i="2" s="1"/>
  <c r="Q292" i="2"/>
  <c r="W292" i="2" s="1"/>
  <c r="Q293" i="2"/>
  <c r="W293" i="2" s="1"/>
  <c r="Q294" i="2"/>
  <c r="W294" i="2" s="1"/>
  <c r="Q295" i="2"/>
  <c r="W295" i="2" s="1"/>
  <c r="Q296" i="2"/>
  <c r="W296" i="2" s="1"/>
  <c r="Q297" i="2"/>
  <c r="W297" i="2" s="1"/>
  <c r="Q298" i="2"/>
  <c r="W298" i="2" s="1"/>
  <c r="Q299" i="2"/>
  <c r="W299" i="2" s="1"/>
  <c r="Q300" i="2"/>
  <c r="W300" i="2" s="1"/>
  <c r="Q301" i="2"/>
  <c r="W301" i="2" s="1"/>
  <c r="Q302" i="2"/>
  <c r="W302" i="2" s="1"/>
  <c r="Q303" i="2"/>
  <c r="W303" i="2" s="1"/>
  <c r="Q304" i="2"/>
  <c r="W304" i="2" s="1"/>
  <c r="Q305" i="2"/>
  <c r="W305" i="2" s="1"/>
  <c r="Q306" i="2"/>
  <c r="W306" i="2" s="1"/>
  <c r="Q307" i="2"/>
  <c r="W307" i="2" s="1"/>
  <c r="Q308" i="2"/>
  <c r="W308" i="2" s="1"/>
  <c r="Q309" i="2"/>
  <c r="W309" i="2" s="1"/>
  <c r="Q310" i="2"/>
  <c r="W310" i="2" s="1"/>
  <c r="Q311" i="2"/>
  <c r="W311" i="2" s="1"/>
  <c r="Q312" i="2"/>
  <c r="W312" i="2" s="1"/>
  <c r="Q313" i="2"/>
  <c r="W313" i="2" s="1"/>
  <c r="Q314" i="2"/>
  <c r="W314" i="2" s="1"/>
  <c r="Q315" i="2"/>
  <c r="W315" i="2" s="1"/>
  <c r="Q316" i="2"/>
  <c r="W316" i="2" s="1"/>
  <c r="Q317" i="2"/>
  <c r="W317" i="2" s="1"/>
  <c r="Q318" i="2"/>
  <c r="W318" i="2" s="1"/>
  <c r="Q319" i="2"/>
  <c r="W319" i="2" s="1"/>
  <c r="Q320" i="2"/>
  <c r="W320" i="2" s="1"/>
  <c r="Q321" i="2"/>
  <c r="W321" i="2" s="1"/>
  <c r="Q322" i="2"/>
  <c r="W322" i="2" s="1"/>
  <c r="Q323" i="2"/>
  <c r="W323" i="2" s="1"/>
  <c r="Q324" i="2"/>
  <c r="W324" i="2" s="1"/>
  <c r="Q325" i="2"/>
  <c r="W325" i="2" s="1"/>
  <c r="Q326" i="2"/>
  <c r="W326" i="2" s="1"/>
  <c r="Q327" i="2"/>
  <c r="W327" i="2" s="1"/>
  <c r="Q328" i="2"/>
  <c r="W328" i="2" s="1"/>
  <c r="Q329" i="2"/>
  <c r="W329" i="2" s="1"/>
  <c r="Q330" i="2"/>
  <c r="W330" i="2" s="1"/>
  <c r="Q331" i="2"/>
  <c r="W331" i="2" s="1"/>
  <c r="Q332" i="2"/>
  <c r="W332" i="2" s="1"/>
  <c r="Q333" i="2"/>
  <c r="W333" i="2" s="1"/>
  <c r="Q334" i="2"/>
  <c r="W334" i="2" s="1"/>
  <c r="Q335" i="2"/>
  <c r="W335" i="2" s="1"/>
  <c r="Q336" i="2"/>
  <c r="W336" i="2" s="1"/>
  <c r="Q337" i="2"/>
  <c r="W337" i="2" s="1"/>
  <c r="Q338" i="2"/>
  <c r="W338" i="2" s="1"/>
  <c r="Q339" i="2"/>
  <c r="W339" i="2" s="1"/>
  <c r="Q340" i="2"/>
  <c r="W340" i="2" s="1"/>
  <c r="Q341" i="2"/>
  <c r="W341" i="2" s="1"/>
  <c r="Q342" i="2"/>
  <c r="W342" i="2" s="1"/>
  <c r="Q343" i="2"/>
  <c r="W343" i="2" s="1"/>
  <c r="Q344" i="2"/>
  <c r="W344" i="2" s="1"/>
  <c r="Q345" i="2"/>
  <c r="W345" i="2" s="1"/>
  <c r="Q346" i="2"/>
  <c r="W346" i="2" s="1"/>
  <c r="Q347" i="2"/>
  <c r="W347" i="2" s="1"/>
  <c r="Q348" i="2"/>
  <c r="W348" i="2" s="1"/>
  <c r="Q349" i="2"/>
  <c r="W349" i="2" s="1"/>
  <c r="Q350" i="2"/>
  <c r="W350" i="2" s="1"/>
  <c r="Q351" i="2"/>
  <c r="W351" i="2" s="1"/>
  <c r="Q352" i="2"/>
  <c r="W352" i="2" s="1"/>
  <c r="Q353" i="2"/>
  <c r="W353" i="2" s="1"/>
  <c r="Q354" i="2"/>
  <c r="W354" i="2" s="1"/>
  <c r="Q355" i="2"/>
  <c r="W355" i="2" s="1"/>
  <c r="Q356" i="2"/>
  <c r="W356" i="2" s="1"/>
  <c r="Q357" i="2"/>
  <c r="W357" i="2" s="1"/>
  <c r="Q358" i="2"/>
  <c r="W358" i="2" s="1"/>
  <c r="Q359" i="2"/>
  <c r="W359" i="2" s="1"/>
  <c r="Q360" i="2"/>
  <c r="W360" i="2" s="1"/>
  <c r="Q361" i="2"/>
  <c r="W361" i="2" s="1"/>
  <c r="Q362" i="2"/>
  <c r="W362" i="2" s="1"/>
  <c r="Q363" i="2"/>
  <c r="W363" i="2" s="1"/>
  <c r="Q364" i="2"/>
  <c r="W364" i="2" s="1"/>
  <c r="Q365" i="2"/>
  <c r="W365" i="2" s="1"/>
  <c r="Q366" i="2"/>
  <c r="W366" i="2" s="1"/>
  <c r="Q367" i="2"/>
  <c r="W367" i="2" s="1"/>
  <c r="Q368" i="2"/>
  <c r="W368" i="2" s="1"/>
  <c r="Q369" i="2"/>
  <c r="W369" i="2" s="1"/>
  <c r="Q370" i="2"/>
  <c r="W370" i="2" s="1"/>
  <c r="Q371" i="2"/>
  <c r="W371" i="2" s="1"/>
  <c r="Q372" i="2"/>
  <c r="W372" i="2" s="1"/>
  <c r="Q373" i="2"/>
  <c r="W373" i="2" s="1"/>
  <c r="Q374" i="2"/>
  <c r="W374" i="2" s="1"/>
  <c r="Q375" i="2"/>
  <c r="W375" i="2" s="1"/>
  <c r="Q376" i="2"/>
  <c r="W376" i="2" s="1"/>
  <c r="Q377" i="2"/>
  <c r="W377" i="2" s="1"/>
  <c r="Q378" i="2"/>
  <c r="W378" i="2" s="1"/>
  <c r="Q379" i="2"/>
  <c r="W379" i="2" s="1"/>
  <c r="Q380" i="2"/>
  <c r="W380" i="2" s="1"/>
  <c r="Q381" i="2"/>
  <c r="W381" i="2" s="1"/>
  <c r="Q382" i="2"/>
  <c r="W382" i="2" s="1"/>
  <c r="Q383" i="2"/>
  <c r="W383" i="2" s="1"/>
  <c r="Q384" i="2"/>
  <c r="W384" i="2" s="1"/>
  <c r="Q385" i="2"/>
  <c r="W385" i="2" s="1"/>
  <c r="Q386" i="2"/>
  <c r="W386" i="2" s="1"/>
  <c r="Q387" i="2"/>
  <c r="W387" i="2" s="1"/>
  <c r="Q388" i="2"/>
  <c r="W388" i="2" s="1"/>
  <c r="Q389" i="2"/>
  <c r="W389" i="2" s="1"/>
  <c r="Q390" i="2"/>
  <c r="W390" i="2" s="1"/>
  <c r="Q391" i="2"/>
  <c r="W391" i="2" s="1"/>
  <c r="Q392" i="2"/>
  <c r="W392" i="2" s="1"/>
  <c r="Q393" i="2"/>
  <c r="W393" i="2" s="1"/>
  <c r="Q394" i="2"/>
  <c r="W394" i="2" s="1"/>
  <c r="Q395" i="2"/>
  <c r="W395" i="2" s="1"/>
  <c r="Q396" i="2"/>
  <c r="W396" i="2" s="1"/>
  <c r="Q397" i="2"/>
  <c r="W397" i="2" s="1"/>
  <c r="Q398" i="2"/>
  <c r="W398" i="2" s="1"/>
  <c r="Q399" i="2"/>
  <c r="W399" i="2" s="1"/>
  <c r="Q400" i="2"/>
  <c r="W400" i="2" s="1"/>
  <c r="Q401" i="2"/>
  <c r="W401" i="2" s="1"/>
  <c r="Q402" i="2"/>
  <c r="W402" i="2" s="1"/>
  <c r="Q403" i="2"/>
  <c r="W403" i="2" s="1"/>
  <c r="Q404" i="2"/>
  <c r="W404" i="2" s="1"/>
  <c r="Q405" i="2"/>
  <c r="W405" i="2" s="1"/>
  <c r="Q406" i="2"/>
  <c r="W406" i="2" s="1"/>
  <c r="Q407" i="2"/>
  <c r="W407" i="2" s="1"/>
  <c r="Q408" i="2"/>
  <c r="W408" i="2" s="1"/>
  <c r="Q409" i="2"/>
  <c r="W409" i="2" s="1"/>
  <c r="Q410" i="2"/>
  <c r="W410" i="2" s="1"/>
  <c r="Q411" i="2"/>
  <c r="W411" i="2" s="1"/>
  <c r="Q412" i="2"/>
  <c r="W412" i="2" s="1"/>
  <c r="Q413" i="2"/>
  <c r="W413" i="2" s="1"/>
  <c r="Q414" i="2"/>
  <c r="W414" i="2" s="1"/>
  <c r="Q415" i="2"/>
  <c r="W415" i="2" s="1"/>
  <c r="Q416" i="2"/>
  <c r="W416" i="2" s="1"/>
  <c r="Q417" i="2"/>
  <c r="W417" i="2" s="1"/>
  <c r="Q418" i="2"/>
  <c r="W418" i="2" s="1"/>
  <c r="Q419" i="2"/>
  <c r="W419" i="2" s="1"/>
  <c r="Q420" i="2"/>
  <c r="W420" i="2" s="1"/>
  <c r="Q421" i="2"/>
  <c r="W421" i="2" s="1"/>
  <c r="Q422" i="2"/>
  <c r="W422" i="2" s="1"/>
  <c r="Q423" i="2"/>
  <c r="W423" i="2" s="1"/>
  <c r="Q424" i="2"/>
  <c r="W424" i="2" s="1"/>
  <c r="Q425" i="2"/>
  <c r="W425" i="2" s="1"/>
  <c r="Q426" i="2"/>
  <c r="W426" i="2" s="1"/>
  <c r="Q427" i="2"/>
  <c r="W427" i="2" s="1"/>
  <c r="Q428" i="2"/>
  <c r="W428" i="2" s="1"/>
  <c r="Q429" i="2"/>
  <c r="W429" i="2" s="1"/>
  <c r="Q430" i="2"/>
  <c r="W430" i="2" s="1"/>
  <c r="Q431" i="2"/>
  <c r="W431" i="2" s="1"/>
  <c r="Q432" i="2"/>
  <c r="W432" i="2" s="1"/>
  <c r="Q433" i="2"/>
  <c r="W433" i="2" s="1"/>
  <c r="Q434" i="2"/>
  <c r="W434" i="2" s="1"/>
  <c r="Q435" i="2"/>
  <c r="W435" i="2" s="1"/>
  <c r="Q436" i="2"/>
  <c r="W436" i="2" s="1"/>
  <c r="Q437" i="2"/>
  <c r="W437" i="2" s="1"/>
  <c r="Q438" i="2"/>
  <c r="W438" i="2" s="1"/>
  <c r="Q439" i="2"/>
  <c r="W439" i="2" s="1"/>
  <c r="Q440" i="2"/>
  <c r="W440" i="2" s="1"/>
  <c r="Q441" i="2"/>
  <c r="W441" i="2" s="1"/>
  <c r="Q442" i="2"/>
  <c r="W442" i="2" s="1"/>
  <c r="Q443" i="2"/>
  <c r="W443" i="2" s="1"/>
  <c r="Q444" i="2"/>
  <c r="W444" i="2" s="1"/>
  <c r="Q445" i="2"/>
  <c r="W445" i="2" s="1"/>
  <c r="Q446" i="2"/>
  <c r="W446" i="2" s="1"/>
  <c r="Q447" i="2"/>
  <c r="W447" i="2" s="1"/>
  <c r="Q448" i="2"/>
  <c r="W448" i="2" s="1"/>
  <c r="Q449" i="2"/>
  <c r="W449" i="2" s="1"/>
  <c r="Q450" i="2"/>
  <c r="W450" i="2" s="1"/>
  <c r="Q451" i="2"/>
  <c r="W451" i="2" s="1"/>
  <c r="Q452" i="2"/>
  <c r="W452" i="2" s="1"/>
  <c r="Q453" i="2"/>
  <c r="W453" i="2" s="1"/>
  <c r="Q454" i="2"/>
  <c r="W454" i="2" s="1"/>
  <c r="Q455" i="2"/>
  <c r="W455" i="2" s="1"/>
  <c r="Q456" i="2"/>
  <c r="W456" i="2" s="1"/>
  <c r="Q457" i="2"/>
  <c r="W457" i="2" s="1"/>
  <c r="Q458" i="2"/>
  <c r="W458" i="2" s="1"/>
  <c r="Q459" i="2"/>
  <c r="W459" i="2" s="1"/>
  <c r="Q460" i="2"/>
  <c r="W460" i="2" s="1"/>
  <c r="Q461" i="2"/>
  <c r="W461" i="2" s="1"/>
  <c r="Q462" i="2"/>
  <c r="W462" i="2" s="1"/>
  <c r="Q463" i="2"/>
  <c r="W463" i="2" s="1"/>
  <c r="Q464" i="2"/>
  <c r="W464" i="2" s="1"/>
  <c r="Q465" i="2"/>
  <c r="W465" i="2" s="1"/>
  <c r="Q466" i="2"/>
  <c r="W466" i="2" s="1"/>
  <c r="Q467" i="2"/>
  <c r="W467" i="2" s="1"/>
  <c r="Q468" i="2"/>
  <c r="W468" i="2" s="1"/>
  <c r="Q469" i="2"/>
  <c r="W469" i="2" s="1"/>
  <c r="Q470" i="2"/>
  <c r="W470" i="2" s="1"/>
  <c r="Q471" i="2"/>
  <c r="W471" i="2" s="1"/>
  <c r="Q472" i="2"/>
  <c r="W472" i="2" s="1"/>
  <c r="Q473" i="2"/>
  <c r="W473" i="2" s="1"/>
  <c r="Q474" i="2"/>
  <c r="W474" i="2" s="1"/>
  <c r="Q475" i="2"/>
  <c r="W475" i="2" s="1"/>
  <c r="Q476" i="2"/>
  <c r="W476" i="2" s="1"/>
  <c r="Q477" i="2"/>
  <c r="W477" i="2" s="1"/>
  <c r="Q478" i="2"/>
  <c r="W478" i="2" s="1"/>
  <c r="Q479" i="2"/>
  <c r="W479" i="2" s="1"/>
  <c r="Q480" i="2"/>
  <c r="W480" i="2" s="1"/>
  <c r="Q481" i="2"/>
  <c r="W481" i="2" s="1"/>
  <c r="Q482" i="2"/>
  <c r="W482" i="2" s="1"/>
  <c r="Q483" i="2"/>
  <c r="W483" i="2" s="1"/>
  <c r="Q484" i="2"/>
  <c r="W484" i="2" s="1"/>
  <c r="Q485" i="2"/>
  <c r="W485" i="2" s="1"/>
  <c r="Q486" i="2"/>
  <c r="W486" i="2" s="1"/>
  <c r="Q487" i="2"/>
  <c r="W487" i="2" s="1"/>
  <c r="Q488" i="2"/>
  <c r="W488" i="2" s="1"/>
  <c r="Q489" i="2"/>
  <c r="W489" i="2" s="1"/>
  <c r="Q490" i="2"/>
  <c r="W490" i="2" s="1"/>
  <c r="Q491" i="2"/>
  <c r="W491" i="2" s="1"/>
  <c r="Q492" i="2"/>
  <c r="W492" i="2" s="1"/>
  <c r="Q493" i="2"/>
  <c r="W493" i="2" s="1"/>
  <c r="Q494" i="2"/>
  <c r="W494" i="2" s="1"/>
  <c r="Q495" i="2"/>
  <c r="W495" i="2" s="1"/>
  <c r="Q496" i="2"/>
  <c r="W496" i="2" s="1"/>
  <c r="Q497" i="2"/>
  <c r="W497" i="2" s="1"/>
  <c r="Q498" i="2"/>
  <c r="W498" i="2" s="1"/>
  <c r="Q499" i="2"/>
  <c r="W499" i="2" s="1"/>
  <c r="Q500" i="2"/>
  <c r="W500" i="2" s="1"/>
  <c r="Q501" i="2"/>
  <c r="W501" i="2" s="1"/>
  <c r="Q502" i="2"/>
  <c r="W502" i="2" s="1"/>
  <c r="Q503" i="2"/>
  <c r="W503" i="2" s="1"/>
  <c r="Q504" i="2"/>
  <c r="W504" i="2" s="1"/>
  <c r="Q505" i="2"/>
  <c r="W505" i="2" s="1"/>
  <c r="Q506" i="2"/>
  <c r="W506" i="2" s="1"/>
  <c r="Q507" i="2"/>
  <c r="W507" i="2" s="1"/>
  <c r="Q508" i="2"/>
  <c r="W508" i="2" s="1"/>
  <c r="Q509" i="2"/>
  <c r="W509" i="2" s="1"/>
  <c r="Q510" i="2"/>
  <c r="W510" i="2" s="1"/>
  <c r="Q511" i="2"/>
  <c r="W511" i="2" s="1"/>
  <c r="Q512" i="2"/>
  <c r="W512" i="2" s="1"/>
  <c r="Q513" i="2"/>
  <c r="W513" i="2" s="1"/>
  <c r="Q514" i="2"/>
  <c r="W514" i="2" s="1"/>
  <c r="Q515" i="2"/>
  <c r="W515" i="2" s="1"/>
  <c r="Q516" i="2"/>
  <c r="W516" i="2" s="1"/>
  <c r="Q517" i="2"/>
  <c r="W517" i="2" s="1"/>
  <c r="Q518" i="2"/>
  <c r="W518" i="2" s="1"/>
  <c r="Q519" i="2"/>
  <c r="W519" i="2" s="1"/>
  <c r="Q520" i="2"/>
  <c r="W520" i="2" s="1"/>
  <c r="Q521" i="2"/>
  <c r="W521" i="2" s="1"/>
  <c r="Q522" i="2"/>
  <c r="W522" i="2" s="1"/>
  <c r="Q523" i="2"/>
  <c r="W523" i="2" s="1"/>
  <c r="Q524" i="2"/>
  <c r="W524" i="2" s="1"/>
  <c r="Q525" i="2"/>
  <c r="W525" i="2" s="1"/>
  <c r="Q526" i="2"/>
  <c r="W526" i="2" s="1"/>
  <c r="Q527" i="2"/>
  <c r="W527" i="2" s="1"/>
  <c r="Q528" i="2"/>
  <c r="W528" i="2" s="1"/>
  <c r="Q529" i="2"/>
  <c r="W529" i="2" s="1"/>
  <c r="Q530" i="2"/>
  <c r="W530" i="2" s="1"/>
  <c r="Q531" i="2"/>
  <c r="W531" i="2" s="1"/>
  <c r="Q532" i="2"/>
  <c r="W532" i="2" s="1"/>
  <c r="Q533" i="2"/>
  <c r="W533" i="2" s="1"/>
  <c r="Q534" i="2"/>
  <c r="W534" i="2" s="1"/>
  <c r="Q535" i="2"/>
  <c r="W535" i="2" s="1"/>
  <c r="Q536" i="2"/>
  <c r="W536" i="2" s="1"/>
  <c r="Q537" i="2"/>
  <c r="W537" i="2" s="1"/>
  <c r="Q538" i="2"/>
  <c r="W538" i="2" s="1"/>
  <c r="Q539" i="2"/>
  <c r="W539" i="2" s="1"/>
  <c r="Q540" i="2"/>
  <c r="W540" i="2" s="1"/>
  <c r="Q541" i="2"/>
  <c r="W541" i="2" s="1"/>
  <c r="Q542" i="2"/>
  <c r="W542" i="2" s="1"/>
  <c r="Q543" i="2"/>
  <c r="W543" i="2" s="1"/>
  <c r="Q544" i="2"/>
  <c r="W544" i="2" s="1"/>
  <c r="Q545" i="2"/>
  <c r="W545" i="2" s="1"/>
  <c r="Q546" i="2"/>
  <c r="W546" i="2" s="1"/>
  <c r="Q547" i="2"/>
  <c r="W547" i="2" s="1"/>
  <c r="Q548" i="2"/>
  <c r="W548" i="2" s="1"/>
  <c r="Q549" i="2"/>
  <c r="W549" i="2" s="1"/>
  <c r="Q550" i="2"/>
  <c r="W550" i="2" s="1"/>
  <c r="Q551" i="2"/>
  <c r="W551" i="2" s="1"/>
  <c r="Q552" i="2"/>
  <c r="W552" i="2" s="1"/>
  <c r="Q553" i="2"/>
  <c r="W553" i="2" s="1"/>
  <c r="Q554" i="2"/>
  <c r="W554" i="2" s="1"/>
  <c r="Q555" i="2"/>
  <c r="W555" i="2" s="1"/>
  <c r="Q556" i="2"/>
  <c r="W556" i="2" s="1"/>
  <c r="Q557" i="2"/>
  <c r="W557" i="2" s="1"/>
  <c r="Q558" i="2"/>
  <c r="W558" i="2" s="1"/>
  <c r="Q559" i="2"/>
  <c r="W559" i="2" s="1"/>
  <c r="Q560" i="2"/>
  <c r="W560" i="2" s="1"/>
  <c r="Q561" i="2"/>
  <c r="W561" i="2" s="1"/>
  <c r="Q562" i="2"/>
  <c r="W562" i="2" s="1"/>
  <c r="Q563" i="2"/>
  <c r="W563" i="2" s="1"/>
  <c r="Q564" i="2"/>
  <c r="W564" i="2" s="1"/>
  <c r="Q565" i="2"/>
  <c r="W565" i="2" s="1"/>
  <c r="Q566" i="2"/>
  <c r="W566" i="2" s="1"/>
  <c r="Q567" i="2"/>
  <c r="W567" i="2" s="1"/>
  <c r="Q568" i="2"/>
  <c r="W568" i="2" s="1"/>
  <c r="Q569" i="2"/>
  <c r="W569" i="2" s="1"/>
  <c r="Q570" i="2"/>
  <c r="W570" i="2" s="1"/>
  <c r="Q571" i="2"/>
  <c r="W571" i="2" s="1"/>
  <c r="Q572" i="2"/>
  <c r="W572" i="2" s="1"/>
  <c r="Q573" i="2"/>
  <c r="W573" i="2" s="1"/>
  <c r="Q574" i="2"/>
  <c r="W574" i="2" s="1"/>
  <c r="Q575" i="2"/>
  <c r="W575" i="2" s="1"/>
  <c r="Q576" i="2"/>
  <c r="W576" i="2" s="1"/>
  <c r="Q577" i="2"/>
  <c r="W577" i="2" s="1"/>
  <c r="Q578" i="2"/>
  <c r="W578" i="2" s="1"/>
  <c r="Q579" i="2"/>
  <c r="W579" i="2" s="1"/>
  <c r="Q580" i="2"/>
  <c r="W580" i="2" s="1"/>
  <c r="Q581" i="2"/>
  <c r="W581" i="2" s="1"/>
  <c r="Q582" i="2"/>
  <c r="W582" i="2" s="1"/>
  <c r="Q583" i="2"/>
  <c r="W583" i="2" s="1"/>
  <c r="Q584" i="2"/>
  <c r="W584" i="2" s="1"/>
  <c r="Q585" i="2"/>
  <c r="W585" i="2" s="1"/>
  <c r="Q586" i="2"/>
  <c r="W586" i="2" s="1"/>
  <c r="Q587" i="2"/>
  <c r="W587" i="2" s="1"/>
  <c r="Q588" i="2"/>
  <c r="W588" i="2" s="1"/>
  <c r="Q589" i="2"/>
  <c r="W589" i="2" s="1"/>
  <c r="Q590" i="2"/>
  <c r="W590" i="2" s="1"/>
  <c r="Q591" i="2"/>
  <c r="W591" i="2" s="1"/>
  <c r="Q592" i="2"/>
  <c r="W592" i="2" s="1"/>
  <c r="Q593" i="2"/>
  <c r="W593" i="2" s="1"/>
  <c r="Q594" i="2"/>
  <c r="W594" i="2" s="1"/>
  <c r="Q595" i="2"/>
  <c r="W595" i="2" s="1"/>
  <c r="Q596" i="2"/>
  <c r="W596" i="2" s="1"/>
  <c r="Q597" i="2"/>
  <c r="W597" i="2" s="1"/>
  <c r="Q598" i="2"/>
  <c r="W598" i="2" s="1"/>
  <c r="Q599" i="2"/>
  <c r="W599" i="2" s="1"/>
  <c r="Q600" i="2"/>
  <c r="W600" i="2" s="1"/>
  <c r="Q601" i="2"/>
  <c r="W601" i="2" s="1"/>
  <c r="Q602" i="2"/>
  <c r="W602" i="2" s="1"/>
  <c r="Q603" i="2"/>
  <c r="W603" i="2" s="1"/>
  <c r="Q604" i="2"/>
  <c r="W604" i="2" s="1"/>
  <c r="Q605" i="2"/>
  <c r="W605" i="2" s="1"/>
  <c r="Q606" i="2"/>
  <c r="W606" i="2" s="1"/>
  <c r="Q607" i="2"/>
  <c r="W607" i="2" s="1"/>
  <c r="Q608" i="2"/>
  <c r="W608" i="2" s="1"/>
  <c r="Q609" i="2"/>
  <c r="W609" i="2" s="1"/>
  <c r="Q610" i="2"/>
  <c r="W610" i="2" s="1"/>
  <c r="Q611" i="2"/>
  <c r="W611" i="2" s="1"/>
  <c r="Q612" i="2"/>
  <c r="W612" i="2" s="1"/>
  <c r="Q613" i="2"/>
  <c r="W613" i="2" s="1"/>
  <c r="Q614" i="2"/>
  <c r="W614" i="2" s="1"/>
  <c r="Q615" i="2"/>
  <c r="W615" i="2" s="1"/>
  <c r="Q616" i="2"/>
  <c r="W616" i="2" s="1"/>
  <c r="Q617" i="2"/>
  <c r="W617" i="2" s="1"/>
  <c r="Q618" i="2"/>
  <c r="W618" i="2" s="1"/>
  <c r="Q619" i="2"/>
  <c r="W619" i="2" s="1"/>
  <c r="Q620" i="2"/>
  <c r="W620" i="2" s="1"/>
  <c r="Q621" i="2"/>
  <c r="W621" i="2" s="1"/>
  <c r="Q622" i="2"/>
  <c r="W622" i="2" s="1"/>
  <c r="Q623" i="2"/>
  <c r="W623" i="2" s="1"/>
  <c r="Q624" i="2"/>
  <c r="W624" i="2" s="1"/>
  <c r="Q625" i="2"/>
  <c r="W625" i="2" s="1"/>
  <c r="Q626" i="2"/>
  <c r="W626" i="2" s="1"/>
  <c r="Q627" i="2"/>
  <c r="W627" i="2" s="1"/>
  <c r="Q628" i="2"/>
  <c r="W628" i="2" s="1"/>
  <c r="Q629" i="2"/>
  <c r="W629" i="2" s="1"/>
  <c r="Q630" i="2"/>
  <c r="W630" i="2" s="1"/>
  <c r="Q631" i="2"/>
  <c r="W631" i="2" s="1"/>
  <c r="Q632" i="2"/>
  <c r="W632" i="2" s="1"/>
  <c r="Q633" i="2"/>
  <c r="W633" i="2" s="1"/>
  <c r="Q634" i="2"/>
  <c r="W634" i="2" s="1"/>
  <c r="Q635" i="2"/>
  <c r="W635" i="2" s="1"/>
  <c r="Q636" i="2"/>
  <c r="W636" i="2" s="1"/>
  <c r="Q637" i="2"/>
  <c r="W637" i="2" s="1"/>
  <c r="Q638" i="2"/>
  <c r="W638" i="2" s="1"/>
  <c r="Q639" i="2"/>
  <c r="W639" i="2" s="1"/>
  <c r="Q640" i="2"/>
  <c r="W640" i="2" s="1"/>
  <c r="Q641" i="2"/>
  <c r="W641" i="2" s="1"/>
  <c r="Q642" i="2"/>
  <c r="W642" i="2" s="1"/>
  <c r="Q643" i="2"/>
  <c r="W643" i="2" s="1"/>
  <c r="Q644" i="2"/>
  <c r="W644" i="2" s="1"/>
  <c r="Q645" i="2"/>
  <c r="W645" i="2" s="1"/>
  <c r="Q646" i="2"/>
  <c r="W646" i="2" s="1"/>
  <c r="Q647" i="2"/>
  <c r="W647" i="2" s="1"/>
  <c r="Q648" i="2"/>
  <c r="W648" i="2" s="1"/>
  <c r="Q649" i="2"/>
  <c r="W649" i="2" s="1"/>
  <c r="Q650" i="2"/>
  <c r="W650" i="2" s="1"/>
  <c r="Q651" i="2"/>
  <c r="W651" i="2" s="1"/>
  <c r="Q652" i="2"/>
  <c r="W652" i="2" s="1"/>
  <c r="Q653" i="2"/>
  <c r="W653" i="2" s="1"/>
  <c r="Q654" i="2"/>
  <c r="W654" i="2" s="1"/>
  <c r="Q655" i="2"/>
  <c r="W655" i="2" s="1"/>
  <c r="Q656" i="2"/>
  <c r="W656" i="2" s="1"/>
  <c r="Q657" i="2"/>
  <c r="W657" i="2" s="1"/>
  <c r="Q658" i="2"/>
  <c r="W658" i="2" s="1"/>
  <c r="Q659" i="2"/>
  <c r="W659" i="2" s="1"/>
  <c r="Q660" i="2"/>
  <c r="W660" i="2" s="1"/>
  <c r="Q661" i="2"/>
  <c r="W661" i="2" s="1"/>
  <c r="Q662" i="2"/>
  <c r="W662" i="2" s="1"/>
  <c r="Q663" i="2"/>
  <c r="W663" i="2" s="1"/>
  <c r="Q664" i="2"/>
  <c r="W664" i="2" s="1"/>
  <c r="Q665" i="2"/>
  <c r="W665" i="2" s="1"/>
  <c r="Q666" i="2"/>
  <c r="W666" i="2" s="1"/>
  <c r="Q667" i="2"/>
  <c r="W667" i="2" s="1"/>
  <c r="Q668" i="2"/>
  <c r="W668" i="2" s="1"/>
  <c r="Q669" i="2"/>
  <c r="W669" i="2" s="1"/>
  <c r="Q670" i="2"/>
  <c r="W670" i="2" s="1"/>
  <c r="Q671" i="2"/>
  <c r="W671" i="2" s="1"/>
  <c r="Q672" i="2"/>
  <c r="W672" i="2" s="1"/>
  <c r="Q673" i="2"/>
  <c r="W673" i="2" s="1"/>
  <c r="Q674" i="2"/>
  <c r="W674" i="2" s="1"/>
  <c r="Q675" i="2"/>
  <c r="W675" i="2" s="1"/>
  <c r="Q676" i="2"/>
  <c r="W676" i="2" s="1"/>
  <c r="Q677" i="2"/>
  <c r="W677" i="2" s="1"/>
  <c r="Q678" i="2"/>
  <c r="W678" i="2" s="1"/>
  <c r="Q679" i="2"/>
  <c r="W679" i="2" s="1"/>
  <c r="Q680" i="2"/>
  <c r="W680" i="2" s="1"/>
  <c r="Q681" i="2"/>
  <c r="W681" i="2" s="1"/>
  <c r="Q682" i="2"/>
  <c r="W682" i="2" s="1"/>
  <c r="Q683" i="2"/>
  <c r="W683" i="2" s="1"/>
  <c r="Q684" i="2"/>
  <c r="W684" i="2" s="1"/>
  <c r="Q685" i="2"/>
  <c r="W685" i="2" s="1"/>
  <c r="Q686" i="2"/>
  <c r="W686" i="2" s="1"/>
  <c r="Q687" i="2"/>
  <c r="W687" i="2" s="1"/>
  <c r="Q688" i="2"/>
  <c r="W688" i="2" s="1"/>
  <c r="Q689" i="2"/>
  <c r="W689" i="2" s="1"/>
  <c r="Q690" i="2"/>
  <c r="W690" i="2" s="1"/>
  <c r="Q691" i="2"/>
  <c r="W691" i="2" s="1"/>
  <c r="Q692" i="2"/>
  <c r="W692" i="2" s="1"/>
  <c r="Q693" i="2"/>
  <c r="W693" i="2" s="1"/>
  <c r="Q694" i="2"/>
  <c r="W694" i="2" s="1"/>
  <c r="Q695" i="2"/>
  <c r="W695" i="2" s="1"/>
  <c r="Q696" i="2"/>
  <c r="W696" i="2" s="1"/>
  <c r="Q697" i="2"/>
  <c r="W697" i="2" s="1"/>
  <c r="Q698" i="2"/>
  <c r="W698" i="2" s="1"/>
  <c r="Q699" i="2"/>
  <c r="W699" i="2" s="1"/>
  <c r="Q700" i="2"/>
  <c r="W700" i="2" s="1"/>
  <c r="Q701" i="2"/>
  <c r="W701" i="2" s="1"/>
  <c r="Q702" i="2"/>
  <c r="W702" i="2" s="1"/>
  <c r="Q703" i="2"/>
  <c r="W703" i="2" s="1"/>
  <c r="Q704" i="2"/>
  <c r="W704" i="2" s="1"/>
  <c r="Q705" i="2"/>
  <c r="W705" i="2" s="1"/>
  <c r="Q706" i="2"/>
  <c r="W706" i="2" s="1"/>
  <c r="Q707" i="2"/>
  <c r="W707" i="2" s="1"/>
  <c r="Q708" i="2"/>
  <c r="W708" i="2" s="1"/>
  <c r="Q709" i="2"/>
  <c r="W709" i="2" s="1"/>
  <c r="Q710" i="2"/>
  <c r="W710" i="2" s="1"/>
  <c r="Q711" i="2"/>
  <c r="W711" i="2" s="1"/>
  <c r="Q712" i="2"/>
  <c r="W712" i="2" s="1"/>
  <c r="Q713" i="2"/>
  <c r="W713" i="2" s="1"/>
  <c r="Q714" i="2"/>
  <c r="W714" i="2" s="1"/>
  <c r="Q715" i="2"/>
  <c r="W715" i="2" s="1"/>
  <c r="Q716" i="2"/>
  <c r="W716" i="2" s="1"/>
  <c r="Q717" i="2"/>
  <c r="W717" i="2" s="1"/>
  <c r="Q718" i="2"/>
  <c r="W718" i="2" s="1"/>
  <c r="Q719" i="2"/>
  <c r="W719" i="2" s="1"/>
  <c r="Q720" i="2"/>
  <c r="W720" i="2" s="1"/>
  <c r="Q721" i="2"/>
  <c r="W721" i="2" s="1"/>
  <c r="Q722" i="2"/>
  <c r="W722" i="2" s="1"/>
  <c r="Q723" i="2"/>
  <c r="W723" i="2" s="1"/>
  <c r="Q724" i="2"/>
  <c r="W724" i="2" s="1"/>
  <c r="Q725" i="2"/>
  <c r="W725" i="2" s="1"/>
  <c r="Q726" i="2"/>
  <c r="W726" i="2" s="1"/>
  <c r="Q727" i="2"/>
  <c r="W727" i="2" s="1"/>
  <c r="Q728" i="2"/>
  <c r="W728" i="2" s="1"/>
  <c r="Q729" i="2"/>
  <c r="W729" i="2" s="1"/>
  <c r="Q730" i="2"/>
  <c r="W730" i="2" s="1"/>
  <c r="Q731" i="2"/>
  <c r="W731" i="2" s="1"/>
  <c r="Q732" i="2"/>
  <c r="W732" i="2" s="1"/>
  <c r="Q733" i="2"/>
  <c r="W733" i="2" s="1"/>
  <c r="Q734" i="2"/>
  <c r="W734" i="2" s="1"/>
  <c r="Q735" i="2"/>
  <c r="W735" i="2" s="1"/>
  <c r="Q736" i="2"/>
  <c r="W736" i="2" s="1"/>
  <c r="Q737" i="2"/>
  <c r="W737" i="2" s="1"/>
  <c r="Q738" i="2"/>
  <c r="W738" i="2" s="1"/>
  <c r="Q739" i="2"/>
  <c r="W739" i="2" s="1"/>
  <c r="Q740" i="2"/>
  <c r="W740" i="2" s="1"/>
  <c r="Q741" i="2"/>
  <c r="W741" i="2" s="1"/>
  <c r="Q742" i="2"/>
  <c r="W742" i="2" s="1"/>
  <c r="Q743" i="2"/>
  <c r="W743" i="2" s="1"/>
  <c r="Q744" i="2"/>
  <c r="W744" i="2" s="1"/>
  <c r="Q745" i="2"/>
  <c r="W745" i="2" s="1"/>
  <c r="Q746" i="2"/>
  <c r="W746" i="2" s="1"/>
  <c r="Q747" i="2"/>
  <c r="W747" i="2" s="1"/>
  <c r="Q748" i="2"/>
  <c r="W748" i="2" s="1"/>
  <c r="Q749" i="2"/>
  <c r="W749" i="2" s="1"/>
  <c r="Q750" i="2"/>
  <c r="W750" i="2" s="1"/>
  <c r="Q751" i="2"/>
  <c r="W751" i="2" s="1"/>
  <c r="Q752" i="2"/>
  <c r="W752" i="2" s="1"/>
  <c r="Q753" i="2"/>
  <c r="W753" i="2" s="1"/>
  <c r="Q754" i="2"/>
  <c r="W754" i="2" s="1"/>
  <c r="Q755" i="2"/>
  <c r="W755" i="2" s="1"/>
  <c r="Q756" i="2"/>
  <c r="W756" i="2" s="1"/>
  <c r="Q757" i="2"/>
  <c r="W757" i="2" s="1"/>
  <c r="Q758" i="2"/>
  <c r="W758" i="2" s="1"/>
  <c r="Q759" i="2"/>
  <c r="W759" i="2" s="1"/>
  <c r="Q760" i="2"/>
  <c r="W760" i="2" s="1"/>
  <c r="Q761" i="2"/>
  <c r="W761" i="2" s="1"/>
  <c r="Q762" i="2"/>
  <c r="W762" i="2" s="1"/>
  <c r="Q763" i="2"/>
  <c r="W763" i="2" s="1"/>
  <c r="Q764" i="2"/>
  <c r="W764" i="2" s="1"/>
  <c r="Q765" i="2"/>
  <c r="W765" i="2" s="1"/>
  <c r="Q766" i="2"/>
  <c r="W766" i="2" s="1"/>
  <c r="Q767" i="2"/>
  <c r="W767" i="2" s="1"/>
  <c r="Q768" i="2"/>
  <c r="W768" i="2" s="1"/>
  <c r="Q769" i="2"/>
  <c r="W769" i="2" s="1"/>
  <c r="Q770" i="2"/>
  <c r="W770" i="2" s="1"/>
  <c r="Q771" i="2"/>
  <c r="W771" i="2" s="1"/>
  <c r="Q772" i="2"/>
  <c r="W772" i="2" s="1"/>
  <c r="Q773" i="2"/>
  <c r="W773" i="2" s="1"/>
  <c r="Q774" i="2"/>
  <c r="W774" i="2" s="1"/>
  <c r="Q775" i="2"/>
  <c r="W775" i="2" s="1"/>
  <c r="Q776" i="2"/>
  <c r="W776" i="2" s="1"/>
  <c r="Q777" i="2"/>
  <c r="W777" i="2" s="1"/>
  <c r="Q778" i="2"/>
  <c r="W778" i="2" s="1"/>
  <c r="Q779" i="2"/>
  <c r="W779" i="2" s="1"/>
  <c r="Q780" i="2"/>
  <c r="W780" i="2" s="1"/>
  <c r="Q781" i="2"/>
  <c r="W781" i="2" s="1"/>
  <c r="Q782" i="2"/>
  <c r="W782" i="2" s="1"/>
  <c r="Q783" i="2"/>
  <c r="W783" i="2" s="1"/>
  <c r="Q784" i="2"/>
  <c r="W784" i="2" s="1"/>
  <c r="Q785" i="2"/>
  <c r="W785" i="2" s="1"/>
  <c r="Q786" i="2"/>
  <c r="W786" i="2" s="1"/>
  <c r="Q787" i="2"/>
  <c r="W787" i="2" s="1"/>
  <c r="Q788" i="2"/>
  <c r="W788" i="2" s="1"/>
  <c r="Q789" i="2"/>
  <c r="W789" i="2" s="1"/>
  <c r="Q790" i="2"/>
  <c r="W790" i="2" s="1"/>
  <c r="Q791" i="2"/>
  <c r="W791" i="2" s="1"/>
  <c r="Q792" i="2"/>
  <c r="W792" i="2" s="1"/>
  <c r="Q793" i="2"/>
  <c r="W793" i="2" s="1"/>
  <c r="Q794" i="2"/>
  <c r="W794" i="2" s="1"/>
  <c r="Q795" i="2"/>
  <c r="W795" i="2" s="1"/>
  <c r="Q796" i="2"/>
  <c r="W796" i="2" s="1"/>
  <c r="Q797" i="2"/>
  <c r="W797" i="2" s="1"/>
  <c r="Q798" i="2"/>
  <c r="W798" i="2" s="1"/>
  <c r="Q799" i="2"/>
  <c r="W799" i="2" s="1"/>
  <c r="Q800" i="2"/>
  <c r="W800" i="2" s="1"/>
  <c r="Q801" i="2"/>
  <c r="W801" i="2" s="1"/>
  <c r="Q802" i="2"/>
  <c r="W802" i="2" s="1"/>
  <c r="Q803" i="2"/>
  <c r="W803" i="2" s="1"/>
  <c r="Q804" i="2"/>
  <c r="W804" i="2" s="1"/>
  <c r="Q805" i="2"/>
  <c r="W805" i="2" s="1"/>
  <c r="Q806" i="2"/>
  <c r="W806" i="2" s="1"/>
  <c r="Q807" i="2"/>
  <c r="W807" i="2" s="1"/>
  <c r="Q808" i="2"/>
  <c r="W808" i="2" s="1"/>
  <c r="Q809" i="2"/>
  <c r="W809" i="2" s="1"/>
  <c r="Q810" i="2"/>
  <c r="W810" i="2" s="1"/>
  <c r="Q811" i="2"/>
  <c r="W811" i="2" s="1"/>
  <c r="Q812" i="2"/>
  <c r="W812" i="2" s="1"/>
  <c r="Q813" i="2"/>
  <c r="W813" i="2" s="1"/>
  <c r="Q814" i="2"/>
  <c r="W814" i="2" s="1"/>
  <c r="Q815" i="2"/>
  <c r="W815" i="2" s="1"/>
  <c r="Q816" i="2"/>
  <c r="W816" i="2" s="1"/>
  <c r="Q817" i="2"/>
  <c r="W817" i="2" s="1"/>
  <c r="Q818" i="2"/>
  <c r="W818" i="2" s="1"/>
  <c r="Q819" i="2"/>
  <c r="W819" i="2" s="1"/>
  <c r="Q820" i="2"/>
  <c r="W820" i="2" s="1"/>
  <c r="Q821" i="2"/>
  <c r="W821" i="2" s="1"/>
  <c r="Q822" i="2"/>
  <c r="W822" i="2" s="1"/>
  <c r="Q823" i="2"/>
  <c r="W823" i="2" s="1"/>
  <c r="Q824" i="2"/>
  <c r="W824" i="2" s="1"/>
  <c r="Q825" i="2"/>
  <c r="W825" i="2" s="1"/>
  <c r="Q826" i="2"/>
  <c r="W826" i="2" s="1"/>
  <c r="Q827" i="2"/>
  <c r="W827" i="2" s="1"/>
  <c r="Q828" i="2"/>
  <c r="W828" i="2" s="1"/>
  <c r="Q829" i="2"/>
  <c r="W829" i="2" s="1"/>
  <c r="Q830" i="2"/>
  <c r="W830" i="2" s="1"/>
  <c r="Q831" i="2"/>
  <c r="W831" i="2" s="1"/>
  <c r="Q832" i="2"/>
  <c r="W832" i="2" s="1"/>
  <c r="Q833" i="2"/>
  <c r="W833" i="2" s="1"/>
  <c r="Q834" i="2"/>
  <c r="W834" i="2" s="1"/>
  <c r="Q835" i="2"/>
  <c r="W835" i="2" s="1"/>
  <c r="Q836" i="2"/>
  <c r="W836" i="2" s="1"/>
  <c r="Q837" i="2"/>
  <c r="W837" i="2" s="1"/>
  <c r="Q838" i="2"/>
  <c r="W838" i="2" s="1"/>
  <c r="Q839" i="2"/>
  <c r="W839" i="2" s="1"/>
  <c r="Q840" i="2"/>
  <c r="W840" i="2" s="1"/>
  <c r="Q841" i="2"/>
  <c r="W841" i="2" s="1"/>
  <c r="Q842" i="2"/>
  <c r="W842" i="2" s="1"/>
  <c r="Q843" i="2"/>
  <c r="W843" i="2" s="1"/>
  <c r="Q844" i="2"/>
  <c r="W844" i="2" s="1"/>
  <c r="Q845" i="2"/>
  <c r="W845" i="2" s="1"/>
  <c r="Q846" i="2"/>
  <c r="W846" i="2" s="1"/>
  <c r="Q847" i="2"/>
  <c r="W847" i="2" s="1"/>
  <c r="Q848" i="2"/>
  <c r="W848" i="2" s="1"/>
  <c r="Q849" i="2"/>
  <c r="W849" i="2" s="1"/>
  <c r="Q850" i="2"/>
  <c r="W850" i="2" s="1"/>
  <c r="Q851" i="2"/>
  <c r="W851" i="2" s="1"/>
  <c r="Q852" i="2"/>
  <c r="W852" i="2" s="1"/>
  <c r="Q853" i="2"/>
  <c r="W853" i="2" s="1"/>
  <c r="Q854" i="2"/>
  <c r="W854" i="2" s="1"/>
  <c r="Q855" i="2"/>
  <c r="W855" i="2" s="1"/>
  <c r="Q856" i="2"/>
  <c r="W856" i="2" s="1"/>
  <c r="Q857" i="2"/>
  <c r="W857" i="2" s="1"/>
  <c r="Q858" i="2"/>
  <c r="W858" i="2" s="1"/>
  <c r="Q859" i="2"/>
  <c r="W859" i="2" s="1"/>
  <c r="Q860" i="2"/>
  <c r="W860" i="2" s="1"/>
  <c r="Q861" i="2"/>
  <c r="W861" i="2" s="1"/>
  <c r="Q862" i="2"/>
  <c r="W862" i="2" s="1"/>
  <c r="Q863" i="2"/>
  <c r="W863" i="2" s="1"/>
  <c r="Q864" i="2"/>
  <c r="W864" i="2" s="1"/>
  <c r="Q865" i="2"/>
  <c r="W865" i="2" s="1"/>
  <c r="Q866" i="2"/>
  <c r="W866" i="2" s="1"/>
  <c r="Q867" i="2"/>
  <c r="W867" i="2" s="1"/>
  <c r="Q868" i="2"/>
  <c r="W868" i="2" s="1"/>
  <c r="Q869" i="2"/>
  <c r="W869" i="2" s="1"/>
  <c r="Q870" i="2"/>
  <c r="W870" i="2" s="1"/>
  <c r="Q871" i="2"/>
  <c r="W871" i="2" s="1"/>
  <c r="Q872" i="2"/>
  <c r="W872" i="2" s="1"/>
  <c r="Q873" i="2"/>
  <c r="W873" i="2" s="1"/>
  <c r="Q874" i="2"/>
  <c r="W874" i="2" s="1"/>
  <c r="Q875" i="2"/>
  <c r="W875" i="2" s="1"/>
  <c r="Q876" i="2"/>
  <c r="W876" i="2" s="1"/>
  <c r="Q877" i="2"/>
  <c r="W877" i="2" s="1"/>
  <c r="Q878" i="2"/>
  <c r="W878" i="2" s="1"/>
  <c r="Q879" i="2"/>
  <c r="W879" i="2" s="1"/>
  <c r="Q880" i="2"/>
  <c r="W880" i="2" s="1"/>
  <c r="Q881" i="2"/>
  <c r="W881" i="2" s="1"/>
  <c r="Q882" i="2"/>
  <c r="W882" i="2" s="1"/>
  <c r="Q883" i="2"/>
  <c r="W883" i="2" s="1"/>
  <c r="Q884" i="2"/>
  <c r="W884" i="2" s="1"/>
  <c r="Q885" i="2"/>
  <c r="W885" i="2" s="1"/>
  <c r="Q886" i="2"/>
  <c r="W886" i="2" s="1"/>
  <c r="Q887" i="2"/>
  <c r="W887" i="2" s="1"/>
  <c r="Q888" i="2"/>
  <c r="W888" i="2" s="1"/>
  <c r="Q889" i="2"/>
  <c r="W889" i="2" s="1"/>
  <c r="Q890" i="2"/>
  <c r="W890" i="2" s="1"/>
  <c r="Q891" i="2"/>
  <c r="W891" i="2" s="1"/>
  <c r="Q892" i="2"/>
  <c r="W892" i="2" s="1"/>
  <c r="Q893" i="2"/>
  <c r="W893" i="2" s="1"/>
  <c r="Q894" i="2"/>
  <c r="W894" i="2" s="1"/>
  <c r="Q895" i="2"/>
  <c r="W895" i="2" s="1"/>
  <c r="Q896" i="2"/>
  <c r="W896" i="2" s="1"/>
  <c r="Q897" i="2"/>
  <c r="W897" i="2" s="1"/>
  <c r="Q898" i="2"/>
  <c r="W898" i="2" s="1"/>
  <c r="Q899" i="2"/>
  <c r="W899" i="2" s="1"/>
  <c r="Q900" i="2"/>
  <c r="W900" i="2" s="1"/>
  <c r="Q901" i="2"/>
  <c r="W901" i="2" s="1"/>
  <c r="Q902" i="2"/>
  <c r="W902" i="2" s="1"/>
  <c r="Q903" i="2"/>
  <c r="W903" i="2" s="1"/>
  <c r="Q904" i="2"/>
  <c r="W904" i="2" s="1"/>
  <c r="Q905" i="2"/>
  <c r="W905" i="2" s="1"/>
  <c r="Q906" i="2"/>
  <c r="W906" i="2" s="1"/>
  <c r="Q907" i="2"/>
  <c r="W907" i="2" s="1"/>
  <c r="Q908" i="2"/>
  <c r="W908" i="2" s="1"/>
  <c r="Q909" i="2"/>
  <c r="W909" i="2" s="1"/>
  <c r="Q910" i="2"/>
  <c r="W910" i="2" s="1"/>
  <c r="Q911" i="2"/>
  <c r="W911" i="2" s="1"/>
  <c r="Q912" i="2"/>
  <c r="W912" i="2" s="1"/>
  <c r="Q913" i="2"/>
  <c r="W913" i="2" s="1"/>
  <c r="Q914" i="2"/>
  <c r="W914" i="2" s="1"/>
  <c r="Q915" i="2"/>
  <c r="W915" i="2" s="1"/>
  <c r="Q916" i="2"/>
  <c r="W916" i="2" s="1"/>
  <c r="Q917" i="2"/>
  <c r="W917" i="2" s="1"/>
  <c r="Q918" i="2"/>
  <c r="W918" i="2" s="1"/>
  <c r="Q919" i="2"/>
  <c r="W919" i="2" s="1"/>
  <c r="Q920" i="2"/>
  <c r="W920" i="2" s="1"/>
  <c r="Q921" i="2"/>
  <c r="W921" i="2" s="1"/>
  <c r="Q922" i="2"/>
  <c r="W922" i="2" s="1"/>
  <c r="Q923" i="2"/>
  <c r="W923" i="2" s="1"/>
  <c r="Q924" i="2"/>
  <c r="W924" i="2" s="1"/>
  <c r="Q925" i="2"/>
  <c r="W925" i="2" s="1"/>
  <c r="Q926" i="2"/>
  <c r="W926" i="2" s="1"/>
  <c r="Q927" i="2"/>
  <c r="W927" i="2" s="1"/>
  <c r="Q928" i="2"/>
  <c r="W928" i="2" s="1"/>
  <c r="Q929" i="2"/>
  <c r="W929" i="2" s="1"/>
  <c r="Q930" i="2"/>
  <c r="W930" i="2" s="1"/>
  <c r="Q931" i="2"/>
  <c r="W931" i="2" s="1"/>
  <c r="Q932" i="2"/>
  <c r="W932" i="2" s="1"/>
  <c r="Q933" i="2"/>
  <c r="W933" i="2" s="1"/>
  <c r="Q934" i="2"/>
  <c r="W934" i="2" s="1"/>
  <c r="Q935" i="2"/>
  <c r="W935" i="2" s="1"/>
  <c r="Q936" i="2"/>
  <c r="W936" i="2" s="1"/>
  <c r="Q937" i="2"/>
  <c r="W937" i="2" s="1"/>
  <c r="Q938" i="2"/>
  <c r="W938" i="2" s="1"/>
  <c r="Q939" i="2"/>
  <c r="W939" i="2" s="1"/>
  <c r="Q940" i="2"/>
  <c r="W940" i="2" s="1"/>
  <c r="Q941" i="2"/>
  <c r="W941" i="2" s="1"/>
  <c r="Q942" i="2"/>
  <c r="W942" i="2" s="1"/>
  <c r="Q943" i="2"/>
  <c r="W943" i="2" s="1"/>
  <c r="Q944" i="2"/>
  <c r="W944" i="2" s="1"/>
  <c r="Q945" i="2"/>
  <c r="W945" i="2" s="1"/>
  <c r="Q946" i="2"/>
  <c r="W946" i="2" s="1"/>
  <c r="Q947" i="2"/>
  <c r="W947" i="2" s="1"/>
  <c r="Q948" i="2"/>
  <c r="W948" i="2" s="1"/>
  <c r="Q949" i="2"/>
  <c r="W949" i="2" s="1"/>
  <c r="Q950" i="2"/>
  <c r="W950" i="2" s="1"/>
  <c r="Q951" i="2"/>
  <c r="W951" i="2" s="1"/>
  <c r="Q952" i="2"/>
  <c r="W952" i="2" s="1"/>
  <c r="Q953" i="2"/>
  <c r="W953" i="2" s="1"/>
  <c r="Q954" i="2"/>
  <c r="W954" i="2" s="1"/>
  <c r="Q955" i="2"/>
  <c r="W955" i="2" s="1"/>
  <c r="Q956" i="2"/>
  <c r="W956" i="2" s="1"/>
  <c r="Q957" i="2"/>
  <c r="W957" i="2" s="1"/>
  <c r="Q958" i="2"/>
  <c r="W958" i="2" s="1"/>
  <c r="Q959" i="2"/>
  <c r="W959" i="2" s="1"/>
  <c r="Q960" i="2"/>
  <c r="W960" i="2" s="1"/>
  <c r="Q961" i="2"/>
  <c r="W961" i="2" s="1"/>
  <c r="Q962" i="2"/>
  <c r="W962" i="2" s="1"/>
  <c r="Q963" i="2"/>
  <c r="W963" i="2" s="1"/>
  <c r="Q964" i="2"/>
  <c r="W964" i="2" s="1"/>
  <c r="Q965" i="2"/>
  <c r="W965" i="2" s="1"/>
  <c r="Q966" i="2"/>
  <c r="W966" i="2" s="1"/>
  <c r="Q967" i="2"/>
  <c r="W967" i="2" s="1"/>
  <c r="Q968" i="2"/>
  <c r="W968" i="2" s="1"/>
  <c r="Q969" i="2"/>
  <c r="W969" i="2" s="1"/>
  <c r="Q970" i="2"/>
  <c r="W970" i="2" s="1"/>
  <c r="Q971" i="2"/>
  <c r="W971" i="2" s="1"/>
  <c r="Q972" i="2"/>
  <c r="W972" i="2" s="1"/>
  <c r="Q973" i="2"/>
  <c r="W973" i="2" s="1"/>
  <c r="Q974" i="2"/>
  <c r="W974" i="2" s="1"/>
  <c r="Q975" i="2"/>
  <c r="W975" i="2" s="1"/>
  <c r="Q976" i="2"/>
  <c r="W976" i="2" s="1"/>
  <c r="Q977" i="2"/>
  <c r="W977" i="2" s="1"/>
  <c r="Q978" i="2"/>
  <c r="W978" i="2" s="1"/>
  <c r="Q979" i="2"/>
  <c r="W979" i="2" s="1"/>
  <c r="Q980" i="2"/>
  <c r="W980" i="2" s="1"/>
  <c r="Q981" i="2"/>
  <c r="W981" i="2" s="1"/>
  <c r="Q982" i="2"/>
  <c r="W982" i="2" s="1"/>
  <c r="Q983" i="2"/>
  <c r="W983" i="2" s="1"/>
  <c r="Q984" i="2"/>
  <c r="W984" i="2" s="1"/>
  <c r="Q985" i="2"/>
  <c r="W985" i="2" s="1"/>
  <c r="Q986" i="2"/>
  <c r="W986" i="2" s="1"/>
  <c r="Q987" i="2"/>
  <c r="W987" i="2" s="1"/>
  <c r="Q988" i="2"/>
  <c r="W988" i="2" s="1"/>
  <c r="Q989" i="2"/>
  <c r="W989" i="2" s="1"/>
  <c r="Q990" i="2"/>
  <c r="W990" i="2" s="1"/>
  <c r="Q991" i="2"/>
  <c r="W991" i="2" s="1"/>
  <c r="Q992" i="2"/>
  <c r="W992" i="2" s="1"/>
  <c r="Q993" i="2"/>
  <c r="W993" i="2" s="1"/>
  <c r="Q994" i="2"/>
  <c r="W994" i="2" s="1"/>
  <c r="Q995" i="2"/>
  <c r="W995" i="2" s="1"/>
  <c r="Q996" i="2"/>
  <c r="W996" i="2" s="1"/>
  <c r="Q997" i="2"/>
  <c r="W997" i="2" s="1"/>
  <c r="Q998" i="2"/>
  <c r="W998" i="2" s="1"/>
  <c r="Q999" i="2"/>
  <c r="W999" i="2" s="1"/>
  <c r="Q1000" i="2"/>
  <c r="W1000" i="2" s="1"/>
  <c r="Q1001" i="2"/>
  <c r="W1001" i="2" s="1"/>
  <c r="Q1002" i="2"/>
  <c r="W1002" i="2" s="1"/>
  <c r="Q1003" i="2"/>
  <c r="W1003" i="2" s="1"/>
  <c r="Q1004" i="2"/>
  <c r="W1004" i="2" s="1"/>
  <c r="Q1005" i="2"/>
  <c r="W1005" i="2" s="1"/>
  <c r="Q1006" i="2"/>
  <c r="W1006" i="2" s="1"/>
  <c r="Q1007" i="2"/>
  <c r="W1007" i="2" s="1"/>
  <c r="Q1008" i="2"/>
  <c r="W1008" i="2" s="1"/>
  <c r="Q1009" i="2"/>
  <c r="W1009" i="2" s="1"/>
  <c r="Q1010" i="2"/>
  <c r="W1010" i="2" s="1"/>
  <c r="Q1011" i="2"/>
  <c r="W1011" i="2" s="1"/>
  <c r="Q1012" i="2"/>
  <c r="W1012" i="2" s="1"/>
  <c r="Q1013" i="2"/>
  <c r="W1013" i="2" s="1"/>
  <c r="Q1014" i="2"/>
  <c r="W1014" i="2" s="1"/>
  <c r="Q1015" i="2"/>
  <c r="W1015" i="2" s="1"/>
  <c r="Q1016" i="2"/>
  <c r="W1016" i="2" s="1"/>
  <c r="Q1017" i="2"/>
  <c r="W1017" i="2" s="1"/>
  <c r="Q1018" i="2"/>
  <c r="W1018" i="2" s="1"/>
  <c r="Q1019" i="2"/>
  <c r="W1019" i="2" s="1"/>
  <c r="Q1020" i="2"/>
  <c r="W1020" i="2" s="1"/>
  <c r="Q1021" i="2"/>
  <c r="W1021" i="2" s="1"/>
  <c r="Q1022" i="2"/>
  <c r="W1022" i="2" s="1"/>
  <c r="Q1023" i="2"/>
  <c r="W1023" i="2" s="1"/>
  <c r="Q1024" i="2"/>
  <c r="W1024" i="2" s="1"/>
  <c r="Q1025" i="2"/>
  <c r="W1025" i="2" s="1"/>
  <c r="Q1026" i="2"/>
  <c r="W1026" i="2" s="1"/>
  <c r="Q1027" i="2"/>
  <c r="W1027" i="2" s="1"/>
  <c r="Q1028" i="2"/>
  <c r="W1028" i="2" s="1"/>
  <c r="Q1029" i="2"/>
  <c r="W1029" i="2" s="1"/>
  <c r="Q1030" i="2"/>
  <c r="W1030" i="2" s="1"/>
  <c r="Q1031" i="2"/>
  <c r="W1031" i="2" s="1"/>
  <c r="Q1032" i="2"/>
  <c r="W1032" i="2" s="1"/>
  <c r="Q1033" i="2"/>
  <c r="W1033" i="2" s="1"/>
  <c r="Q1034" i="2"/>
  <c r="W1034" i="2" s="1"/>
  <c r="Q1035" i="2"/>
  <c r="W1035" i="2" s="1"/>
  <c r="Q1036" i="2"/>
  <c r="W1036" i="2" s="1"/>
  <c r="Q1037" i="2"/>
  <c r="W1037" i="2" s="1"/>
  <c r="Q1038" i="2"/>
  <c r="W1038" i="2" s="1"/>
  <c r="Q1039" i="2"/>
  <c r="W1039" i="2" s="1"/>
  <c r="Q1040" i="2"/>
  <c r="W1040" i="2" s="1"/>
  <c r="Q1041" i="2"/>
  <c r="W1041" i="2" s="1"/>
  <c r="Q1042" i="2"/>
  <c r="W1042" i="2" s="1"/>
  <c r="Q1043" i="2"/>
  <c r="W1043" i="2" s="1"/>
  <c r="Q1044" i="2"/>
  <c r="W1044" i="2" s="1"/>
  <c r="Q1045" i="2"/>
  <c r="W1045" i="2" s="1"/>
  <c r="Q1046" i="2"/>
  <c r="W1046" i="2" s="1"/>
  <c r="Q1047" i="2"/>
  <c r="W1047" i="2" s="1"/>
  <c r="Q1048" i="2"/>
  <c r="W1048" i="2" s="1"/>
  <c r="Q1049" i="2"/>
  <c r="W1049" i="2" s="1"/>
  <c r="Q1050" i="2"/>
  <c r="W1050" i="2" s="1"/>
  <c r="Q1051" i="2"/>
  <c r="W1051" i="2" s="1"/>
  <c r="Q1052" i="2"/>
  <c r="W1052" i="2" s="1"/>
  <c r="Q1053" i="2"/>
  <c r="W1053" i="2" s="1"/>
  <c r="Q1054" i="2"/>
  <c r="W1054" i="2" s="1"/>
  <c r="Q1055" i="2"/>
  <c r="W1055" i="2" s="1"/>
  <c r="Q1056" i="2"/>
  <c r="W1056" i="2" s="1"/>
  <c r="Q1057" i="2"/>
  <c r="W1057" i="2" s="1"/>
  <c r="Q1058" i="2"/>
  <c r="W1058" i="2" s="1"/>
  <c r="Q1059" i="2"/>
  <c r="W1059" i="2" s="1"/>
  <c r="Q1060" i="2"/>
  <c r="W1060" i="2" s="1"/>
  <c r="Q1061" i="2"/>
  <c r="W1061" i="2" s="1"/>
  <c r="Q1062" i="2"/>
  <c r="W1062" i="2" s="1"/>
  <c r="Q1063" i="2"/>
  <c r="W1063" i="2" s="1"/>
  <c r="Q1064" i="2"/>
  <c r="W1064" i="2" s="1"/>
  <c r="Q1065" i="2"/>
  <c r="W1065" i="2" s="1"/>
  <c r="Q1066" i="2"/>
  <c r="W1066" i="2" s="1"/>
  <c r="Q1067" i="2"/>
  <c r="W1067" i="2" s="1"/>
  <c r="Q1068" i="2"/>
  <c r="W1068" i="2" s="1"/>
  <c r="Q1069" i="2"/>
  <c r="W1069" i="2" s="1"/>
  <c r="Q1070" i="2"/>
  <c r="W1070" i="2" s="1"/>
  <c r="Q1071" i="2"/>
  <c r="W1071" i="2" s="1"/>
  <c r="Q1072" i="2"/>
  <c r="W1072" i="2" s="1"/>
  <c r="Q1073" i="2"/>
  <c r="W1073" i="2" s="1"/>
  <c r="Q1074" i="2"/>
  <c r="W1074" i="2" s="1"/>
  <c r="Q1075" i="2"/>
  <c r="W1075" i="2" s="1"/>
  <c r="Q1076" i="2"/>
  <c r="W1076" i="2" s="1"/>
  <c r="Q1077" i="2"/>
  <c r="W1077" i="2" s="1"/>
  <c r="Q1078" i="2"/>
  <c r="W1078" i="2" s="1"/>
  <c r="Q1079" i="2"/>
  <c r="W1079" i="2" s="1"/>
  <c r="Q1080" i="2"/>
  <c r="W1080" i="2" s="1"/>
  <c r="Q1081" i="2"/>
  <c r="W1081" i="2" s="1"/>
  <c r="Q1082" i="2"/>
  <c r="W1082" i="2" s="1"/>
  <c r="Q1083" i="2"/>
  <c r="W1083" i="2" s="1"/>
  <c r="Q1084" i="2"/>
  <c r="W1084" i="2" s="1"/>
  <c r="Q1085" i="2"/>
  <c r="W1085" i="2" s="1"/>
  <c r="Q1086" i="2"/>
  <c r="W1086" i="2" s="1"/>
  <c r="Q1087" i="2"/>
  <c r="W1087" i="2" s="1"/>
  <c r="Q1088" i="2"/>
  <c r="W1088" i="2" s="1"/>
  <c r="Q1089" i="2"/>
  <c r="W1089" i="2" s="1"/>
  <c r="Q1090" i="2"/>
  <c r="W1090" i="2" s="1"/>
  <c r="Q1091" i="2"/>
  <c r="W1091" i="2" s="1"/>
  <c r="Q1092" i="2"/>
  <c r="W1092" i="2" s="1"/>
  <c r="Q1093" i="2"/>
  <c r="W1093" i="2" s="1"/>
  <c r="Q1094" i="2"/>
  <c r="W1094" i="2" s="1"/>
  <c r="Q1095" i="2"/>
  <c r="W1095" i="2" s="1"/>
  <c r="Q1096" i="2"/>
  <c r="W1096" i="2" s="1"/>
  <c r="Q1097" i="2"/>
  <c r="W1097" i="2" s="1"/>
  <c r="Q1098" i="2"/>
  <c r="W1098" i="2" s="1"/>
  <c r="Q1099" i="2"/>
  <c r="W1099" i="2" s="1"/>
  <c r="Q1100" i="2"/>
  <c r="W1100" i="2" s="1"/>
  <c r="Q1101" i="2"/>
  <c r="W1101" i="2" s="1"/>
  <c r="Q1102" i="2"/>
  <c r="W1102" i="2" s="1"/>
  <c r="Q1103" i="2"/>
  <c r="W1103" i="2" s="1"/>
  <c r="Q1104" i="2"/>
  <c r="W1104" i="2" s="1"/>
  <c r="Q1105" i="2"/>
  <c r="W1105" i="2" s="1"/>
  <c r="Q1106" i="2"/>
  <c r="W1106" i="2" s="1"/>
  <c r="Q1107" i="2"/>
  <c r="W1107" i="2" s="1"/>
  <c r="Q1108" i="2"/>
  <c r="W1108" i="2" s="1"/>
  <c r="Q1109" i="2"/>
  <c r="W1109" i="2" s="1"/>
  <c r="Q1110" i="2"/>
  <c r="W1110" i="2" s="1"/>
  <c r="Q1111" i="2"/>
  <c r="W1111" i="2" s="1"/>
  <c r="Q1112" i="2"/>
  <c r="W1112" i="2" s="1"/>
  <c r="Q1113" i="2"/>
  <c r="W1113" i="2" s="1"/>
  <c r="Q1114" i="2"/>
  <c r="W1114" i="2" s="1"/>
  <c r="Q1115" i="2"/>
  <c r="W1115" i="2" s="1"/>
  <c r="Q1116" i="2"/>
  <c r="W1116" i="2" s="1"/>
  <c r="Q1117" i="2"/>
  <c r="W1117" i="2" s="1"/>
  <c r="Q1118" i="2"/>
  <c r="W1118" i="2" s="1"/>
  <c r="Q1119" i="2"/>
  <c r="W1119" i="2" s="1"/>
  <c r="Q1120" i="2"/>
  <c r="W1120" i="2" s="1"/>
  <c r="Q1121" i="2"/>
  <c r="W1121" i="2" s="1"/>
  <c r="Q1122" i="2"/>
  <c r="W1122" i="2" s="1"/>
  <c r="Q1123" i="2"/>
  <c r="W1123" i="2" s="1"/>
  <c r="Q1124" i="2"/>
  <c r="W1124" i="2" s="1"/>
  <c r="Q1125" i="2"/>
  <c r="W1125" i="2" s="1"/>
  <c r="Q1126" i="2"/>
  <c r="W1126" i="2" s="1"/>
  <c r="Q1127" i="2"/>
  <c r="W1127" i="2" s="1"/>
  <c r="Q1128" i="2"/>
  <c r="W1128" i="2" s="1"/>
  <c r="Q1129" i="2"/>
  <c r="W1129" i="2" s="1"/>
  <c r="Q1130" i="2"/>
  <c r="W1130" i="2" s="1"/>
  <c r="Q1131" i="2"/>
  <c r="W1131" i="2" s="1"/>
  <c r="Q1132" i="2"/>
  <c r="W1132" i="2" s="1"/>
  <c r="Q1133" i="2"/>
  <c r="W1133" i="2" s="1"/>
  <c r="Q1134" i="2"/>
  <c r="W1134" i="2" s="1"/>
  <c r="Q1135" i="2"/>
  <c r="W1135" i="2" s="1"/>
  <c r="Q1136" i="2"/>
  <c r="W1136" i="2" s="1"/>
  <c r="Q1137" i="2"/>
  <c r="W1137" i="2" s="1"/>
  <c r="Q1138" i="2"/>
  <c r="W1138" i="2" s="1"/>
  <c r="Q1139" i="2"/>
  <c r="W1139" i="2" s="1"/>
  <c r="Q1140" i="2"/>
  <c r="W1140" i="2" s="1"/>
  <c r="Q1141" i="2"/>
  <c r="W1141" i="2" s="1"/>
  <c r="Q1142" i="2"/>
  <c r="W1142" i="2" s="1"/>
  <c r="Q1143" i="2"/>
  <c r="W1143" i="2" s="1"/>
  <c r="Q1144" i="2"/>
  <c r="W1144" i="2" s="1"/>
  <c r="Q1145" i="2"/>
  <c r="W1145" i="2" s="1"/>
  <c r="Q1146" i="2"/>
  <c r="W1146" i="2" s="1"/>
  <c r="Q1147" i="2"/>
  <c r="W1147" i="2" s="1"/>
  <c r="Q1148" i="2"/>
  <c r="W1148" i="2" s="1"/>
  <c r="Q1149" i="2"/>
  <c r="W1149" i="2" s="1"/>
  <c r="Q1150" i="2"/>
  <c r="W1150" i="2" s="1"/>
  <c r="Q1151" i="2"/>
  <c r="W1151" i="2" s="1"/>
  <c r="Q1152" i="2"/>
  <c r="W1152" i="2" s="1"/>
  <c r="Q1153" i="2"/>
  <c r="W1153" i="2" s="1"/>
  <c r="Q1154" i="2"/>
  <c r="W1154" i="2" s="1"/>
  <c r="Q1155" i="2"/>
  <c r="W1155" i="2" s="1"/>
  <c r="Q1156" i="2"/>
  <c r="W1156" i="2" s="1"/>
  <c r="Q1157" i="2"/>
  <c r="W1157" i="2" s="1"/>
  <c r="Q1158" i="2"/>
  <c r="W1158" i="2" s="1"/>
  <c r="Q1159" i="2"/>
  <c r="W1159" i="2" s="1"/>
  <c r="Q1160" i="2"/>
  <c r="W1160" i="2" s="1"/>
  <c r="Q1161" i="2"/>
  <c r="W1161" i="2" s="1"/>
  <c r="Q1162" i="2"/>
  <c r="W1162" i="2" s="1"/>
  <c r="Q1163" i="2"/>
  <c r="W1163" i="2" s="1"/>
  <c r="Q1164" i="2"/>
  <c r="W1164" i="2" s="1"/>
  <c r="Q1165" i="2"/>
  <c r="W1165" i="2" s="1"/>
  <c r="Q1166" i="2"/>
  <c r="W1166" i="2" s="1"/>
  <c r="Q1167" i="2"/>
  <c r="W1167" i="2" s="1"/>
  <c r="Q1168" i="2"/>
  <c r="W1168" i="2" s="1"/>
  <c r="Q1169" i="2"/>
  <c r="W1169" i="2" s="1"/>
  <c r="Q1170" i="2"/>
  <c r="W1170" i="2" s="1"/>
  <c r="Q1171" i="2"/>
  <c r="W1171" i="2" s="1"/>
  <c r="Q1172" i="2"/>
  <c r="W1172" i="2" s="1"/>
  <c r="Q1173" i="2"/>
  <c r="W1173" i="2" s="1"/>
  <c r="Q1174" i="2"/>
  <c r="W1174" i="2" s="1"/>
  <c r="Q1175" i="2"/>
  <c r="W1175" i="2" s="1"/>
  <c r="Q1176" i="2"/>
  <c r="W1176" i="2" s="1"/>
  <c r="Q1177" i="2"/>
  <c r="W1177" i="2" s="1"/>
  <c r="Q1178" i="2"/>
  <c r="W1178" i="2" s="1"/>
  <c r="Q1179" i="2"/>
  <c r="W1179" i="2" s="1"/>
  <c r="Q1180" i="2"/>
  <c r="W1180" i="2" s="1"/>
  <c r="Q1181" i="2"/>
  <c r="W1181" i="2" s="1"/>
  <c r="Q1182" i="2"/>
  <c r="W1182" i="2" s="1"/>
  <c r="Q1183" i="2"/>
  <c r="W1183" i="2" s="1"/>
  <c r="Q1184" i="2"/>
  <c r="W1184" i="2" s="1"/>
  <c r="Q1185" i="2"/>
  <c r="W1185" i="2" s="1"/>
  <c r="Q1186" i="2"/>
  <c r="W1186" i="2" s="1"/>
  <c r="Q1187" i="2"/>
  <c r="W1187" i="2" s="1"/>
  <c r="Q1188" i="2"/>
  <c r="W1188" i="2" s="1"/>
  <c r="Q1189" i="2"/>
  <c r="W1189" i="2" s="1"/>
  <c r="Q1190" i="2"/>
  <c r="W1190" i="2" s="1"/>
  <c r="Q1191" i="2"/>
  <c r="W1191" i="2" s="1"/>
  <c r="Q1192" i="2"/>
  <c r="W1192" i="2" s="1"/>
  <c r="Q1193" i="2"/>
  <c r="W1193" i="2" s="1"/>
  <c r="Q1194" i="2"/>
  <c r="W1194" i="2" s="1"/>
  <c r="Q1195" i="2"/>
  <c r="W1195" i="2" s="1"/>
  <c r="Q1196" i="2"/>
  <c r="W1196" i="2" s="1"/>
  <c r="Q1197" i="2"/>
  <c r="W1197" i="2" s="1"/>
  <c r="Q1198" i="2"/>
  <c r="W1198" i="2" s="1"/>
  <c r="Q1199" i="2"/>
  <c r="W1199" i="2" s="1"/>
  <c r="Q1200" i="2"/>
  <c r="W1200" i="2" s="1"/>
  <c r="Q1201" i="2"/>
  <c r="W1201" i="2" s="1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X2" i="2"/>
  <c r="X3" i="2"/>
  <c r="X4" i="2"/>
  <c r="X6" i="2"/>
  <c r="X7" i="2"/>
  <c r="X8" i="2"/>
  <c r="X10" i="2"/>
  <c r="X11" i="2"/>
  <c r="X12" i="2"/>
  <c r="X14" i="2"/>
  <c r="X15" i="2"/>
  <c r="X17" i="2"/>
  <c r="X18" i="2"/>
  <c r="X19" i="2"/>
  <c r="X20" i="2"/>
  <c r="X22" i="2"/>
  <c r="X23" i="2"/>
  <c r="X26" i="2"/>
  <c r="X28" i="2"/>
  <c r="X30" i="2"/>
  <c r="X31" i="2"/>
  <c r="X34" i="2"/>
  <c r="X36" i="2"/>
  <c r="X38" i="2"/>
  <c r="X39" i="2"/>
  <c r="X41" i="2"/>
  <c r="X42" i="2"/>
  <c r="X46" i="2"/>
  <c r="X47" i="2"/>
  <c r="X50" i="2"/>
  <c r="X51" i="2"/>
  <c r="X52" i="2"/>
  <c r="X54" i="2"/>
  <c r="X55" i="2"/>
  <c r="X59" i="2"/>
  <c r="X60" i="2"/>
  <c r="X62" i="2"/>
  <c r="X63" i="2"/>
  <c r="X66" i="2"/>
  <c r="X68" i="2"/>
  <c r="X70" i="2"/>
  <c r="X71" i="2"/>
  <c r="X75" i="2"/>
  <c r="X76" i="2"/>
  <c r="X78" i="2"/>
  <c r="X79" i="2"/>
  <c r="X82" i="2"/>
  <c r="X83" i="2"/>
  <c r="X84" i="2"/>
  <c r="X86" i="2"/>
  <c r="X87" i="2"/>
  <c r="X90" i="2"/>
  <c r="X92" i="2"/>
  <c r="X94" i="2"/>
  <c r="X95" i="2"/>
  <c r="X96" i="2"/>
  <c r="X98" i="2"/>
  <c r="X101" i="2"/>
  <c r="X102" i="2"/>
  <c r="X103" i="2"/>
  <c r="X105" i="2"/>
  <c r="X106" i="2"/>
  <c r="X108" i="2"/>
  <c r="X110" i="2"/>
  <c r="X111" i="2"/>
  <c r="X113" i="2"/>
  <c r="X114" i="2"/>
  <c r="X116" i="2"/>
  <c r="X117" i="2"/>
  <c r="X118" i="2"/>
  <c r="X119" i="2"/>
  <c r="X121" i="2"/>
  <c r="X122" i="2"/>
  <c r="X124" i="2"/>
  <c r="X125" i="2"/>
  <c r="X126" i="2"/>
  <c r="X127" i="2"/>
  <c r="X130" i="2"/>
  <c r="X131" i="2"/>
  <c r="X134" i="2"/>
  <c r="X138" i="2"/>
  <c r="X139" i="2"/>
  <c r="X140" i="2"/>
  <c r="X142" i="2"/>
  <c r="X143" i="2"/>
  <c r="X148" i="2"/>
  <c r="X150" i="2"/>
  <c r="X151" i="2"/>
  <c r="X155" i="2"/>
  <c r="X156" i="2"/>
  <c r="X158" i="2"/>
  <c r="X159" i="2"/>
  <c r="X161" i="2"/>
  <c r="X163" i="2"/>
  <c r="X164" i="2"/>
  <c r="X165" i="2"/>
  <c r="X166" i="2"/>
  <c r="X167" i="2"/>
  <c r="X170" i="2"/>
  <c r="X172" i="2"/>
  <c r="X174" i="2"/>
  <c r="X175" i="2"/>
  <c r="X178" i="2"/>
  <c r="X179" i="2"/>
  <c r="X183" i="2"/>
  <c r="X186" i="2"/>
  <c r="X188" i="2"/>
  <c r="X190" i="2"/>
  <c r="X191" i="2"/>
  <c r="X194" i="2"/>
  <c r="X195" i="2"/>
  <c r="X198" i="2"/>
  <c r="X199" i="2"/>
  <c r="X203" i="2"/>
  <c r="X204" i="2"/>
  <c r="X206" i="2"/>
  <c r="X207" i="2"/>
  <c r="X210" i="2"/>
  <c r="X211" i="2"/>
  <c r="X212" i="2"/>
  <c r="X214" i="2"/>
  <c r="X215" i="2"/>
  <c r="X218" i="2"/>
  <c r="X219" i="2"/>
  <c r="X220" i="2"/>
  <c r="X221" i="2"/>
  <c r="X222" i="2"/>
  <c r="X223" i="2"/>
  <c r="X226" i="2"/>
  <c r="X227" i="2"/>
  <c r="X228" i="2"/>
  <c r="X230" i="2"/>
  <c r="X231" i="2"/>
  <c r="X234" i="2"/>
  <c r="X236" i="2"/>
  <c r="X239" i="2"/>
  <c r="X240" i="2"/>
  <c r="X242" i="2"/>
  <c r="X244" i="2"/>
  <c r="X246" i="2"/>
  <c r="X247" i="2"/>
  <c r="X250" i="2"/>
  <c r="X251" i="2"/>
  <c r="X252" i="2"/>
  <c r="X254" i="2"/>
  <c r="X255" i="2"/>
  <c r="X258" i="2"/>
  <c r="X260" i="2"/>
  <c r="X262" i="2"/>
  <c r="X263" i="2"/>
  <c r="X266" i="2"/>
  <c r="X267" i="2"/>
  <c r="X268" i="2"/>
  <c r="X270" i="2"/>
  <c r="X271" i="2"/>
  <c r="X274" i="2"/>
  <c r="X276" i="2"/>
  <c r="X278" i="2"/>
  <c r="X279" i="2"/>
  <c r="X282" i="2"/>
  <c r="X283" i="2"/>
  <c r="X284" i="2"/>
  <c r="X286" i="2"/>
  <c r="X287" i="2"/>
  <c r="X290" i="2"/>
  <c r="X291" i="2"/>
  <c r="X294" i="2"/>
  <c r="X295" i="2"/>
  <c r="X300" i="2"/>
  <c r="X301" i="2"/>
  <c r="X302" i="2"/>
  <c r="X303" i="2"/>
  <c r="X304" i="2"/>
  <c r="X306" i="2"/>
  <c r="X308" i="2"/>
  <c r="X310" i="2"/>
  <c r="X311" i="2"/>
  <c r="X312" i="2"/>
  <c r="X314" i="2"/>
  <c r="X315" i="2"/>
  <c r="X316" i="2"/>
  <c r="X318" i="2"/>
  <c r="X319" i="2"/>
  <c r="X322" i="2"/>
  <c r="X323" i="2"/>
  <c r="X324" i="2"/>
  <c r="X326" i="2"/>
  <c r="X327" i="2"/>
  <c r="X330" i="2"/>
  <c r="X331" i="2"/>
  <c r="X332" i="2"/>
  <c r="X333" i="2"/>
  <c r="X334" i="2"/>
  <c r="X335" i="2"/>
  <c r="X338" i="2"/>
  <c r="X340" i="2"/>
  <c r="X342" i="2"/>
  <c r="X343" i="2"/>
  <c r="X346" i="2"/>
  <c r="X347" i="2"/>
  <c r="X348" i="2"/>
  <c r="X350" i="2"/>
  <c r="X351" i="2"/>
  <c r="X354" i="2"/>
  <c r="X356" i="2"/>
  <c r="X358" i="2"/>
  <c r="X359" i="2"/>
  <c r="X360" i="2"/>
  <c r="X362" i="2"/>
  <c r="X366" i="2"/>
  <c r="X367" i="2"/>
  <c r="X368" i="2"/>
  <c r="X370" i="2"/>
  <c r="X371" i="2"/>
  <c r="X372" i="2"/>
  <c r="X374" i="2"/>
  <c r="X375" i="2"/>
  <c r="X377" i="2"/>
  <c r="X378" i="2"/>
  <c r="X380" i="2"/>
  <c r="X382" i="2"/>
  <c r="X383" i="2"/>
  <c r="X386" i="2"/>
  <c r="X388" i="2"/>
  <c r="X390" i="2"/>
  <c r="X391" i="2"/>
  <c r="X394" i="2"/>
  <c r="X396" i="2"/>
  <c r="X397" i="2"/>
  <c r="X398" i="2"/>
  <c r="X399" i="2"/>
  <c r="X402" i="2"/>
  <c r="X403" i="2"/>
  <c r="X404" i="2"/>
  <c r="X405" i="2"/>
  <c r="X406" i="2"/>
  <c r="X407" i="2"/>
  <c r="X410" i="2"/>
  <c r="X412" i="2"/>
  <c r="X414" i="2"/>
  <c r="X415" i="2"/>
  <c r="X418" i="2"/>
  <c r="X419" i="2"/>
  <c r="X420" i="2"/>
  <c r="X422" i="2"/>
  <c r="X423" i="2"/>
  <c r="X426" i="2"/>
  <c r="X428" i="2"/>
  <c r="X429" i="2"/>
  <c r="X430" i="2"/>
  <c r="X431" i="2"/>
  <c r="X434" i="2"/>
  <c r="X435" i="2"/>
  <c r="X436" i="2"/>
  <c r="X438" i="2"/>
  <c r="X439" i="2"/>
  <c r="X440" i="2"/>
  <c r="X442" i="2"/>
  <c r="X444" i="2"/>
  <c r="X447" i="2"/>
  <c r="X449" i="2"/>
  <c r="X450" i="2"/>
  <c r="X451" i="2"/>
  <c r="X452" i="2"/>
  <c r="X454" i="2"/>
  <c r="X455" i="2"/>
  <c r="X457" i="2"/>
  <c r="X458" i="2"/>
  <c r="X459" i="2"/>
  <c r="X460" i="2"/>
  <c r="X462" i="2"/>
  <c r="X463" i="2"/>
  <c r="X464" i="2"/>
  <c r="X465" i="2"/>
  <c r="X466" i="2"/>
  <c r="X467" i="2"/>
  <c r="X470" i="2"/>
  <c r="X471" i="2"/>
  <c r="X472" i="2"/>
  <c r="X476" i="2"/>
  <c r="X477" i="2"/>
  <c r="X478" i="2"/>
  <c r="X479" i="2"/>
  <c r="X482" i="2"/>
  <c r="X484" i="2"/>
  <c r="X487" i="2"/>
  <c r="X492" i="2"/>
  <c r="X494" i="2"/>
  <c r="X495" i="2"/>
  <c r="X498" i="2"/>
  <c r="X500" i="2"/>
  <c r="X503" i="2"/>
  <c r="X506" i="2"/>
  <c r="X507" i="2"/>
  <c r="X508" i="2"/>
  <c r="X510" i="2"/>
  <c r="X511" i="2"/>
  <c r="X513" i="2"/>
  <c r="X514" i="2"/>
  <c r="X516" i="2"/>
  <c r="X517" i="2"/>
  <c r="X518" i="2"/>
  <c r="X519" i="2"/>
  <c r="X522" i="2"/>
  <c r="X526" i="2"/>
  <c r="X527" i="2"/>
  <c r="X530" i="2"/>
  <c r="X532" i="2"/>
  <c r="X534" i="2"/>
  <c r="X535" i="2"/>
  <c r="X538" i="2"/>
  <c r="X539" i="2"/>
  <c r="X540" i="2"/>
  <c r="X542" i="2"/>
  <c r="X543" i="2"/>
  <c r="X546" i="2"/>
  <c r="X547" i="2"/>
  <c r="X548" i="2"/>
  <c r="X551" i="2"/>
  <c r="X554" i="2"/>
  <c r="X556" i="2"/>
  <c r="X557" i="2"/>
  <c r="X558" i="2"/>
  <c r="X559" i="2"/>
  <c r="X562" i="2"/>
  <c r="X563" i="2"/>
  <c r="X564" i="2"/>
  <c r="X566" i="2"/>
  <c r="X567" i="2"/>
  <c r="X570" i="2"/>
  <c r="X571" i="2"/>
  <c r="X572" i="2"/>
  <c r="X574" i="2"/>
  <c r="X575" i="2"/>
  <c r="X576" i="2"/>
  <c r="X577" i="2"/>
  <c r="X578" i="2"/>
  <c r="X580" i="2"/>
  <c r="X582" i="2"/>
  <c r="X583" i="2"/>
  <c r="X586" i="2"/>
  <c r="X590" i="2"/>
  <c r="X591" i="2"/>
  <c r="X593" i="2"/>
  <c r="X594" i="2"/>
  <c r="X596" i="2"/>
  <c r="X598" i="2"/>
  <c r="X599" i="2"/>
  <c r="X601" i="2"/>
  <c r="X602" i="2"/>
  <c r="X604" i="2"/>
  <c r="X606" i="2"/>
  <c r="X607" i="2"/>
  <c r="X612" i="2"/>
  <c r="X614" i="2"/>
  <c r="X615" i="2"/>
  <c r="X618" i="2"/>
  <c r="X620" i="2"/>
  <c r="X623" i="2"/>
  <c r="X625" i="2"/>
  <c r="X626" i="2"/>
  <c r="X630" i="2"/>
  <c r="X631" i="2"/>
  <c r="X632" i="2"/>
  <c r="X633" i="2"/>
  <c r="X635" i="2"/>
  <c r="X636" i="2"/>
  <c r="X638" i="2"/>
  <c r="X639" i="2"/>
  <c r="X642" i="2"/>
  <c r="X644" i="2"/>
  <c r="X645" i="2"/>
  <c r="X646" i="2"/>
  <c r="X647" i="2"/>
  <c r="X650" i="2"/>
  <c r="X652" i="2"/>
  <c r="X654" i="2"/>
  <c r="X655" i="2"/>
  <c r="X658" i="2"/>
  <c r="X660" i="2"/>
  <c r="X662" i="2"/>
  <c r="X663" i="2"/>
  <c r="X666" i="2"/>
  <c r="X667" i="2"/>
  <c r="X668" i="2"/>
  <c r="X669" i="2"/>
  <c r="X670" i="2"/>
  <c r="X671" i="2"/>
  <c r="X674" i="2"/>
  <c r="X676" i="2"/>
  <c r="X679" i="2"/>
  <c r="X680" i="2"/>
  <c r="X686" i="2"/>
  <c r="X687" i="2"/>
  <c r="X689" i="2"/>
  <c r="X690" i="2"/>
  <c r="X692" i="2"/>
  <c r="X694" i="2"/>
  <c r="X695" i="2"/>
  <c r="X697" i="2"/>
  <c r="X698" i="2"/>
  <c r="X699" i="2"/>
  <c r="X700" i="2"/>
  <c r="X702" i="2"/>
  <c r="X703" i="2"/>
  <c r="X705" i="2"/>
  <c r="X706" i="2"/>
  <c r="X707" i="2"/>
  <c r="X708" i="2"/>
  <c r="X710" i="2"/>
  <c r="X711" i="2"/>
  <c r="X713" i="2"/>
  <c r="X714" i="2"/>
  <c r="X715" i="2"/>
  <c r="X716" i="2"/>
  <c r="X718" i="2"/>
  <c r="X722" i="2"/>
  <c r="X723" i="2"/>
  <c r="X726" i="2"/>
  <c r="X727" i="2"/>
  <c r="X731" i="2"/>
  <c r="X732" i="2"/>
  <c r="X735" i="2"/>
  <c r="X737" i="2"/>
  <c r="X740" i="2"/>
  <c r="X741" i="2"/>
  <c r="X742" i="2"/>
  <c r="X743" i="2"/>
  <c r="X746" i="2"/>
  <c r="X748" i="2"/>
  <c r="X751" i="2"/>
  <c r="X753" i="2"/>
  <c r="X754" i="2"/>
  <c r="X755" i="2"/>
  <c r="X758" i="2"/>
  <c r="X759" i="2"/>
  <c r="X764" i="2"/>
  <c r="X766" i="2"/>
  <c r="X767" i="2"/>
  <c r="X770" i="2"/>
  <c r="X772" i="2"/>
  <c r="X773" i="2"/>
  <c r="X774" i="2"/>
  <c r="X775" i="2"/>
  <c r="X778" i="2"/>
  <c r="X779" i="2"/>
  <c r="X780" i="2"/>
  <c r="X782" i="2"/>
  <c r="X783" i="2"/>
  <c r="X786" i="2"/>
  <c r="X788" i="2"/>
  <c r="X790" i="2"/>
  <c r="X791" i="2"/>
  <c r="X793" i="2"/>
  <c r="X795" i="2"/>
  <c r="X796" i="2"/>
  <c r="X797" i="2"/>
  <c r="X799" i="2"/>
  <c r="X802" i="2"/>
  <c r="X804" i="2"/>
  <c r="X807" i="2"/>
  <c r="X810" i="2"/>
  <c r="X812" i="2"/>
  <c r="X813" i="2"/>
  <c r="X814" i="2"/>
  <c r="X815" i="2"/>
  <c r="X817" i="2"/>
  <c r="X818" i="2"/>
  <c r="X822" i="2"/>
  <c r="X827" i="2"/>
  <c r="X829" i="2"/>
  <c r="X830" i="2"/>
  <c r="X831" i="2"/>
  <c r="X834" i="2"/>
  <c r="X836" i="2"/>
  <c r="X838" i="2"/>
  <c r="X839" i="2"/>
  <c r="X842" i="2"/>
  <c r="X846" i="2"/>
  <c r="X847" i="2"/>
  <c r="X850" i="2"/>
  <c r="X852" i="2"/>
  <c r="X854" i="2"/>
  <c r="X855" i="2"/>
  <c r="X858" i="2"/>
  <c r="X859" i="2"/>
  <c r="X860" i="2"/>
  <c r="X863" i="2"/>
  <c r="X868" i="2"/>
  <c r="X869" i="2"/>
  <c r="X870" i="2"/>
  <c r="X871" i="2"/>
  <c r="X873" i="2"/>
  <c r="X874" i="2"/>
  <c r="X875" i="2"/>
  <c r="X879" i="2"/>
  <c r="X882" i="2"/>
  <c r="X884" i="2"/>
  <c r="X886" i="2"/>
  <c r="X887" i="2"/>
  <c r="X892" i="2"/>
  <c r="X894" i="2"/>
  <c r="X895" i="2"/>
  <c r="X896" i="2"/>
  <c r="X898" i="2"/>
  <c r="X901" i="2"/>
  <c r="X903" i="2"/>
  <c r="X908" i="2"/>
  <c r="X910" i="2"/>
  <c r="X911" i="2"/>
  <c r="X914" i="2"/>
  <c r="X916" i="2"/>
  <c r="X918" i="2"/>
  <c r="X919" i="2"/>
  <c r="X922" i="2"/>
  <c r="X924" i="2"/>
  <c r="X926" i="2"/>
  <c r="X930" i="2"/>
  <c r="X935" i="2"/>
  <c r="X937" i="2"/>
  <c r="X938" i="2"/>
  <c r="X940" i="2"/>
  <c r="X943" i="2"/>
  <c r="X946" i="2"/>
  <c r="X950" i="2"/>
  <c r="X951" i="2"/>
  <c r="X956" i="2"/>
  <c r="X959" i="2"/>
  <c r="X961" i="2"/>
  <c r="X962" i="2"/>
  <c r="X965" i="2"/>
  <c r="X967" i="2"/>
  <c r="X972" i="2"/>
  <c r="X974" i="2"/>
  <c r="X975" i="2"/>
  <c r="X977" i="2"/>
  <c r="X978" i="2"/>
  <c r="X979" i="2"/>
  <c r="X985" i="2"/>
  <c r="X988" i="2"/>
  <c r="X994" i="2"/>
  <c r="X995" i="2"/>
  <c r="X999" i="2"/>
  <c r="X1001" i="2"/>
  <c r="X1004" i="2"/>
  <c r="X1006" i="2"/>
  <c r="X1007" i="2"/>
  <c r="X1010" i="2"/>
  <c r="X1017" i="2"/>
  <c r="X1020" i="2"/>
  <c r="X1021" i="2"/>
  <c r="X1026" i="2"/>
  <c r="X1027" i="2"/>
  <c r="X1029" i="2"/>
  <c r="X1031" i="2"/>
  <c r="X1033" i="2"/>
  <c r="X1036" i="2"/>
  <c r="X1038" i="2"/>
  <c r="X1039" i="2"/>
  <c r="X1042" i="2"/>
  <c r="X1043" i="2"/>
  <c r="X1052" i="2"/>
  <c r="X1054" i="2"/>
  <c r="X1055" i="2"/>
  <c r="X1060" i="2"/>
  <c r="X1063" i="2"/>
  <c r="X1065" i="2"/>
  <c r="X1067" i="2"/>
  <c r="X1068" i="2"/>
  <c r="X1074" i="2"/>
  <c r="X1079" i="2"/>
  <c r="X1081" i="2"/>
  <c r="X1084" i="2"/>
  <c r="X1088" i="2"/>
  <c r="X1092" i="2"/>
  <c r="X1100" i="2"/>
  <c r="X1103" i="2"/>
  <c r="X1106" i="2"/>
  <c r="X1107" i="2"/>
  <c r="X1116" i="2"/>
  <c r="X1118" i="2"/>
  <c r="X1119" i="2"/>
  <c r="X1121" i="2"/>
  <c r="X1124" i="2"/>
  <c r="X1127" i="2"/>
  <c r="X1131" i="2"/>
  <c r="X1132" i="2"/>
  <c r="X1138" i="2"/>
  <c r="X1139" i="2"/>
  <c r="X1143" i="2"/>
  <c r="X1148" i="2"/>
  <c r="X1156" i="2"/>
  <c r="X1163" i="2"/>
  <c r="X1164" i="2"/>
  <c r="X1165" i="2"/>
  <c r="X1167" i="2"/>
  <c r="X1170" i="2"/>
  <c r="X1171" i="2"/>
  <c r="X1180" i="2"/>
  <c r="X1183" i="2"/>
  <c r="X1188" i="2"/>
  <c r="X1190" i="2"/>
  <c r="X1191" i="2"/>
  <c r="X1194" i="2"/>
  <c r="AA2" i="2"/>
  <c r="AA3" i="2"/>
  <c r="AA8" i="2"/>
  <c r="AA9" i="2"/>
  <c r="AA11" i="2"/>
  <c r="AA16" i="2"/>
  <c r="AA17" i="2"/>
  <c r="AA19" i="2"/>
  <c r="AA24" i="2"/>
  <c r="AA25" i="2"/>
  <c r="AA27" i="2"/>
  <c r="AA29" i="2"/>
  <c r="AA32" i="2"/>
  <c r="AA33" i="2"/>
  <c r="AA35" i="2"/>
  <c r="AA40" i="2"/>
  <c r="AA41" i="2"/>
  <c r="AA42" i="2"/>
  <c r="AA43" i="2"/>
  <c r="AA48" i="2"/>
  <c r="AA49" i="2"/>
  <c r="AA51" i="2"/>
  <c r="AA53" i="2"/>
  <c r="AA56" i="2"/>
  <c r="AA57" i="2"/>
  <c r="AA59" i="2"/>
  <c r="AA64" i="2"/>
  <c r="AA65" i="2"/>
  <c r="AA66" i="2"/>
  <c r="AA67" i="2"/>
  <c r="AA72" i="2"/>
  <c r="AA73" i="2"/>
  <c r="AA74" i="2"/>
  <c r="AA75" i="2"/>
  <c r="AA80" i="2"/>
  <c r="AA81" i="2"/>
  <c r="AA83" i="2"/>
  <c r="AA85" i="2"/>
  <c r="AA88" i="2"/>
  <c r="AA89" i="2"/>
  <c r="AA90" i="2"/>
  <c r="AA91" i="2"/>
  <c r="AA96" i="2"/>
  <c r="AA97" i="2"/>
  <c r="AA98" i="2"/>
  <c r="AA99" i="2"/>
  <c r="AA100" i="2"/>
  <c r="AA102" i="2"/>
  <c r="AA104" i="2"/>
  <c r="AA105" i="2"/>
  <c r="AA107" i="2"/>
  <c r="AA110" i="2"/>
  <c r="AA112" i="2"/>
  <c r="AA113" i="2"/>
  <c r="AA115" i="2"/>
  <c r="AA118" i="2"/>
  <c r="AA120" i="2"/>
  <c r="AA121" i="2"/>
  <c r="AA122" i="2"/>
  <c r="AA123" i="2"/>
  <c r="AA126" i="2"/>
  <c r="AA128" i="2"/>
  <c r="AA129" i="2"/>
  <c r="AA130" i="2"/>
  <c r="AA131" i="2"/>
  <c r="AA134" i="2"/>
  <c r="AA136" i="2"/>
  <c r="AA137" i="2"/>
  <c r="AA138" i="2"/>
  <c r="AA139" i="2"/>
  <c r="AA142" i="2"/>
  <c r="AA144" i="2"/>
  <c r="AA145" i="2"/>
  <c r="AA146" i="2"/>
  <c r="AA147" i="2"/>
  <c r="AA149" i="2"/>
  <c r="AA150" i="2"/>
  <c r="AA152" i="2"/>
  <c r="AA153" i="2"/>
  <c r="AA155" i="2"/>
  <c r="AA157" i="2"/>
  <c r="AA158" i="2"/>
  <c r="AA160" i="2"/>
  <c r="AA161" i="2"/>
  <c r="AA163" i="2"/>
  <c r="AA166" i="2"/>
  <c r="AA168" i="2"/>
  <c r="AA169" i="2"/>
  <c r="AA170" i="2"/>
  <c r="AA171" i="2"/>
  <c r="AA174" i="2"/>
  <c r="AA176" i="2"/>
  <c r="AA177" i="2"/>
  <c r="AA178" i="2"/>
  <c r="AA179" i="2"/>
  <c r="AA181" i="2"/>
  <c r="AA182" i="2"/>
  <c r="AA184" i="2"/>
  <c r="AA185" i="2"/>
  <c r="AA187" i="2"/>
  <c r="AA190" i="2"/>
  <c r="AA192" i="2"/>
  <c r="AA193" i="2"/>
  <c r="AA195" i="2"/>
  <c r="AA198" i="2"/>
  <c r="AA200" i="2"/>
  <c r="AA201" i="2"/>
  <c r="AA203" i="2"/>
  <c r="AA206" i="2"/>
  <c r="AA208" i="2"/>
  <c r="AA209" i="2"/>
  <c r="AA210" i="2"/>
  <c r="AA211" i="2"/>
  <c r="AA214" i="2"/>
  <c r="AA216" i="2"/>
  <c r="AA217" i="2"/>
  <c r="AA218" i="2"/>
  <c r="AA219" i="2"/>
  <c r="AA222" i="2"/>
  <c r="AA224" i="2"/>
  <c r="AA225" i="2"/>
  <c r="AA227" i="2"/>
  <c r="AA230" i="2"/>
  <c r="AA232" i="2"/>
  <c r="AA233" i="2"/>
  <c r="AA234" i="2"/>
  <c r="AA235" i="2"/>
  <c r="AA238" i="2"/>
  <c r="AA240" i="2"/>
  <c r="AA241" i="2"/>
  <c r="AA242" i="2"/>
  <c r="AA243" i="2"/>
  <c r="AA246" i="2"/>
  <c r="AA248" i="2"/>
  <c r="AA249" i="2"/>
  <c r="AA250" i="2"/>
  <c r="AA251" i="2"/>
  <c r="AA254" i="2"/>
  <c r="AA256" i="2"/>
  <c r="AA257" i="2"/>
  <c r="AA258" i="2"/>
  <c r="AA259" i="2"/>
  <c r="AA262" i="2"/>
  <c r="AA264" i="2"/>
  <c r="AA265" i="2"/>
  <c r="AA266" i="2"/>
  <c r="AA267" i="2"/>
  <c r="AA270" i="2"/>
  <c r="AA272" i="2"/>
  <c r="AA273" i="2"/>
  <c r="AA274" i="2"/>
  <c r="AA275" i="2"/>
  <c r="AA278" i="2"/>
  <c r="AA280" i="2"/>
  <c r="AA281" i="2"/>
  <c r="AA282" i="2"/>
  <c r="AA283" i="2"/>
  <c r="AA286" i="2"/>
  <c r="AA288" i="2"/>
  <c r="AA289" i="2"/>
  <c r="AA291" i="2"/>
  <c r="AA294" i="2"/>
  <c r="AA296" i="2"/>
  <c r="AA297" i="2"/>
  <c r="AA298" i="2"/>
  <c r="AA299" i="2"/>
  <c r="AA302" i="2"/>
  <c r="AA304" i="2"/>
  <c r="AA305" i="2"/>
  <c r="AA306" i="2"/>
  <c r="AA307" i="2"/>
  <c r="AA310" i="2"/>
  <c r="AA312" i="2"/>
  <c r="AA313" i="2"/>
  <c r="AA314" i="2"/>
  <c r="AA315" i="2"/>
  <c r="AA318" i="2"/>
  <c r="AA320" i="2"/>
  <c r="AA321" i="2"/>
  <c r="AA322" i="2"/>
  <c r="AA323" i="2"/>
  <c r="AA326" i="2"/>
  <c r="AA328" i="2"/>
  <c r="AA329" i="2"/>
  <c r="AA330" i="2"/>
  <c r="AA331" i="2"/>
  <c r="AA334" i="2"/>
  <c r="AA336" i="2"/>
  <c r="AA337" i="2"/>
  <c r="AA338" i="2"/>
  <c r="AA339" i="2"/>
  <c r="AA342" i="2"/>
  <c r="AA344" i="2"/>
  <c r="AA345" i="2"/>
  <c r="AA346" i="2"/>
  <c r="AA347" i="2"/>
  <c r="AA350" i="2"/>
  <c r="AA352" i="2"/>
  <c r="AA353" i="2"/>
  <c r="AA355" i="2"/>
  <c r="AA360" i="2"/>
  <c r="AA361" i="2"/>
  <c r="AA362" i="2"/>
  <c r="AA363" i="2"/>
  <c r="AA366" i="2"/>
  <c r="AA368" i="2"/>
  <c r="AA369" i="2"/>
  <c r="AA370" i="2"/>
  <c r="AA371" i="2"/>
  <c r="AA375" i="2"/>
  <c r="AA376" i="2"/>
  <c r="AA377" i="2"/>
  <c r="AA378" i="2"/>
  <c r="AA379" i="2"/>
  <c r="AA384" i="2"/>
  <c r="AA385" i="2"/>
  <c r="AA386" i="2"/>
  <c r="AA387" i="2"/>
  <c r="AA393" i="2"/>
  <c r="AA395" i="2"/>
  <c r="AA399" i="2"/>
  <c r="AA401" i="2"/>
  <c r="AA402" i="2"/>
  <c r="AA403" i="2"/>
  <c r="AA408" i="2"/>
  <c r="AA409" i="2"/>
  <c r="AA410" i="2"/>
  <c r="AA411" i="2"/>
  <c r="AA413" i="2"/>
  <c r="AA415" i="2"/>
  <c r="AA417" i="2"/>
  <c r="AA419" i="2"/>
  <c r="AA424" i="2"/>
  <c r="AA425" i="2"/>
  <c r="AA427" i="2"/>
  <c r="AA428" i="2"/>
  <c r="AA432" i="2"/>
  <c r="AA433" i="2"/>
  <c r="AA435" i="2"/>
  <c r="AA440" i="2"/>
  <c r="AA441" i="2"/>
  <c r="AA442" i="2"/>
  <c r="AA443" i="2"/>
  <c r="AA448" i="2"/>
  <c r="AA449" i="2"/>
  <c r="AA451" i="2"/>
  <c r="AA457" i="2"/>
  <c r="AA458" i="2"/>
  <c r="AA459" i="2"/>
  <c r="AA465" i="2"/>
  <c r="AA467" i="2"/>
  <c r="AA472" i="2"/>
  <c r="AA473" i="2"/>
  <c r="AA474" i="2"/>
  <c r="AA475" i="2"/>
  <c r="AA481" i="2"/>
  <c r="AA482" i="2"/>
  <c r="AA483" i="2"/>
  <c r="AA488" i="2"/>
  <c r="AA489" i="2"/>
  <c r="AA490" i="2"/>
  <c r="AA491" i="2"/>
  <c r="AA493" i="2"/>
  <c r="AA496" i="2"/>
  <c r="AA497" i="2"/>
  <c r="AA498" i="2"/>
  <c r="AA499" i="2"/>
  <c r="AA503" i="2"/>
  <c r="AA504" i="2"/>
  <c r="AA505" i="2"/>
  <c r="AA506" i="2"/>
  <c r="AA507" i="2"/>
  <c r="AA512" i="2"/>
  <c r="AA513" i="2"/>
  <c r="AA514" i="2"/>
  <c r="AA515" i="2"/>
  <c r="AA517" i="2"/>
  <c r="AA521" i="2"/>
  <c r="AA523" i="2"/>
  <c r="AA529" i="2"/>
  <c r="AA530" i="2"/>
  <c r="AA531" i="2"/>
  <c r="AA533" i="2"/>
  <c r="AA536" i="2"/>
  <c r="AA537" i="2"/>
  <c r="AA538" i="2"/>
  <c r="AA539" i="2"/>
  <c r="AA543" i="2"/>
  <c r="AA545" i="2"/>
  <c r="AA547" i="2"/>
  <c r="AA549" i="2"/>
  <c r="AA552" i="2"/>
  <c r="AA553" i="2"/>
  <c r="AA554" i="2"/>
  <c r="AA555" i="2"/>
  <c r="AA560" i="2"/>
  <c r="AA561" i="2"/>
  <c r="AA562" i="2"/>
  <c r="AA563" i="2"/>
  <c r="AA568" i="2"/>
  <c r="AA569" i="2"/>
  <c r="AA571" i="2"/>
  <c r="AA576" i="2"/>
  <c r="AA577" i="2"/>
  <c r="AA578" i="2"/>
  <c r="AA579" i="2"/>
  <c r="AA585" i="2"/>
  <c r="AA586" i="2"/>
  <c r="AA587" i="2"/>
  <c r="AA591" i="2"/>
  <c r="AA593" i="2"/>
  <c r="AA594" i="2"/>
  <c r="AA595" i="2"/>
  <c r="AA600" i="2"/>
  <c r="AA601" i="2"/>
  <c r="AA602" i="2"/>
  <c r="AA603" i="2"/>
  <c r="AA604" i="2"/>
  <c r="AA605" i="2"/>
  <c r="AA609" i="2"/>
  <c r="AA610" i="2"/>
  <c r="AA611" i="2"/>
  <c r="AA616" i="2"/>
  <c r="AA617" i="2"/>
  <c r="AA618" i="2"/>
  <c r="AA619" i="2"/>
  <c r="AA621" i="2"/>
  <c r="AA624" i="2"/>
  <c r="AA625" i="2"/>
  <c r="AA626" i="2"/>
  <c r="AA627" i="2"/>
  <c r="AA628" i="2"/>
  <c r="AA632" i="2"/>
  <c r="AA633" i="2"/>
  <c r="AA634" i="2"/>
  <c r="AA635" i="2"/>
  <c r="AA640" i="2"/>
  <c r="AA641" i="2"/>
  <c r="AA643" i="2"/>
  <c r="AA649" i="2"/>
  <c r="AA650" i="2"/>
  <c r="AA651" i="2"/>
  <c r="AA657" i="2"/>
  <c r="AA658" i="2"/>
  <c r="AA659" i="2"/>
  <c r="AA660" i="2"/>
  <c r="AA664" i="2"/>
  <c r="AA665" i="2"/>
  <c r="AA667" i="2"/>
  <c r="AA673" i="2"/>
  <c r="AA674" i="2"/>
  <c r="AA675" i="2"/>
  <c r="AA677" i="2"/>
  <c r="AA680" i="2"/>
  <c r="AA681" i="2"/>
  <c r="AA683" i="2"/>
  <c r="AA684" i="2"/>
  <c r="AA685" i="2"/>
  <c r="AA688" i="2"/>
  <c r="AA689" i="2"/>
  <c r="AA691" i="2"/>
  <c r="AA696" i="2"/>
  <c r="AA697" i="2"/>
  <c r="AA698" i="2"/>
  <c r="AA699" i="2"/>
  <c r="AA704" i="2"/>
  <c r="AA705" i="2"/>
  <c r="AA706" i="2"/>
  <c r="AA707" i="2"/>
  <c r="AA709" i="2"/>
  <c r="AA713" i="2"/>
  <c r="AA714" i="2"/>
  <c r="AA715" i="2"/>
  <c r="AA721" i="2"/>
  <c r="AA722" i="2"/>
  <c r="AA723" i="2"/>
  <c r="AA724" i="2"/>
  <c r="AA725" i="2"/>
  <c r="AA728" i="2"/>
  <c r="AA729" i="2"/>
  <c r="AA730" i="2"/>
  <c r="AA731" i="2"/>
  <c r="AA737" i="2"/>
  <c r="AA738" i="2"/>
  <c r="AA739" i="2"/>
  <c r="AA741" i="2"/>
  <c r="AA744" i="2"/>
  <c r="AA745" i="2"/>
  <c r="AA746" i="2"/>
  <c r="AA747" i="2"/>
  <c r="AA749" i="2"/>
  <c r="AA752" i="2"/>
  <c r="AA753" i="2"/>
  <c r="AA754" i="2"/>
  <c r="AA755" i="2"/>
  <c r="AA760" i="2"/>
  <c r="AA761" i="2"/>
  <c r="AA762" i="2"/>
  <c r="AA763" i="2"/>
  <c r="AA764" i="2"/>
  <c r="AA768" i="2"/>
  <c r="AA769" i="2"/>
  <c r="AA770" i="2"/>
  <c r="AA771" i="2"/>
  <c r="AA777" i="2"/>
  <c r="AA779" i="2"/>
  <c r="AA783" i="2"/>
  <c r="AA785" i="2"/>
  <c r="AA787" i="2"/>
  <c r="AA792" i="2"/>
  <c r="AA793" i="2"/>
  <c r="AA794" i="2"/>
  <c r="AA795" i="2"/>
  <c r="AA801" i="2"/>
  <c r="AA802" i="2"/>
  <c r="AA803" i="2"/>
  <c r="AA805" i="2"/>
  <c r="AA808" i="2"/>
  <c r="AA809" i="2"/>
  <c r="AA811" i="2"/>
  <c r="AA815" i="2"/>
  <c r="AA816" i="2"/>
  <c r="AA817" i="2"/>
  <c r="AA818" i="2"/>
  <c r="AA819" i="2"/>
  <c r="AA824" i="2"/>
  <c r="AA825" i="2"/>
  <c r="AA826" i="2"/>
  <c r="AA827" i="2"/>
  <c r="AA832" i="2"/>
  <c r="AA833" i="2"/>
  <c r="AA835" i="2"/>
  <c r="AA841" i="2"/>
  <c r="AA842" i="2"/>
  <c r="AA843" i="2"/>
  <c r="AA844" i="2"/>
  <c r="AA849" i="2"/>
  <c r="AA851" i="2"/>
  <c r="AA856" i="2"/>
  <c r="AA857" i="2"/>
  <c r="AA858" i="2"/>
  <c r="AA859" i="2"/>
  <c r="AA860" i="2"/>
  <c r="AA865" i="2"/>
  <c r="AA866" i="2"/>
  <c r="AA867" i="2"/>
  <c r="AA872" i="2"/>
  <c r="AA873" i="2"/>
  <c r="AA874" i="2"/>
  <c r="AA875" i="2"/>
  <c r="AA880" i="2"/>
  <c r="AA881" i="2"/>
  <c r="AA882" i="2"/>
  <c r="AA883" i="2"/>
  <c r="AA887" i="2"/>
  <c r="AA888" i="2"/>
  <c r="AA889" i="2"/>
  <c r="AA890" i="2"/>
  <c r="AA891" i="2"/>
  <c r="AA896" i="2"/>
  <c r="AA897" i="2"/>
  <c r="AA898" i="2"/>
  <c r="AA899" i="2"/>
  <c r="AA905" i="2"/>
  <c r="AA906" i="2"/>
  <c r="AA907" i="2"/>
  <c r="AA908" i="2"/>
  <c r="AA911" i="2"/>
  <c r="AA913" i="2"/>
  <c r="AA914" i="2"/>
  <c r="AA915" i="2"/>
  <c r="AA920" i="2"/>
  <c r="AA921" i="2"/>
  <c r="AA922" i="2"/>
  <c r="AA923" i="2"/>
  <c r="AA925" i="2"/>
  <c r="AA929" i="2"/>
  <c r="AA931" i="2"/>
  <c r="AA936" i="2"/>
  <c r="AA937" i="2"/>
  <c r="AA938" i="2"/>
  <c r="AA939" i="2"/>
  <c r="AA940" i="2"/>
  <c r="AA944" i="2"/>
  <c r="AA945" i="2"/>
  <c r="AA946" i="2"/>
  <c r="AA947" i="2"/>
  <c r="AA952" i="2"/>
  <c r="AA953" i="2"/>
  <c r="AA954" i="2"/>
  <c r="AA955" i="2"/>
  <c r="AA960" i="2"/>
  <c r="AA961" i="2"/>
  <c r="AA962" i="2"/>
  <c r="AA963" i="2"/>
  <c r="AA964" i="2"/>
  <c r="AA969" i="2"/>
  <c r="AA970" i="2"/>
  <c r="AA971" i="2"/>
  <c r="AA977" i="2"/>
  <c r="AA979" i="2"/>
  <c r="AA981" i="2"/>
  <c r="AA984" i="2"/>
  <c r="AA985" i="2"/>
  <c r="AA986" i="2"/>
  <c r="AA987" i="2"/>
  <c r="AA993" i="2"/>
  <c r="AA994" i="2"/>
  <c r="AA995" i="2"/>
  <c r="AA996" i="2"/>
  <c r="AA999" i="2"/>
  <c r="AA1000" i="2"/>
  <c r="AA1001" i="2"/>
  <c r="AA1003" i="2"/>
  <c r="AA1007" i="2"/>
  <c r="AA1008" i="2"/>
  <c r="AA1009" i="2"/>
  <c r="AA1011" i="2"/>
  <c r="AA1016" i="2"/>
  <c r="AA1017" i="2"/>
  <c r="AA1018" i="2"/>
  <c r="AA1019" i="2"/>
  <c r="AA1020" i="2"/>
  <c r="AA1024" i="2"/>
  <c r="AA1025" i="2"/>
  <c r="AA1027" i="2"/>
  <c r="AA1033" i="2"/>
  <c r="AA1034" i="2"/>
  <c r="AA1035" i="2"/>
  <c r="AA1037" i="2"/>
  <c r="AA1041" i="2"/>
  <c r="AA1042" i="2"/>
  <c r="AA1043" i="2"/>
  <c r="AA1048" i="2"/>
  <c r="AA1049" i="2"/>
  <c r="AA1051" i="2"/>
  <c r="AA1053" i="2"/>
  <c r="AA1057" i="2"/>
  <c r="AA1059" i="2"/>
  <c r="AA1063" i="2"/>
  <c r="AA1064" i="2"/>
  <c r="AA1065" i="2"/>
  <c r="AA1066" i="2"/>
  <c r="AA1067" i="2"/>
  <c r="AA1072" i="2"/>
  <c r="AA1073" i="2"/>
  <c r="AA1074" i="2"/>
  <c r="AA1075" i="2"/>
  <c r="AA1080" i="2"/>
  <c r="AA1081" i="2"/>
  <c r="AA1083" i="2"/>
  <c r="AA1088" i="2"/>
  <c r="AA1089" i="2"/>
  <c r="AA1091" i="2"/>
  <c r="AA1097" i="2"/>
  <c r="AA1098" i="2"/>
  <c r="AA1099" i="2"/>
  <c r="AA1105" i="2"/>
  <c r="AA1107" i="2"/>
  <c r="AA1112" i="2"/>
  <c r="AA1113" i="2"/>
  <c r="AA1115" i="2"/>
  <c r="AA1119" i="2"/>
  <c r="AA1121" i="2"/>
  <c r="AA1122" i="2"/>
  <c r="AA1123" i="2"/>
  <c r="AA1128" i="2"/>
  <c r="AA1129" i="2"/>
  <c r="AA1130" i="2"/>
  <c r="AA1131" i="2"/>
  <c r="AA1132" i="2"/>
  <c r="AA1135" i="2"/>
  <c r="AA1136" i="2"/>
  <c r="AA1137" i="2"/>
  <c r="AA1139" i="2"/>
  <c r="AA1141" i="2"/>
  <c r="AA1143" i="2"/>
  <c r="AA1144" i="2"/>
  <c r="AA1145" i="2"/>
  <c r="AA1146" i="2"/>
  <c r="AA1147" i="2"/>
  <c r="AA1152" i="2"/>
  <c r="AA1153" i="2"/>
  <c r="AA1154" i="2"/>
  <c r="AA1155" i="2"/>
  <c r="AA1161" i="2"/>
  <c r="AA1163" i="2"/>
  <c r="AA1169" i="2"/>
  <c r="AA1171" i="2"/>
  <c r="AA1176" i="2"/>
  <c r="AA1177" i="2"/>
  <c r="AA1179" i="2"/>
  <c r="AA1185" i="2"/>
  <c r="AA1187" i="2"/>
  <c r="AA1188" i="2"/>
  <c r="AA1191" i="2"/>
  <c r="AA1192" i="2"/>
  <c r="AA1193" i="2"/>
  <c r="AA1194" i="2"/>
  <c r="AA1195" i="2"/>
  <c r="AA1197" i="2"/>
  <c r="AA1199" i="2"/>
  <c r="AA1200" i="2"/>
  <c r="AA120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D11" i="3"/>
  <c r="D10" i="3"/>
  <c r="D9" i="3"/>
  <c r="D8" i="3"/>
  <c r="D6" i="3"/>
  <c r="D5" i="3"/>
  <c r="D4" i="3"/>
  <c r="D3" i="3"/>
  <c r="D2" i="3"/>
  <c r="Y968" i="2" l="1"/>
  <c r="Y600" i="2"/>
  <c r="Y1150" i="2"/>
  <c r="Y390" i="2"/>
  <c r="Y358" i="2"/>
  <c r="Z816" i="2"/>
  <c r="Z752" i="2"/>
  <c r="Z688" i="2"/>
  <c r="Z680" i="2"/>
  <c r="Z552" i="2"/>
  <c r="Z709" i="2"/>
  <c r="Z645" i="2"/>
  <c r="Z581" i="2"/>
  <c r="Z389" i="2"/>
  <c r="Z325" i="2"/>
  <c r="Z261" i="2"/>
  <c r="Z189" i="2"/>
  <c r="Z172" i="2"/>
  <c r="Z1170" i="2"/>
  <c r="Z1106" i="2"/>
  <c r="Z1042" i="2"/>
  <c r="Z978" i="2"/>
  <c r="Z914" i="2"/>
  <c r="Z850" i="2"/>
  <c r="Z786" i="2"/>
  <c r="Z722" i="2"/>
  <c r="Z624" i="2"/>
  <c r="Z472" i="2"/>
  <c r="Z464" i="2"/>
  <c r="Z344" i="2"/>
  <c r="Z336" i="2"/>
  <c r="Z216" i="2"/>
  <c r="Z208" i="2"/>
  <c r="Z88" i="2"/>
  <c r="Z795" i="2"/>
  <c r="Z731" i="2"/>
  <c r="Z667" i="2"/>
  <c r="Z603" i="2"/>
  <c r="Z539" i="2"/>
  <c r="Z475" i="2"/>
  <c r="Z411" i="2"/>
  <c r="Z347" i="2"/>
  <c r="Z235" i="2"/>
  <c r="Z658" i="2"/>
  <c r="Z594" i="2"/>
  <c r="Z530" i="2"/>
  <c r="Z466" i="2"/>
  <c r="Z402" i="2"/>
  <c r="Z90" i="2"/>
  <c r="Z18" i="2"/>
  <c r="Z601" i="2"/>
  <c r="Z473" i="2"/>
  <c r="Z409" i="2"/>
  <c r="Z281" i="2"/>
  <c r="Z217" i="2"/>
  <c r="Z129" i="2"/>
  <c r="Z17" i="2"/>
  <c r="U1200" i="2"/>
  <c r="V1200" i="2" s="1"/>
  <c r="Z1200" i="2" s="1"/>
  <c r="U1192" i="2"/>
  <c r="V1192" i="2" s="1"/>
  <c r="Z1192" i="2" s="1"/>
  <c r="U1184" i="2"/>
  <c r="V1184" i="2" s="1"/>
  <c r="Z1184" i="2" s="1"/>
  <c r="U1176" i="2"/>
  <c r="V1176" i="2" s="1"/>
  <c r="Z1176" i="2" s="1"/>
  <c r="U1168" i="2"/>
  <c r="V1168" i="2" s="1"/>
  <c r="U1160" i="2"/>
  <c r="V1160" i="2" s="1"/>
  <c r="Z1160" i="2" s="1"/>
  <c r="U1152" i="2"/>
  <c r="V1152" i="2" s="1"/>
  <c r="Z1152" i="2" s="1"/>
  <c r="U1144" i="2"/>
  <c r="V1144" i="2" s="1"/>
  <c r="Z1144" i="2" s="1"/>
  <c r="U1136" i="2"/>
  <c r="V1136" i="2" s="1"/>
  <c r="Z1136" i="2" s="1"/>
  <c r="U1128" i="2"/>
  <c r="V1128" i="2" s="1"/>
  <c r="Z1128" i="2" s="1"/>
  <c r="U1120" i="2"/>
  <c r="V1120" i="2" s="1"/>
  <c r="Z1120" i="2" s="1"/>
  <c r="U1112" i="2"/>
  <c r="V1112" i="2" s="1"/>
  <c r="Z1112" i="2" s="1"/>
  <c r="U1104" i="2"/>
  <c r="V1104" i="2" s="1"/>
  <c r="Z1104" i="2" s="1"/>
  <c r="U1096" i="2"/>
  <c r="V1096" i="2" s="1"/>
  <c r="Z1096" i="2" s="1"/>
  <c r="U1088" i="2"/>
  <c r="V1088" i="2" s="1"/>
  <c r="Z1088" i="2" s="1"/>
  <c r="U1080" i="2"/>
  <c r="V1080" i="2" s="1"/>
  <c r="Z1080" i="2" s="1"/>
  <c r="U1072" i="2"/>
  <c r="V1072" i="2" s="1"/>
  <c r="Z1072" i="2" s="1"/>
  <c r="U1064" i="2"/>
  <c r="V1064" i="2" s="1"/>
  <c r="Z1064" i="2" s="1"/>
  <c r="U1056" i="2"/>
  <c r="V1056" i="2" s="1"/>
  <c r="Z1056" i="2" s="1"/>
  <c r="U1048" i="2"/>
  <c r="V1048" i="2" s="1"/>
  <c r="Z1048" i="2" s="1"/>
  <c r="U1040" i="2"/>
  <c r="V1040" i="2" s="1"/>
  <c r="Z1040" i="2" s="1"/>
  <c r="U1032" i="2"/>
  <c r="V1032" i="2" s="1"/>
  <c r="Z1032" i="2" s="1"/>
  <c r="U1024" i="2"/>
  <c r="V1024" i="2" s="1"/>
  <c r="Z1024" i="2" s="1"/>
  <c r="U1016" i="2"/>
  <c r="V1016" i="2" s="1"/>
  <c r="Z1016" i="2" s="1"/>
  <c r="U1008" i="2"/>
  <c r="V1008" i="2" s="1"/>
  <c r="Z1008" i="2" s="1"/>
  <c r="U1000" i="2"/>
  <c r="V1000" i="2" s="1"/>
  <c r="Z1000" i="2" s="1"/>
  <c r="U992" i="2"/>
  <c r="V992" i="2" s="1"/>
  <c r="Z992" i="2" s="1"/>
  <c r="U984" i="2"/>
  <c r="V984" i="2" s="1"/>
  <c r="Z984" i="2" s="1"/>
  <c r="U976" i="2"/>
  <c r="V976" i="2" s="1"/>
  <c r="Z976" i="2" s="1"/>
  <c r="U968" i="2"/>
  <c r="V968" i="2" s="1"/>
  <c r="Z968" i="2" s="1"/>
  <c r="U960" i="2"/>
  <c r="V960" i="2" s="1"/>
  <c r="Z960" i="2" s="1"/>
  <c r="U952" i="2"/>
  <c r="V952" i="2" s="1"/>
  <c r="Z952" i="2" s="1"/>
  <c r="U944" i="2"/>
  <c r="V944" i="2" s="1"/>
  <c r="Z944" i="2" s="1"/>
  <c r="U936" i="2"/>
  <c r="V936" i="2" s="1"/>
  <c r="Z936" i="2" s="1"/>
  <c r="U928" i="2"/>
  <c r="V928" i="2" s="1"/>
  <c r="Z928" i="2" s="1"/>
  <c r="U920" i="2"/>
  <c r="V920" i="2" s="1"/>
  <c r="Z920" i="2" s="1"/>
  <c r="U912" i="2"/>
  <c r="V912" i="2" s="1"/>
  <c r="Z912" i="2" s="1"/>
  <c r="U904" i="2"/>
  <c r="V904" i="2" s="1"/>
  <c r="Z904" i="2" s="1"/>
  <c r="U896" i="2"/>
  <c r="V896" i="2" s="1"/>
  <c r="Z896" i="2" s="1"/>
  <c r="U888" i="2"/>
  <c r="V888" i="2" s="1"/>
  <c r="Z888" i="2" s="1"/>
  <c r="U880" i="2"/>
  <c r="V880" i="2" s="1"/>
  <c r="Z880" i="2" s="1"/>
  <c r="U872" i="2"/>
  <c r="V872" i="2" s="1"/>
  <c r="Z872" i="2" s="1"/>
  <c r="U864" i="2"/>
  <c r="V864" i="2" s="1"/>
  <c r="Z864" i="2" s="1"/>
  <c r="U856" i="2"/>
  <c r="V856" i="2" s="1"/>
  <c r="Z856" i="2" s="1"/>
  <c r="U848" i="2"/>
  <c r="V848" i="2" s="1"/>
  <c r="Z848" i="2" s="1"/>
  <c r="U840" i="2"/>
  <c r="V840" i="2" s="1"/>
  <c r="Z840" i="2" s="1"/>
  <c r="U832" i="2"/>
  <c r="V832" i="2" s="1"/>
  <c r="Z832" i="2" s="1"/>
  <c r="U824" i="2"/>
  <c r="V824" i="2" s="1"/>
  <c r="Z824" i="2" s="1"/>
  <c r="U816" i="2"/>
  <c r="V816" i="2" s="1"/>
  <c r="U808" i="2"/>
  <c r="V808" i="2" s="1"/>
  <c r="Z808" i="2" s="1"/>
  <c r="U800" i="2"/>
  <c r="V800" i="2" s="1"/>
  <c r="Z800" i="2" s="1"/>
  <c r="U792" i="2"/>
  <c r="V792" i="2" s="1"/>
  <c r="Z792" i="2" s="1"/>
  <c r="U784" i="2"/>
  <c r="V784" i="2" s="1"/>
  <c r="Z784" i="2" s="1"/>
  <c r="U776" i="2"/>
  <c r="V776" i="2" s="1"/>
  <c r="Z776" i="2" s="1"/>
  <c r="U768" i="2"/>
  <c r="V768" i="2" s="1"/>
  <c r="Z768" i="2" s="1"/>
  <c r="U760" i="2"/>
  <c r="V760" i="2" s="1"/>
  <c r="Z760" i="2" s="1"/>
  <c r="U752" i="2"/>
  <c r="V752" i="2" s="1"/>
  <c r="U744" i="2"/>
  <c r="V744" i="2" s="1"/>
  <c r="U736" i="2"/>
  <c r="V736" i="2" s="1"/>
  <c r="Z736" i="2" s="1"/>
  <c r="U728" i="2"/>
  <c r="V728" i="2" s="1"/>
  <c r="Z728" i="2" s="1"/>
  <c r="U720" i="2"/>
  <c r="V720" i="2" s="1"/>
  <c r="Z720" i="2" s="1"/>
  <c r="U712" i="2"/>
  <c r="V712" i="2" s="1"/>
  <c r="Z712" i="2" s="1"/>
  <c r="U704" i="2"/>
  <c r="V704" i="2" s="1"/>
  <c r="Z704" i="2" s="1"/>
  <c r="U696" i="2"/>
  <c r="V696" i="2" s="1"/>
  <c r="Z696" i="2" s="1"/>
  <c r="U688" i="2"/>
  <c r="V688" i="2" s="1"/>
  <c r="U680" i="2"/>
  <c r="V680" i="2" s="1"/>
  <c r="U672" i="2"/>
  <c r="V672" i="2" s="1"/>
  <c r="Z672" i="2" s="1"/>
  <c r="U664" i="2"/>
  <c r="V664" i="2" s="1"/>
  <c r="Z664" i="2" s="1"/>
  <c r="U656" i="2"/>
  <c r="V656" i="2" s="1"/>
  <c r="Z656" i="2" s="1"/>
  <c r="U648" i="2"/>
  <c r="V648" i="2" s="1"/>
  <c r="Z648" i="2" s="1"/>
  <c r="U640" i="2"/>
  <c r="V640" i="2" s="1"/>
  <c r="Z640" i="2" s="1"/>
  <c r="U632" i="2"/>
  <c r="V632" i="2" s="1"/>
  <c r="Z632" i="2" s="1"/>
  <c r="U624" i="2"/>
  <c r="V624" i="2" s="1"/>
  <c r="U616" i="2"/>
  <c r="V616" i="2" s="1"/>
  <c r="Z616" i="2" s="1"/>
  <c r="U608" i="2"/>
  <c r="V608" i="2" s="1"/>
  <c r="Z608" i="2" s="1"/>
  <c r="U600" i="2"/>
  <c r="V600" i="2" s="1"/>
  <c r="Z600" i="2" s="1"/>
  <c r="U592" i="2"/>
  <c r="V592" i="2" s="1"/>
  <c r="Z592" i="2" s="1"/>
  <c r="U584" i="2"/>
  <c r="V584" i="2" s="1"/>
  <c r="Z584" i="2" s="1"/>
  <c r="U576" i="2"/>
  <c r="V576" i="2" s="1"/>
  <c r="Z576" i="2" s="1"/>
  <c r="U568" i="2"/>
  <c r="V568" i="2" s="1"/>
  <c r="Z568" i="2" s="1"/>
  <c r="U560" i="2"/>
  <c r="V560" i="2" s="1"/>
  <c r="Z560" i="2" s="1"/>
  <c r="U552" i="2"/>
  <c r="V552" i="2" s="1"/>
  <c r="U544" i="2"/>
  <c r="V544" i="2" s="1"/>
  <c r="Z544" i="2" s="1"/>
  <c r="U536" i="2"/>
  <c r="V536" i="2" s="1"/>
  <c r="Z536" i="2" s="1"/>
  <c r="U528" i="2"/>
  <c r="V528" i="2" s="1"/>
  <c r="Z528" i="2" s="1"/>
  <c r="U1198" i="2"/>
  <c r="V1198" i="2" s="1"/>
  <c r="Z1198" i="2" s="1"/>
  <c r="U1190" i="2"/>
  <c r="V1190" i="2" s="1"/>
  <c r="Z1190" i="2" s="1"/>
  <c r="U1182" i="2"/>
  <c r="V1182" i="2" s="1"/>
  <c r="Z1182" i="2" s="1"/>
  <c r="U1174" i="2"/>
  <c r="V1174" i="2" s="1"/>
  <c r="Z1174" i="2" s="1"/>
  <c r="U1166" i="2"/>
  <c r="V1166" i="2" s="1"/>
  <c r="Z1166" i="2" s="1"/>
  <c r="U1158" i="2"/>
  <c r="V1158" i="2" s="1"/>
  <c r="Z1158" i="2" s="1"/>
  <c r="U1150" i="2"/>
  <c r="V1150" i="2" s="1"/>
  <c r="Z1150" i="2" s="1"/>
  <c r="U1142" i="2"/>
  <c r="V1142" i="2" s="1"/>
  <c r="Z1142" i="2" s="1"/>
  <c r="U1134" i="2"/>
  <c r="V1134" i="2" s="1"/>
  <c r="Z1134" i="2" s="1"/>
  <c r="U1126" i="2"/>
  <c r="V1126" i="2" s="1"/>
  <c r="Z1126" i="2" s="1"/>
  <c r="U1118" i="2"/>
  <c r="V1118" i="2" s="1"/>
  <c r="Z1118" i="2" s="1"/>
  <c r="U1110" i="2"/>
  <c r="V1110" i="2" s="1"/>
  <c r="Z1110" i="2" s="1"/>
  <c r="U1102" i="2"/>
  <c r="V1102" i="2" s="1"/>
  <c r="Z1102" i="2" s="1"/>
  <c r="U1094" i="2"/>
  <c r="V1094" i="2" s="1"/>
  <c r="Z1094" i="2" s="1"/>
  <c r="U1086" i="2"/>
  <c r="V1086" i="2" s="1"/>
  <c r="Z1086" i="2" s="1"/>
  <c r="U1078" i="2"/>
  <c r="V1078" i="2" s="1"/>
  <c r="Z1078" i="2" s="1"/>
  <c r="U1070" i="2"/>
  <c r="V1070" i="2" s="1"/>
  <c r="Z1070" i="2" s="1"/>
  <c r="U1062" i="2"/>
  <c r="V1062" i="2" s="1"/>
  <c r="U1054" i="2"/>
  <c r="V1054" i="2" s="1"/>
  <c r="Z1054" i="2" s="1"/>
  <c r="U1046" i="2"/>
  <c r="V1046" i="2" s="1"/>
  <c r="Z1046" i="2" s="1"/>
  <c r="U1038" i="2"/>
  <c r="V1038" i="2" s="1"/>
  <c r="Z1038" i="2" s="1"/>
  <c r="U1030" i="2"/>
  <c r="V1030" i="2" s="1"/>
  <c r="Z1030" i="2" s="1"/>
  <c r="U1022" i="2"/>
  <c r="V1022" i="2" s="1"/>
  <c r="Z1022" i="2" s="1"/>
  <c r="U1014" i="2"/>
  <c r="V1014" i="2" s="1"/>
  <c r="Z1014" i="2" s="1"/>
  <c r="U1006" i="2"/>
  <c r="V1006" i="2" s="1"/>
  <c r="Z1006" i="2" s="1"/>
  <c r="U998" i="2"/>
  <c r="V998" i="2" s="1"/>
  <c r="Z998" i="2" s="1"/>
  <c r="U990" i="2"/>
  <c r="V990" i="2" s="1"/>
  <c r="Z990" i="2" s="1"/>
  <c r="U982" i="2"/>
  <c r="V982" i="2" s="1"/>
  <c r="Z982" i="2" s="1"/>
  <c r="U974" i="2"/>
  <c r="V974" i="2" s="1"/>
  <c r="Z974" i="2" s="1"/>
  <c r="U966" i="2"/>
  <c r="V966" i="2" s="1"/>
  <c r="Z966" i="2" s="1"/>
  <c r="U958" i="2"/>
  <c r="V958" i="2" s="1"/>
  <c r="Z958" i="2" s="1"/>
  <c r="U950" i="2"/>
  <c r="V950" i="2" s="1"/>
  <c r="Z950" i="2" s="1"/>
  <c r="U942" i="2"/>
  <c r="V942" i="2" s="1"/>
  <c r="Z942" i="2" s="1"/>
  <c r="U934" i="2"/>
  <c r="V934" i="2" s="1"/>
  <c r="Z934" i="2" s="1"/>
  <c r="U926" i="2"/>
  <c r="V926" i="2" s="1"/>
  <c r="Z926" i="2" s="1"/>
  <c r="U918" i="2"/>
  <c r="V918" i="2" s="1"/>
  <c r="Z918" i="2" s="1"/>
  <c r="U910" i="2"/>
  <c r="V910" i="2" s="1"/>
  <c r="Z910" i="2" s="1"/>
  <c r="U902" i="2"/>
  <c r="V902" i="2" s="1"/>
  <c r="Z902" i="2" s="1"/>
  <c r="U894" i="2"/>
  <c r="V894" i="2" s="1"/>
  <c r="Z894" i="2" s="1"/>
  <c r="U886" i="2"/>
  <c r="V886" i="2" s="1"/>
  <c r="Z886" i="2" s="1"/>
  <c r="U878" i="2"/>
  <c r="V878" i="2" s="1"/>
  <c r="Z878" i="2" s="1"/>
  <c r="U870" i="2"/>
  <c r="V870" i="2" s="1"/>
  <c r="Z870" i="2" s="1"/>
  <c r="U862" i="2"/>
  <c r="V862" i="2" s="1"/>
  <c r="Z862" i="2" s="1"/>
  <c r="U854" i="2"/>
  <c r="V854" i="2" s="1"/>
  <c r="Z854" i="2" s="1"/>
  <c r="U1197" i="2"/>
  <c r="V1197" i="2" s="1"/>
  <c r="Z1197" i="2" s="1"/>
  <c r="U1189" i="2"/>
  <c r="V1189" i="2" s="1"/>
  <c r="Z1189" i="2" s="1"/>
  <c r="U1181" i="2"/>
  <c r="V1181" i="2" s="1"/>
  <c r="Z1181" i="2" s="1"/>
  <c r="U1173" i="2"/>
  <c r="V1173" i="2" s="1"/>
  <c r="Z1173" i="2" s="1"/>
  <c r="U1165" i="2"/>
  <c r="V1165" i="2" s="1"/>
  <c r="Z1165" i="2" s="1"/>
  <c r="U1157" i="2"/>
  <c r="V1157" i="2" s="1"/>
  <c r="U1149" i="2"/>
  <c r="V1149" i="2" s="1"/>
  <c r="Z1149" i="2" s="1"/>
  <c r="U1141" i="2"/>
  <c r="V1141" i="2" s="1"/>
  <c r="Z1141" i="2" s="1"/>
  <c r="U1133" i="2"/>
  <c r="V1133" i="2" s="1"/>
  <c r="Z1133" i="2" s="1"/>
  <c r="U1125" i="2"/>
  <c r="V1125" i="2" s="1"/>
  <c r="Z1125" i="2" s="1"/>
  <c r="U1117" i="2"/>
  <c r="V1117" i="2" s="1"/>
  <c r="Z1117" i="2" s="1"/>
  <c r="U1109" i="2"/>
  <c r="V1109" i="2" s="1"/>
  <c r="Z1109" i="2" s="1"/>
  <c r="U1101" i="2"/>
  <c r="V1101" i="2" s="1"/>
  <c r="Z1101" i="2" s="1"/>
  <c r="U1093" i="2"/>
  <c r="V1093" i="2" s="1"/>
  <c r="Z1093" i="2" s="1"/>
  <c r="U1085" i="2"/>
  <c r="V1085" i="2" s="1"/>
  <c r="Z1085" i="2" s="1"/>
  <c r="U1077" i="2"/>
  <c r="V1077" i="2" s="1"/>
  <c r="Z1077" i="2" s="1"/>
  <c r="U1069" i="2"/>
  <c r="V1069" i="2" s="1"/>
  <c r="Z1069" i="2" s="1"/>
  <c r="U1061" i="2"/>
  <c r="V1061" i="2" s="1"/>
  <c r="Z1061" i="2" s="1"/>
  <c r="U1053" i="2"/>
  <c r="V1053" i="2" s="1"/>
  <c r="Z1053" i="2" s="1"/>
  <c r="U1045" i="2"/>
  <c r="V1045" i="2" s="1"/>
  <c r="Z1045" i="2" s="1"/>
  <c r="U1037" i="2"/>
  <c r="V1037" i="2" s="1"/>
  <c r="Z1037" i="2" s="1"/>
  <c r="U1029" i="2"/>
  <c r="V1029" i="2" s="1"/>
  <c r="Z1029" i="2" s="1"/>
  <c r="U1021" i="2"/>
  <c r="V1021" i="2" s="1"/>
  <c r="Z1021" i="2" s="1"/>
  <c r="U1013" i="2"/>
  <c r="V1013" i="2" s="1"/>
  <c r="Z1013" i="2" s="1"/>
  <c r="U1005" i="2"/>
  <c r="V1005" i="2" s="1"/>
  <c r="Z1005" i="2" s="1"/>
  <c r="U997" i="2"/>
  <c r="V997" i="2" s="1"/>
  <c r="Z997" i="2" s="1"/>
  <c r="U989" i="2"/>
  <c r="V989" i="2" s="1"/>
  <c r="Z989" i="2" s="1"/>
  <c r="U981" i="2"/>
  <c r="V981" i="2" s="1"/>
  <c r="Z981" i="2" s="1"/>
  <c r="U973" i="2"/>
  <c r="V973" i="2" s="1"/>
  <c r="Z973" i="2" s="1"/>
  <c r="U965" i="2"/>
  <c r="V965" i="2" s="1"/>
  <c r="Z965" i="2" s="1"/>
  <c r="U957" i="2"/>
  <c r="V957" i="2" s="1"/>
  <c r="Z957" i="2" s="1"/>
  <c r="U949" i="2"/>
  <c r="V949" i="2" s="1"/>
  <c r="Z949" i="2" s="1"/>
  <c r="U941" i="2"/>
  <c r="V941" i="2" s="1"/>
  <c r="Z941" i="2" s="1"/>
  <c r="U933" i="2"/>
  <c r="V933" i="2" s="1"/>
  <c r="Z933" i="2" s="1"/>
  <c r="U925" i="2"/>
  <c r="V925" i="2" s="1"/>
  <c r="Z925" i="2" s="1"/>
  <c r="U917" i="2"/>
  <c r="V917" i="2" s="1"/>
  <c r="U909" i="2"/>
  <c r="V909" i="2" s="1"/>
  <c r="Z909" i="2" s="1"/>
  <c r="U901" i="2"/>
  <c r="V901" i="2" s="1"/>
  <c r="Z901" i="2" s="1"/>
  <c r="U893" i="2"/>
  <c r="V893" i="2" s="1"/>
  <c r="Z893" i="2" s="1"/>
  <c r="U885" i="2"/>
  <c r="V885" i="2" s="1"/>
  <c r="Z885" i="2" s="1"/>
  <c r="U877" i="2"/>
  <c r="V877" i="2" s="1"/>
  <c r="Z877" i="2" s="1"/>
  <c r="U520" i="2"/>
  <c r="V520" i="2" s="1"/>
  <c r="Z520" i="2" s="1"/>
  <c r="U512" i="2"/>
  <c r="V512" i="2" s="1"/>
  <c r="Z512" i="2" s="1"/>
  <c r="U504" i="2"/>
  <c r="V504" i="2" s="1"/>
  <c r="Z504" i="2" s="1"/>
  <c r="U496" i="2"/>
  <c r="V496" i="2" s="1"/>
  <c r="Z496" i="2" s="1"/>
  <c r="U488" i="2"/>
  <c r="V488" i="2" s="1"/>
  <c r="Z488" i="2" s="1"/>
  <c r="U480" i="2"/>
  <c r="V480" i="2" s="1"/>
  <c r="Z480" i="2" s="1"/>
  <c r="U472" i="2"/>
  <c r="V472" i="2" s="1"/>
  <c r="U464" i="2"/>
  <c r="V464" i="2" s="1"/>
  <c r="U456" i="2"/>
  <c r="V456" i="2" s="1"/>
  <c r="Z456" i="2" s="1"/>
  <c r="U448" i="2"/>
  <c r="V448" i="2" s="1"/>
  <c r="Z448" i="2" s="1"/>
  <c r="U440" i="2"/>
  <c r="V440" i="2" s="1"/>
  <c r="Z440" i="2" s="1"/>
  <c r="U432" i="2"/>
  <c r="V432" i="2" s="1"/>
  <c r="Z432" i="2" s="1"/>
  <c r="U424" i="2"/>
  <c r="V424" i="2" s="1"/>
  <c r="Z424" i="2" s="1"/>
  <c r="U416" i="2"/>
  <c r="V416" i="2" s="1"/>
  <c r="Z416" i="2" s="1"/>
  <c r="U408" i="2"/>
  <c r="V408" i="2" s="1"/>
  <c r="Z408" i="2" s="1"/>
  <c r="U400" i="2"/>
  <c r="V400" i="2" s="1"/>
  <c r="Z400" i="2" s="1"/>
  <c r="U392" i="2"/>
  <c r="V392" i="2" s="1"/>
  <c r="Z392" i="2" s="1"/>
  <c r="U384" i="2"/>
  <c r="V384" i="2" s="1"/>
  <c r="Z384" i="2" s="1"/>
  <c r="U376" i="2"/>
  <c r="V376" i="2" s="1"/>
  <c r="Z376" i="2" s="1"/>
  <c r="U368" i="2"/>
  <c r="V368" i="2" s="1"/>
  <c r="Z368" i="2" s="1"/>
  <c r="U360" i="2"/>
  <c r="V360" i="2" s="1"/>
  <c r="Z360" i="2" s="1"/>
  <c r="U352" i="2"/>
  <c r="V352" i="2" s="1"/>
  <c r="Z352" i="2" s="1"/>
  <c r="U344" i="2"/>
  <c r="V344" i="2" s="1"/>
  <c r="U336" i="2"/>
  <c r="V336" i="2" s="1"/>
  <c r="U328" i="2"/>
  <c r="V328" i="2" s="1"/>
  <c r="Z328" i="2" s="1"/>
  <c r="U320" i="2"/>
  <c r="V320" i="2" s="1"/>
  <c r="Z320" i="2" s="1"/>
  <c r="U312" i="2"/>
  <c r="V312" i="2" s="1"/>
  <c r="Z312" i="2" s="1"/>
  <c r="U304" i="2"/>
  <c r="V304" i="2" s="1"/>
  <c r="Z304" i="2" s="1"/>
  <c r="U296" i="2"/>
  <c r="V296" i="2" s="1"/>
  <c r="Z296" i="2" s="1"/>
  <c r="U288" i="2"/>
  <c r="V288" i="2" s="1"/>
  <c r="Z288" i="2" s="1"/>
  <c r="U280" i="2"/>
  <c r="V280" i="2" s="1"/>
  <c r="Z280" i="2" s="1"/>
  <c r="U272" i="2"/>
  <c r="V272" i="2" s="1"/>
  <c r="Z272" i="2" s="1"/>
  <c r="U264" i="2"/>
  <c r="V264" i="2" s="1"/>
  <c r="U256" i="2"/>
  <c r="V256" i="2" s="1"/>
  <c r="Z256" i="2" s="1"/>
  <c r="U248" i="2"/>
  <c r="V248" i="2" s="1"/>
  <c r="Z248" i="2" s="1"/>
  <c r="U240" i="2"/>
  <c r="V240" i="2" s="1"/>
  <c r="Z240" i="2" s="1"/>
  <c r="U232" i="2"/>
  <c r="V232" i="2" s="1"/>
  <c r="Z232" i="2" s="1"/>
  <c r="U224" i="2"/>
  <c r="V224" i="2" s="1"/>
  <c r="Z224" i="2" s="1"/>
  <c r="U216" i="2"/>
  <c r="V216" i="2" s="1"/>
  <c r="U208" i="2"/>
  <c r="V208" i="2" s="1"/>
  <c r="U200" i="2"/>
  <c r="V200" i="2" s="1"/>
  <c r="Z200" i="2" s="1"/>
  <c r="U192" i="2"/>
  <c r="V192" i="2" s="1"/>
  <c r="Z192" i="2" s="1"/>
  <c r="U184" i="2"/>
  <c r="V184" i="2" s="1"/>
  <c r="Z184" i="2" s="1"/>
  <c r="U176" i="2"/>
  <c r="V176" i="2" s="1"/>
  <c r="Z176" i="2" s="1"/>
  <c r="U168" i="2"/>
  <c r="V168" i="2" s="1"/>
  <c r="Z168" i="2" s="1"/>
  <c r="U160" i="2"/>
  <c r="V160" i="2" s="1"/>
  <c r="Z160" i="2" s="1"/>
  <c r="U152" i="2"/>
  <c r="V152" i="2" s="1"/>
  <c r="Z152" i="2" s="1"/>
  <c r="U144" i="2"/>
  <c r="V144" i="2" s="1"/>
  <c r="Z144" i="2" s="1"/>
  <c r="U136" i="2"/>
  <c r="V136" i="2" s="1"/>
  <c r="Z136" i="2" s="1"/>
  <c r="U128" i="2"/>
  <c r="V128" i="2" s="1"/>
  <c r="Z128" i="2" s="1"/>
  <c r="U120" i="2"/>
  <c r="V120" i="2" s="1"/>
  <c r="Z120" i="2" s="1"/>
  <c r="U112" i="2"/>
  <c r="V112" i="2" s="1"/>
  <c r="Z112" i="2" s="1"/>
  <c r="U104" i="2"/>
  <c r="V104" i="2" s="1"/>
  <c r="Z104" i="2" s="1"/>
  <c r="U96" i="2"/>
  <c r="V96" i="2" s="1"/>
  <c r="Z96" i="2" s="1"/>
  <c r="U88" i="2"/>
  <c r="V88" i="2" s="1"/>
  <c r="U80" i="2"/>
  <c r="V80" i="2" s="1"/>
  <c r="U72" i="2"/>
  <c r="V72" i="2" s="1"/>
  <c r="Z72" i="2" s="1"/>
  <c r="U64" i="2"/>
  <c r="V64" i="2" s="1"/>
  <c r="Z64" i="2" s="1"/>
  <c r="U56" i="2"/>
  <c r="V56" i="2" s="1"/>
  <c r="Z56" i="2" s="1"/>
  <c r="U48" i="2"/>
  <c r="V48" i="2" s="1"/>
  <c r="Z48" i="2" s="1"/>
  <c r="U40" i="2"/>
  <c r="V40" i="2" s="1"/>
  <c r="Z40" i="2" s="1"/>
  <c r="U32" i="2"/>
  <c r="V32" i="2" s="1"/>
  <c r="Z32" i="2" s="1"/>
  <c r="U24" i="2"/>
  <c r="V24" i="2" s="1"/>
  <c r="Z24" i="2" s="1"/>
  <c r="U16" i="2"/>
  <c r="V16" i="2" s="1"/>
  <c r="Z16" i="2" s="1"/>
  <c r="U8" i="2"/>
  <c r="V8" i="2" s="1"/>
  <c r="Z8" i="2" s="1"/>
  <c r="U1199" i="2"/>
  <c r="V1199" i="2" s="1"/>
  <c r="Z1199" i="2" s="1"/>
  <c r="U1191" i="2"/>
  <c r="V1191" i="2" s="1"/>
  <c r="Z1191" i="2" s="1"/>
  <c r="U1183" i="2"/>
  <c r="V1183" i="2" s="1"/>
  <c r="Z1183" i="2" s="1"/>
  <c r="U1175" i="2"/>
  <c r="V1175" i="2" s="1"/>
  <c r="Z1175" i="2" s="1"/>
  <c r="U1167" i="2"/>
  <c r="V1167" i="2" s="1"/>
  <c r="Z1167" i="2" s="1"/>
  <c r="U1159" i="2"/>
  <c r="V1159" i="2" s="1"/>
  <c r="Z1159" i="2" s="1"/>
  <c r="U1151" i="2"/>
  <c r="V1151" i="2" s="1"/>
  <c r="Z1151" i="2" s="1"/>
  <c r="U1143" i="2"/>
  <c r="V1143" i="2" s="1"/>
  <c r="Z1143" i="2" s="1"/>
  <c r="U1135" i="2"/>
  <c r="V1135" i="2" s="1"/>
  <c r="Z1135" i="2" s="1"/>
  <c r="U1127" i="2"/>
  <c r="V1127" i="2" s="1"/>
  <c r="Z1127" i="2" s="1"/>
  <c r="U1119" i="2"/>
  <c r="V1119" i="2" s="1"/>
  <c r="Z1119" i="2" s="1"/>
  <c r="U1111" i="2"/>
  <c r="V1111" i="2" s="1"/>
  <c r="Z1111" i="2" s="1"/>
  <c r="U1103" i="2"/>
  <c r="V1103" i="2" s="1"/>
  <c r="Z1103" i="2" s="1"/>
  <c r="U1095" i="2"/>
  <c r="V1095" i="2" s="1"/>
  <c r="Z1095" i="2" s="1"/>
  <c r="U1087" i="2"/>
  <c r="V1087" i="2" s="1"/>
  <c r="Z1087" i="2" s="1"/>
  <c r="U1079" i="2"/>
  <c r="V1079" i="2" s="1"/>
  <c r="Z1079" i="2" s="1"/>
  <c r="U1071" i="2"/>
  <c r="V1071" i="2" s="1"/>
  <c r="Z1071" i="2" s="1"/>
  <c r="U1063" i="2"/>
  <c r="V1063" i="2" s="1"/>
  <c r="Z1063" i="2" s="1"/>
  <c r="U1055" i="2"/>
  <c r="V1055" i="2" s="1"/>
  <c r="Z1055" i="2" s="1"/>
  <c r="U1047" i="2"/>
  <c r="V1047" i="2" s="1"/>
  <c r="Z1047" i="2" s="1"/>
  <c r="U1039" i="2"/>
  <c r="V1039" i="2" s="1"/>
  <c r="Z1039" i="2" s="1"/>
  <c r="U1031" i="2"/>
  <c r="V1031" i="2" s="1"/>
  <c r="Z1031" i="2" s="1"/>
  <c r="U1023" i="2"/>
  <c r="V1023" i="2" s="1"/>
  <c r="Z1023" i="2" s="1"/>
  <c r="U1015" i="2"/>
  <c r="V1015" i="2" s="1"/>
  <c r="Z1015" i="2" s="1"/>
  <c r="U1007" i="2"/>
  <c r="V1007" i="2" s="1"/>
  <c r="Z1007" i="2" s="1"/>
  <c r="U999" i="2"/>
  <c r="V999" i="2" s="1"/>
  <c r="Z999" i="2" s="1"/>
  <c r="U991" i="2"/>
  <c r="V991" i="2" s="1"/>
  <c r="Z991" i="2" s="1"/>
  <c r="U983" i="2"/>
  <c r="V983" i="2" s="1"/>
  <c r="Z983" i="2" s="1"/>
  <c r="U975" i="2"/>
  <c r="V975" i="2" s="1"/>
  <c r="Z975" i="2" s="1"/>
  <c r="U967" i="2"/>
  <c r="V967" i="2" s="1"/>
  <c r="Z967" i="2" s="1"/>
  <c r="U959" i="2"/>
  <c r="V959" i="2" s="1"/>
  <c r="Z959" i="2" s="1"/>
  <c r="U951" i="2"/>
  <c r="V951" i="2" s="1"/>
  <c r="Z951" i="2" s="1"/>
  <c r="U943" i="2"/>
  <c r="V943" i="2" s="1"/>
  <c r="Z943" i="2" s="1"/>
  <c r="U935" i="2"/>
  <c r="V935" i="2" s="1"/>
  <c r="Z935" i="2" s="1"/>
  <c r="U927" i="2"/>
  <c r="V927" i="2" s="1"/>
  <c r="Z927" i="2" s="1"/>
  <c r="U919" i="2"/>
  <c r="V919" i="2" s="1"/>
  <c r="Z919" i="2" s="1"/>
  <c r="U911" i="2"/>
  <c r="V911" i="2" s="1"/>
  <c r="Z911" i="2" s="1"/>
  <c r="U903" i="2"/>
  <c r="V903" i="2" s="1"/>
  <c r="Z903" i="2" s="1"/>
  <c r="U895" i="2"/>
  <c r="V895" i="2" s="1"/>
  <c r="Z895" i="2" s="1"/>
  <c r="U887" i="2"/>
  <c r="V887" i="2" s="1"/>
  <c r="Z887" i="2" s="1"/>
  <c r="U879" i="2"/>
  <c r="V879" i="2" s="1"/>
  <c r="Z879" i="2" s="1"/>
  <c r="U871" i="2"/>
  <c r="V871" i="2" s="1"/>
  <c r="Z871" i="2" s="1"/>
  <c r="U863" i="2"/>
  <c r="V863" i="2" s="1"/>
  <c r="Z863" i="2" s="1"/>
  <c r="U855" i="2"/>
  <c r="V855" i="2" s="1"/>
  <c r="Z855" i="2" s="1"/>
  <c r="U847" i="2"/>
  <c r="V847" i="2" s="1"/>
  <c r="Z847" i="2" s="1"/>
  <c r="U839" i="2"/>
  <c r="V839" i="2" s="1"/>
  <c r="Z839" i="2" s="1"/>
  <c r="U831" i="2"/>
  <c r="V831" i="2" s="1"/>
  <c r="Z831" i="2" s="1"/>
  <c r="U823" i="2"/>
  <c r="V823" i="2" s="1"/>
  <c r="Z823" i="2" s="1"/>
  <c r="U815" i="2"/>
  <c r="V815" i="2" s="1"/>
  <c r="Z815" i="2" s="1"/>
  <c r="U807" i="2"/>
  <c r="V807" i="2" s="1"/>
  <c r="Z807" i="2" s="1"/>
  <c r="U799" i="2"/>
  <c r="V799" i="2" s="1"/>
  <c r="Z799" i="2" s="1"/>
  <c r="U791" i="2"/>
  <c r="V791" i="2" s="1"/>
  <c r="Z791" i="2" s="1"/>
  <c r="U783" i="2"/>
  <c r="V783" i="2" s="1"/>
  <c r="Z783" i="2" s="1"/>
  <c r="U846" i="2"/>
  <c r="V846" i="2" s="1"/>
  <c r="Z846" i="2" s="1"/>
  <c r="U838" i="2"/>
  <c r="V838" i="2" s="1"/>
  <c r="Z838" i="2" s="1"/>
  <c r="U830" i="2"/>
  <c r="V830" i="2" s="1"/>
  <c r="Z830" i="2" s="1"/>
  <c r="U822" i="2"/>
  <c r="V822" i="2" s="1"/>
  <c r="Z822" i="2" s="1"/>
  <c r="U814" i="2"/>
  <c r="V814" i="2" s="1"/>
  <c r="Z814" i="2" s="1"/>
  <c r="U806" i="2"/>
  <c r="V806" i="2" s="1"/>
  <c r="Z806" i="2" s="1"/>
  <c r="U798" i="2"/>
  <c r="V798" i="2" s="1"/>
  <c r="Z798" i="2" s="1"/>
  <c r="U790" i="2"/>
  <c r="V790" i="2" s="1"/>
  <c r="Z790" i="2" s="1"/>
  <c r="U782" i="2"/>
  <c r="V782" i="2" s="1"/>
  <c r="Z782" i="2" s="1"/>
  <c r="U774" i="2"/>
  <c r="V774" i="2" s="1"/>
  <c r="Z774" i="2" s="1"/>
  <c r="U766" i="2"/>
  <c r="V766" i="2" s="1"/>
  <c r="Z766" i="2" s="1"/>
  <c r="U758" i="2"/>
  <c r="V758" i="2" s="1"/>
  <c r="Z758" i="2" s="1"/>
  <c r="U750" i="2"/>
  <c r="V750" i="2" s="1"/>
  <c r="Z750" i="2" s="1"/>
  <c r="U742" i="2"/>
  <c r="V742" i="2" s="1"/>
  <c r="Z742" i="2" s="1"/>
  <c r="U734" i="2"/>
  <c r="V734" i="2" s="1"/>
  <c r="Z734" i="2" s="1"/>
  <c r="U726" i="2"/>
  <c r="V726" i="2" s="1"/>
  <c r="Z726" i="2" s="1"/>
  <c r="U718" i="2"/>
  <c r="V718" i="2" s="1"/>
  <c r="Z718" i="2" s="1"/>
  <c r="U710" i="2"/>
  <c r="V710" i="2" s="1"/>
  <c r="Z710" i="2" s="1"/>
  <c r="U702" i="2"/>
  <c r="V702" i="2" s="1"/>
  <c r="Z702" i="2" s="1"/>
  <c r="U694" i="2"/>
  <c r="V694" i="2" s="1"/>
  <c r="Z694" i="2" s="1"/>
  <c r="U686" i="2"/>
  <c r="V686" i="2" s="1"/>
  <c r="Z686" i="2" s="1"/>
  <c r="U678" i="2"/>
  <c r="V678" i="2" s="1"/>
  <c r="Z678" i="2" s="1"/>
  <c r="U670" i="2"/>
  <c r="V670" i="2" s="1"/>
  <c r="Z670" i="2" s="1"/>
  <c r="U662" i="2"/>
  <c r="V662" i="2" s="1"/>
  <c r="Z662" i="2" s="1"/>
  <c r="U654" i="2"/>
  <c r="V654" i="2" s="1"/>
  <c r="Z654" i="2" s="1"/>
  <c r="U646" i="2"/>
  <c r="V646" i="2" s="1"/>
  <c r="Z646" i="2" s="1"/>
  <c r="U638" i="2"/>
  <c r="V638" i="2" s="1"/>
  <c r="Z638" i="2" s="1"/>
  <c r="U630" i="2"/>
  <c r="V630" i="2" s="1"/>
  <c r="Z630" i="2" s="1"/>
  <c r="U622" i="2"/>
  <c r="V622" i="2" s="1"/>
  <c r="Z622" i="2" s="1"/>
  <c r="U614" i="2"/>
  <c r="V614" i="2" s="1"/>
  <c r="Z614" i="2" s="1"/>
  <c r="U606" i="2"/>
  <c r="V606" i="2" s="1"/>
  <c r="Z606" i="2" s="1"/>
  <c r="U598" i="2"/>
  <c r="V598" i="2" s="1"/>
  <c r="Z598" i="2" s="1"/>
  <c r="U590" i="2"/>
  <c r="V590" i="2" s="1"/>
  <c r="Z590" i="2" s="1"/>
  <c r="U582" i="2"/>
  <c r="V582" i="2" s="1"/>
  <c r="Z582" i="2" s="1"/>
  <c r="U574" i="2"/>
  <c r="V574" i="2" s="1"/>
  <c r="Z574" i="2" s="1"/>
  <c r="U566" i="2"/>
  <c r="V566" i="2" s="1"/>
  <c r="Z566" i="2" s="1"/>
  <c r="U558" i="2"/>
  <c r="V558" i="2" s="1"/>
  <c r="Z558" i="2" s="1"/>
  <c r="U550" i="2"/>
  <c r="V550" i="2" s="1"/>
  <c r="Z550" i="2" s="1"/>
  <c r="U542" i="2"/>
  <c r="V542" i="2" s="1"/>
  <c r="Z542" i="2" s="1"/>
  <c r="U534" i="2"/>
  <c r="V534" i="2" s="1"/>
  <c r="Z534" i="2" s="1"/>
  <c r="U526" i="2"/>
  <c r="V526" i="2" s="1"/>
  <c r="Z526" i="2" s="1"/>
  <c r="U518" i="2"/>
  <c r="V518" i="2" s="1"/>
  <c r="Z518" i="2" s="1"/>
  <c r="U510" i="2"/>
  <c r="V510" i="2" s="1"/>
  <c r="Z510" i="2" s="1"/>
  <c r="U502" i="2"/>
  <c r="V502" i="2" s="1"/>
  <c r="Z502" i="2" s="1"/>
  <c r="U494" i="2"/>
  <c r="V494" i="2" s="1"/>
  <c r="Z494" i="2" s="1"/>
  <c r="U486" i="2"/>
  <c r="V486" i="2" s="1"/>
  <c r="Z486" i="2" s="1"/>
  <c r="U478" i="2"/>
  <c r="V478" i="2" s="1"/>
  <c r="Z478" i="2" s="1"/>
  <c r="U470" i="2"/>
  <c r="V470" i="2" s="1"/>
  <c r="Z470" i="2" s="1"/>
  <c r="U462" i="2"/>
  <c r="V462" i="2" s="1"/>
  <c r="Z462" i="2" s="1"/>
  <c r="U454" i="2"/>
  <c r="V454" i="2" s="1"/>
  <c r="Z454" i="2" s="1"/>
  <c r="U446" i="2"/>
  <c r="V446" i="2" s="1"/>
  <c r="Z446" i="2" s="1"/>
  <c r="U438" i="2"/>
  <c r="V438" i="2" s="1"/>
  <c r="Z438" i="2" s="1"/>
  <c r="U430" i="2"/>
  <c r="V430" i="2" s="1"/>
  <c r="Z430" i="2" s="1"/>
  <c r="U422" i="2"/>
  <c r="V422" i="2" s="1"/>
  <c r="Z422" i="2" s="1"/>
  <c r="U414" i="2"/>
  <c r="V414" i="2" s="1"/>
  <c r="Z414" i="2" s="1"/>
  <c r="U406" i="2"/>
  <c r="V406" i="2" s="1"/>
  <c r="Z406" i="2" s="1"/>
  <c r="U398" i="2"/>
  <c r="V398" i="2" s="1"/>
  <c r="Z398" i="2" s="1"/>
  <c r="U390" i="2"/>
  <c r="V390" i="2" s="1"/>
  <c r="Z390" i="2" s="1"/>
  <c r="U382" i="2"/>
  <c r="V382" i="2" s="1"/>
  <c r="Z382" i="2" s="1"/>
  <c r="U374" i="2"/>
  <c r="V374" i="2" s="1"/>
  <c r="Z374" i="2" s="1"/>
  <c r="U366" i="2"/>
  <c r="V366" i="2" s="1"/>
  <c r="Z366" i="2" s="1"/>
  <c r="U358" i="2"/>
  <c r="V358" i="2" s="1"/>
  <c r="Z358" i="2" s="1"/>
  <c r="U350" i="2"/>
  <c r="V350" i="2" s="1"/>
  <c r="Z350" i="2" s="1"/>
  <c r="U342" i="2"/>
  <c r="V342" i="2" s="1"/>
  <c r="Z342" i="2" s="1"/>
  <c r="U334" i="2"/>
  <c r="V334" i="2" s="1"/>
  <c r="Z334" i="2" s="1"/>
  <c r="U326" i="2"/>
  <c r="V326" i="2" s="1"/>
  <c r="Z326" i="2" s="1"/>
  <c r="U318" i="2"/>
  <c r="V318" i="2" s="1"/>
  <c r="Z318" i="2" s="1"/>
  <c r="U310" i="2"/>
  <c r="V310" i="2" s="1"/>
  <c r="Z310" i="2" s="1"/>
  <c r="U302" i="2"/>
  <c r="V302" i="2" s="1"/>
  <c r="Z302" i="2" s="1"/>
  <c r="U294" i="2"/>
  <c r="V294" i="2" s="1"/>
  <c r="Z294" i="2" s="1"/>
  <c r="U286" i="2"/>
  <c r="V286" i="2" s="1"/>
  <c r="Z286" i="2" s="1"/>
  <c r="U278" i="2"/>
  <c r="V278" i="2" s="1"/>
  <c r="Z278" i="2" s="1"/>
  <c r="U270" i="2"/>
  <c r="V270" i="2" s="1"/>
  <c r="Z270" i="2" s="1"/>
  <c r="U262" i="2"/>
  <c r="V262" i="2" s="1"/>
  <c r="Z262" i="2" s="1"/>
  <c r="U254" i="2"/>
  <c r="V254" i="2" s="1"/>
  <c r="Z254" i="2" s="1"/>
  <c r="U246" i="2"/>
  <c r="V246" i="2" s="1"/>
  <c r="Z246" i="2" s="1"/>
  <c r="U238" i="2"/>
  <c r="V238" i="2" s="1"/>
  <c r="Z238" i="2" s="1"/>
  <c r="U230" i="2"/>
  <c r="V230" i="2" s="1"/>
  <c r="Z230" i="2" s="1"/>
  <c r="U222" i="2"/>
  <c r="V222" i="2" s="1"/>
  <c r="Z222" i="2" s="1"/>
  <c r="U214" i="2"/>
  <c r="V214" i="2" s="1"/>
  <c r="Z214" i="2" s="1"/>
  <c r="U206" i="2"/>
  <c r="V206" i="2" s="1"/>
  <c r="Z206" i="2" s="1"/>
  <c r="U198" i="2"/>
  <c r="V198" i="2" s="1"/>
  <c r="Z198" i="2" s="1"/>
  <c r="U190" i="2"/>
  <c r="V190" i="2" s="1"/>
  <c r="Z190" i="2" s="1"/>
  <c r="U182" i="2"/>
  <c r="V182" i="2" s="1"/>
  <c r="Z182" i="2" s="1"/>
  <c r="U174" i="2"/>
  <c r="V174" i="2" s="1"/>
  <c r="Z174" i="2" s="1"/>
  <c r="U869" i="2"/>
  <c r="V869" i="2" s="1"/>
  <c r="Z869" i="2" s="1"/>
  <c r="U861" i="2"/>
  <c r="V861" i="2" s="1"/>
  <c r="Z861" i="2" s="1"/>
  <c r="U853" i="2"/>
  <c r="V853" i="2" s="1"/>
  <c r="Z853" i="2" s="1"/>
  <c r="U845" i="2"/>
  <c r="V845" i="2" s="1"/>
  <c r="Z845" i="2" s="1"/>
  <c r="U837" i="2"/>
  <c r="V837" i="2" s="1"/>
  <c r="Z837" i="2" s="1"/>
  <c r="U829" i="2"/>
  <c r="V829" i="2" s="1"/>
  <c r="Z829" i="2" s="1"/>
  <c r="U821" i="2"/>
  <c r="V821" i="2" s="1"/>
  <c r="Z821" i="2" s="1"/>
  <c r="U813" i="2"/>
  <c r="V813" i="2" s="1"/>
  <c r="Z813" i="2" s="1"/>
  <c r="U805" i="2"/>
  <c r="V805" i="2" s="1"/>
  <c r="Z805" i="2" s="1"/>
  <c r="U797" i="2"/>
  <c r="V797" i="2" s="1"/>
  <c r="Z797" i="2" s="1"/>
  <c r="U789" i="2"/>
  <c r="V789" i="2" s="1"/>
  <c r="Z789" i="2" s="1"/>
  <c r="U781" i="2"/>
  <c r="V781" i="2" s="1"/>
  <c r="Z781" i="2" s="1"/>
  <c r="U773" i="2"/>
  <c r="V773" i="2" s="1"/>
  <c r="Z773" i="2" s="1"/>
  <c r="U765" i="2"/>
  <c r="V765" i="2" s="1"/>
  <c r="Z765" i="2" s="1"/>
  <c r="U757" i="2"/>
  <c r="V757" i="2" s="1"/>
  <c r="Z757" i="2" s="1"/>
  <c r="U749" i="2"/>
  <c r="V749" i="2" s="1"/>
  <c r="Z749" i="2" s="1"/>
  <c r="U741" i="2"/>
  <c r="V741" i="2" s="1"/>
  <c r="Z741" i="2" s="1"/>
  <c r="U733" i="2"/>
  <c r="V733" i="2" s="1"/>
  <c r="Z733" i="2" s="1"/>
  <c r="U725" i="2"/>
  <c r="V725" i="2" s="1"/>
  <c r="Z725" i="2" s="1"/>
  <c r="U717" i="2"/>
  <c r="V717" i="2" s="1"/>
  <c r="Z717" i="2" s="1"/>
  <c r="U709" i="2"/>
  <c r="V709" i="2" s="1"/>
  <c r="U701" i="2"/>
  <c r="V701" i="2" s="1"/>
  <c r="Z701" i="2" s="1"/>
  <c r="U693" i="2"/>
  <c r="V693" i="2" s="1"/>
  <c r="Z693" i="2" s="1"/>
  <c r="U685" i="2"/>
  <c r="V685" i="2" s="1"/>
  <c r="Z685" i="2" s="1"/>
  <c r="U677" i="2"/>
  <c r="V677" i="2" s="1"/>
  <c r="Z677" i="2" s="1"/>
  <c r="U669" i="2"/>
  <c r="V669" i="2" s="1"/>
  <c r="Z669" i="2" s="1"/>
  <c r="U661" i="2"/>
  <c r="V661" i="2" s="1"/>
  <c r="Z661" i="2" s="1"/>
  <c r="U653" i="2"/>
  <c r="V653" i="2" s="1"/>
  <c r="Z653" i="2" s="1"/>
  <c r="U645" i="2"/>
  <c r="V645" i="2" s="1"/>
  <c r="U637" i="2"/>
  <c r="V637" i="2" s="1"/>
  <c r="Z637" i="2" s="1"/>
  <c r="U629" i="2"/>
  <c r="V629" i="2" s="1"/>
  <c r="Z629" i="2" s="1"/>
  <c r="U621" i="2"/>
  <c r="V621" i="2" s="1"/>
  <c r="Z621" i="2" s="1"/>
  <c r="U613" i="2"/>
  <c r="V613" i="2" s="1"/>
  <c r="Z613" i="2" s="1"/>
  <c r="U605" i="2"/>
  <c r="V605" i="2" s="1"/>
  <c r="Z605" i="2" s="1"/>
  <c r="U597" i="2"/>
  <c r="V597" i="2" s="1"/>
  <c r="Z597" i="2" s="1"/>
  <c r="U589" i="2"/>
  <c r="V589" i="2" s="1"/>
  <c r="Z589" i="2" s="1"/>
  <c r="U581" i="2"/>
  <c r="V581" i="2" s="1"/>
  <c r="U573" i="2"/>
  <c r="V573" i="2" s="1"/>
  <c r="U565" i="2"/>
  <c r="V565" i="2" s="1"/>
  <c r="Z565" i="2" s="1"/>
  <c r="U557" i="2"/>
  <c r="V557" i="2" s="1"/>
  <c r="Z557" i="2" s="1"/>
  <c r="U549" i="2"/>
  <c r="V549" i="2" s="1"/>
  <c r="Z549" i="2" s="1"/>
  <c r="U541" i="2"/>
  <c r="V541" i="2" s="1"/>
  <c r="Z541" i="2" s="1"/>
  <c r="U533" i="2"/>
  <c r="V533" i="2" s="1"/>
  <c r="Z533" i="2" s="1"/>
  <c r="U525" i="2"/>
  <c r="V525" i="2" s="1"/>
  <c r="Z525" i="2" s="1"/>
  <c r="U517" i="2"/>
  <c r="V517" i="2" s="1"/>
  <c r="Z517" i="2" s="1"/>
  <c r="U509" i="2"/>
  <c r="V509" i="2" s="1"/>
  <c r="Z509" i="2" s="1"/>
  <c r="U501" i="2"/>
  <c r="V501" i="2" s="1"/>
  <c r="Z501" i="2" s="1"/>
  <c r="U493" i="2"/>
  <c r="V493" i="2" s="1"/>
  <c r="Z493" i="2" s="1"/>
  <c r="U485" i="2"/>
  <c r="V485" i="2" s="1"/>
  <c r="Z485" i="2" s="1"/>
  <c r="U477" i="2"/>
  <c r="V477" i="2" s="1"/>
  <c r="Z477" i="2" s="1"/>
  <c r="U469" i="2"/>
  <c r="V469" i="2" s="1"/>
  <c r="Z469" i="2" s="1"/>
  <c r="U461" i="2"/>
  <c r="V461" i="2" s="1"/>
  <c r="Z461" i="2" s="1"/>
  <c r="U453" i="2"/>
  <c r="V453" i="2" s="1"/>
  <c r="Z453" i="2" s="1"/>
  <c r="U445" i="2"/>
  <c r="V445" i="2" s="1"/>
  <c r="Z445" i="2" s="1"/>
  <c r="U437" i="2"/>
  <c r="V437" i="2" s="1"/>
  <c r="Z437" i="2" s="1"/>
  <c r="U429" i="2"/>
  <c r="V429" i="2" s="1"/>
  <c r="Z429" i="2" s="1"/>
  <c r="U421" i="2"/>
  <c r="V421" i="2" s="1"/>
  <c r="Z421" i="2" s="1"/>
  <c r="U413" i="2"/>
  <c r="V413" i="2" s="1"/>
  <c r="Z413" i="2" s="1"/>
  <c r="U405" i="2"/>
  <c r="V405" i="2" s="1"/>
  <c r="Z405" i="2" s="1"/>
  <c r="U397" i="2"/>
  <c r="V397" i="2" s="1"/>
  <c r="Z397" i="2" s="1"/>
  <c r="U389" i="2"/>
  <c r="V389" i="2" s="1"/>
  <c r="U381" i="2"/>
  <c r="V381" i="2" s="1"/>
  <c r="Z381" i="2" s="1"/>
  <c r="U373" i="2"/>
  <c r="V373" i="2" s="1"/>
  <c r="Z373" i="2" s="1"/>
  <c r="U365" i="2"/>
  <c r="V365" i="2" s="1"/>
  <c r="Z365" i="2" s="1"/>
  <c r="U357" i="2"/>
  <c r="V357" i="2" s="1"/>
  <c r="Z357" i="2" s="1"/>
  <c r="U349" i="2"/>
  <c r="V349" i="2" s="1"/>
  <c r="Z349" i="2" s="1"/>
  <c r="U341" i="2"/>
  <c r="V341" i="2" s="1"/>
  <c r="Z341" i="2" s="1"/>
  <c r="U333" i="2"/>
  <c r="V333" i="2" s="1"/>
  <c r="Z333" i="2" s="1"/>
  <c r="U325" i="2"/>
  <c r="V325" i="2" s="1"/>
  <c r="U317" i="2"/>
  <c r="V317" i="2" s="1"/>
  <c r="Z317" i="2" s="1"/>
  <c r="U309" i="2"/>
  <c r="V309" i="2" s="1"/>
  <c r="Z309" i="2" s="1"/>
  <c r="U301" i="2"/>
  <c r="V301" i="2" s="1"/>
  <c r="Z301" i="2" s="1"/>
  <c r="U293" i="2"/>
  <c r="V293" i="2" s="1"/>
  <c r="Z293" i="2" s="1"/>
  <c r="U285" i="2"/>
  <c r="V285" i="2" s="1"/>
  <c r="Z285" i="2" s="1"/>
  <c r="U277" i="2"/>
  <c r="V277" i="2" s="1"/>
  <c r="Z277" i="2" s="1"/>
  <c r="U269" i="2"/>
  <c r="V269" i="2" s="1"/>
  <c r="Z269" i="2" s="1"/>
  <c r="U261" i="2"/>
  <c r="V261" i="2" s="1"/>
  <c r="U253" i="2"/>
  <c r="V253" i="2" s="1"/>
  <c r="Z253" i="2" s="1"/>
  <c r="U245" i="2"/>
  <c r="V245" i="2" s="1"/>
  <c r="Z245" i="2" s="1"/>
  <c r="U237" i="2"/>
  <c r="V237" i="2" s="1"/>
  <c r="U229" i="2"/>
  <c r="V229" i="2" s="1"/>
  <c r="Z229" i="2" s="1"/>
  <c r="U1201" i="2"/>
  <c r="V1201" i="2" s="1"/>
  <c r="Z1201" i="2" s="1"/>
  <c r="U1193" i="2"/>
  <c r="V1193" i="2" s="1"/>
  <c r="Z1193" i="2" s="1"/>
  <c r="U1185" i="2"/>
  <c r="V1185" i="2" s="1"/>
  <c r="Z1185" i="2" s="1"/>
  <c r="U1177" i="2"/>
  <c r="V1177" i="2" s="1"/>
  <c r="Z1177" i="2" s="1"/>
  <c r="U1169" i="2"/>
  <c r="V1169" i="2" s="1"/>
  <c r="Z1169" i="2" s="1"/>
  <c r="U1161" i="2"/>
  <c r="V1161" i="2" s="1"/>
  <c r="Z1161" i="2" s="1"/>
  <c r="U1153" i="2"/>
  <c r="V1153" i="2" s="1"/>
  <c r="Z1153" i="2" s="1"/>
  <c r="U1145" i="2"/>
  <c r="V1145" i="2" s="1"/>
  <c r="Z1145" i="2" s="1"/>
  <c r="U1137" i="2"/>
  <c r="V1137" i="2" s="1"/>
  <c r="Z1137" i="2" s="1"/>
  <c r="U1129" i="2"/>
  <c r="V1129" i="2" s="1"/>
  <c r="Z1129" i="2" s="1"/>
  <c r="U1121" i="2"/>
  <c r="V1121" i="2" s="1"/>
  <c r="Z1121" i="2" s="1"/>
  <c r="U1113" i="2"/>
  <c r="V1113" i="2" s="1"/>
  <c r="Z1113" i="2" s="1"/>
  <c r="U1105" i="2"/>
  <c r="V1105" i="2" s="1"/>
  <c r="Z1105" i="2" s="1"/>
  <c r="U1097" i="2"/>
  <c r="V1097" i="2" s="1"/>
  <c r="Z1097" i="2" s="1"/>
  <c r="U1089" i="2"/>
  <c r="V1089" i="2" s="1"/>
  <c r="Z1089" i="2" s="1"/>
  <c r="U1081" i="2"/>
  <c r="V1081" i="2" s="1"/>
  <c r="Z1081" i="2" s="1"/>
  <c r="U1073" i="2"/>
  <c r="V1073" i="2" s="1"/>
  <c r="Z1073" i="2" s="1"/>
  <c r="U1065" i="2"/>
  <c r="V1065" i="2" s="1"/>
  <c r="Z1065" i="2" s="1"/>
  <c r="U1057" i="2"/>
  <c r="V1057" i="2" s="1"/>
  <c r="Z1057" i="2" s="1"/>
  <c r="U1049" i="2"/>
  <c r="V1049" i="2" s="1"/>
  <c r="Z1049" i="2" s="1"/>
  <c r="U1041" i="2"/>
  <c r="V1041" i="2" s="1"/>
  <c r="Z1041" i="2" s="1"/>
  <c r="U1033" i="2"/>
  <c r="V1033" i="2" s="1"/>
  <c r="Z1033" i="2" s="1"/>
  <c r="U1025" i="2"/>
  <c r="V1025" i="2" s="1"/>
  <c r="Z1025" i="2" s="1"/>
  <c r="U1017" i="2"/>
  <c r="V1017" i="2" s="1"/>
  <c r="Z1017" i="2" s="1"/>
  <c r="U1009" i="2"/>
  <c r="V1009" i="2" s="1"/>
  <c r="Z1009" i="2" s="1"/>
  <c r="U1001" i="2"/>
  <c r="V1001" i="2" s="1"/>
  <c r="Z1001" i="2" s="1"/>
  <c r="U993" i="2"/>
  <c r="V993" i="2" s="1"/>
  <c r="Z993" i="2" s="1"/>
  <c r="U985" i="2"/>
  <c r="V985" i="2" s="1"/>
  <c r="Z985" i="2" s="1"/>
  <c r="U977" i="2"/>
  <c r="V977" i="2" s="1"/>
  <c r="Z977" i="2" s="1"/>
  <c r="U969" i="2"/>
  <c r="V969" i="2" s="1"/>
  <c r="Z969" i="2" s="1"/>
  <c r="U961" i="2"/>
  <c r="V961" i="2" s="1"/>
  <c r="Z961" i="2" s="1"/>
  <c r="U953" i="2"/>
  <c r="V953" i="2" s="1"/>
  <c r="Z953" i="2" s="1"/>
  <c r="U945" i="2"/>
  <c r="V945" i="2" s="1"/>
  <c r="Z945" i="2" s="1"/>
  <c r="U937" i="2"/>
  <c r="V937" i="2" s="1"/>
  <c r="Z937" i="2" s="1"/>
  <c r="U929" i="2"/>
  <c r="V929" i="2" s="1"/>
  <c r="Z929" i="2" s="1"/>
  <c r="U921" i="2"/>
  <c r="V921" i="2" s="1"/>
  <c r="Z921" i="2" s="1"/>
  <c r="U913" i="2"/>
  <c r="V913" i="2" s="1"/>
  <c r="Z913" i="2" s="1"/>
  <c r="U905" i="2"/>
  <c r="V905" i="2" s="1"/>
  <c r="Z905" i="2" s="1"/>
  <c r="U897" i="2"/>
  <c r="V897" i="2" s="1"/>
  <c r="Z897" i="2" s="1"/>
  <c r="U889" i="2"/>
  <c r="V889" i="2" s="1"/>
  <c r="Z889" i="2" s="1"/>
  <c r="U881" i="2"/>
  <c r="V881" i="2" s="1"/>
  <c r="Z881" i="2" s="1"/>
  <c r="U873" i="2"/>
  <c r="V873" i="2" s="1"/>
  <c r="Z873" i="2" s="1"/>
  <c r="U865" i="2"/>
  <c r="V865" i="2" s="1"/>
  <c r="Z865" i="2" s="1"/>
  <c r="U857" i="2"/>
  <c r="V857" i="2" s="1"/>
  <c r="Z857" i="2" s="1"/>
  <c r="U849" i="2"/>
  <c r="V849" i="2" s="1"/>
  <c r="Z849" i="2" s="1"/>
  <c r="U841" i="2"/>
  <c r="V841" i="2" s="1"/>
  <c r="Z841" i="2" s="1"/>
  <c r="U833" i="2"/>
  <c r="V833" i="2" s="1"/>
  <c r="Z833" i="2" s="1"/>
  <c r="U825" i="2"/>
  <c r="V825" i="2" s="1"/>
  <c r="Z825" i="2" s="1"/>
  <c r="U817" i="2"/>
  <c r="V817" i="2" s="1"/>
  <c r="Z817" i="2" s="1"/>
  <c r="U809" i="2"/>
  <c r="V809" i="2" s="1"/>
  <c r="Z809" i="2" s="1"/>
  <c r="U801" i="2"/>
  <c r="V801" i="2" s="1"/>
  <c r="Z801" i="2" s="1"/>
  <c r="U793" i="2"/>
  <c r="V793" i="2" s="1"/>
  <c r="Z793" i="2" s="1"/>
  <c r="U785" i="2"/>
  <c r="V785" i="2" s="1"/>
  <c r="Z785" i="2" s="1"/>
  <c r="U777" i="2"/>
  <c r="V777" i="2" s="1"/>
  <c r="Z777" i="2" s="1"/>
  <c r="U769" i="2"/>
  <c r="V769" i="2" s="1"/>
  <c r="Z769" i="2" s="1"/>
  <c r="U761" i="2"/>
  <c r="V761" i="2" s="1"/>
  <c r="Z761" i="2" s="1"/>
  <c r="U753" i="2"/>
  <c r="V753" i="2" s="1"/>
  <c r="Z753" i="2" s="1"/>
  <c r="U745" i="2"/>
  <c r="V745" i="2" s="1"/>
  <c r="Z745" i="2" s="1"/>
  <c r="U737" i="2"/>
  <c r="V737" i="2" s="1"/>
  <c r="Z737" i="2" s="1"/>
  <c r="U729" i="2"/>
  <c r="V729" i="2" s="1"/>
  <c r="Z729" i="2" s="1"/>
  <c r="U721" i="2"/>
  <c r="V721" i="2" s="1"/>
  <c r="Z721" i="2" s="1"/>
  <c r="U713" i="2"/>
  <c r="V713" i="2" s="1"/>
  <c r="Z713" i="2" s="1"/>
  <c r="U705" i="2"/>
  <c r="V705" i="2" s="1"/>
  <c r="Z705" i="2" s="1"/>
  <c r="U697" i="2"/>
  <c r="V697" i="2" s="1"/>
  <c r="Z697" i="2" s="1"/>
  <c r="U689" i="2"/>
  <c r="V689" i="2" s="1"/>
  <c r="Z689" i="2" s="1"/>
  <c r="U681" i="2"/>
  <c r="V681" i="2" s="1"/>
  <c r="Z681" i="2" s="1"/>
  <c r="U673" i="2"/>
  <c r="V673" i="2" s="1"/>
  <c r="Z673" i="2" s="1"/>
  <c r="U665" i="2"/>
  <c r="V665" i="2" s="1"/>
  <c r="Z665" i="2" s="1"/>
  <c r="U657" i="2"/>
  <c r="V657" i="2" s="1"/>
  <c r="Z657" i="2" s="1"/>
  <c r="U649" i="2"/>
  <c r="V649" i="2" s="1"/>
  <c r="Z649" i="2" s="1"/>
  <c r="U641" i="2"/>
  <c r="V641" i="2" s="1"/>
  <c r="Z641" i="2" s="1"/>
  <c r="U633" i="2"/>
  <c r="V633" i="2" s="1"/>
  <c r="Z633" i="2" s="1"/>
  <c r="U625" i="2"/>
  <c r="V625" i="2" s="1"/>
  <c r="Z625" i="2" s="1"/>
  <c r="U617" i="2"/>
  <c r="V617" i="2" s="1"/>
  <c r="Z617" i="2" s="1"/>
  <c r="U609" i="2"/>
  <c r="V609" i="2" s="1"/>
  <c r="Z609" i="2" s="1"/>
  <c r="U601" i="2"/>
  <c r="V601" i="2" s="1"/>
  <c r="U593" i="2"/>
  <c r="V593" i="2" s="1"/>
  <c r="U585" i="2"/>
  <c r="V585" i="2" s="1"/>
  <c r="Z585" i="2" s="1"/>
  <c r="U577" i="2"/>
  <c r="V577" i="2" s="1"/>
  <c r="Z577" i="2" s="1"/>
  <c r="U569" i="2"/>
  <c r="V569" i="2" s="1"/>
  <c r="Z569" i="2" s="1"/>
  <c r="U561" i="2"/>
  <c r="V561" i="2" s="1"/>
  <c r="Z561" i="2" s="1"/>
  <c r="U553" i="2"/>
  <c r="V553" i="2" s="1"/>
  <c r="Z553" i="2" s="1"/>
  <c r="U545" i="2"/>
  <c r="V545" i="2" s="1"/>
  <c r="Z545" i="2" s="1"/>
  <c r="U537" i="2"/>
  <c r="V537" i="2" s="1"/>
  <c r="Z537" i="2" s="1"/>
  <c r="U529" i="2"/>
  <c r="V529" i="2" s="1"/>
  <c r="Z529" i="2" s="1"/>
  <c r="U521" i="2"/>
  <c r="V521" i="2" s="1"/>
  <c r="Z521" i="2" s="1"/>
  <c r="U513" i="2"/>
  <c r="V513" i="2" s="1"/>
  <c r="Z513" i="2" s="1"/>
  <c r="U505" i="2"/>
  <c r="V505" i="2" s="1"/>
  <c r="Z505" i="2" s="1"/>
  <c r="U497" i="2"/>
  <c r="V497" i="2" s="1"/>
  <c r="Z497" i="2" s="1"/>
  <c r="U489" i="2"/>
  <c r="V489" i="2" s="1"/>
  <c r="Z489" i="2" s="1"/>
  <c r="U481" i="2"/>
  <c r="V481" i="2" s="1"/>
  <c r="Z481" i="2" s="1"/>
  <c r="U473" i="2"/>
  <c r="V473" i="2" s="1"/>
  <c r="U465" i="2"/>
  <c r="V465" i="2" s="1"/>
  <c r="Z465" i="2" s="1"/>
  <c r="U457" i="2"/>
  <c r="V457" i="2" s="1"/>
  <c r="Z457" i="2" s="1"/>
  <c r="U449" i="2"/>
  <c r="V449" i="2" s="1"/>
  <c r="Z449" i="2" s="1"/>
  <c r="U441" i="2"/>
  <c r="V441" i="2" s="1"/>
  <c r="Z441" i="2" s="1"/>
  <c r="U433" i="2"/>
  <c r="V433" i="2" s="1"/>
  <c r="Z433" i="2" s="1"/>
  <c r="U425" i="2"/>
  <c r="V425" i="2" s="1"/>
  <c r="Z425" i="2" s="1"/>
  <c r="U417" i="2"/>
  <c r="V417" i="2" s="1"/>
  <c r="Z417" i="2" s="1"/>
  <c r="U409" i="2"/>
  <c r="V409" i="2" s="1"/>
  <c r="U401" i="2"/>
  <c r="V401" i="2" s="1"/>
  <c r="Z401" i="2" s="1"/>
  <c r="U393" i="2"/>
  <c r="V393" i="2" s="1"/>
  <c r="Z393" i="2" s="1"/>
  <c r="U385" i="2"/>
  <c r="V385" i="2" s="1"/>
  <c r="Z385" i="2" s="1"/>
  <c r="U377" i="2"/>
  <c r="V377" i="2" s="1"/>
  <c r="Z377" i="2" s="1"/>
  <c r="U369" i="2"/>
  <c r="V369" i="2" s="1"/>
  <c r="Z369" i="2" s="1"/>
  <c r="U361" i="2"/>
  <c r="V361" i="2" s="1"/>
  <c r="Z361" i="2" s="1"/>
  <c r="U353" i="2"/>
  <c r="V353" i="2" s="1"/>
  <c r="Z353" i="2" s="1"/>
  <c r="U345" i="2"/>
  <c r="V345" i="2" s="1"/>
  <c r="Z345" i="2" s="1"/>
  <c r="U337" i="2"/>
  <c r="V337" i="2" s="1"/>
  <c r="Z337" i="2" s="1"/>
  <c r="U329" i="2"/>
  <c r="V329" i="2" s="1"/>
  <c r="Z329" i="2" s="1"/>
  <c r="U321" i="2"/>
  <c r="V321" i="2" s="1"/>
  <c r="Z321" i="2" s="1"/>
  <c r="U313" i="2"/>
  <c r="V313" i="2" s="1"/>
  <c r="Z313" i="2" s="1"/>
  <c r="U305" i="2"/>
  <c r="V305" i="2" s="1"/>
  <c r="Z305" i="2" s="1"/>
  <c r="U297" i="2"/>
  <c r="V297" i="2" s="1"/>
  <c r="Z297" i="2" s="1"/>
  <c r="U289" i="2"/>
  <c r="V289" i="2" s="1"/>
  <c r="Z289" i="2" s="1"/>
  <c r="U281" i="2"/>
  <c r="V281" i="2" s="1"/>
  <c r="U273" i="2"/>
  <c r="V273" i="2" s="1"/>
  <c r="Z273" i="2" s="1"/>
  <c r="U265" i="2"/>
  <c r="V265" i="2" s="1"/>
  <c r="Z265" i="2" s="1"/>
  <c r="U257" i="2"/>
  <c r="V257" i="2" s="1"/>
  <c r="Z257" i="2" s="1"/>
  <c r="U249" i="2"/>
  <c r="V249" i="2" s="1"/>
  <c r="Z249" i="2" s="1"/>
  <c r="U241" i="2"/>
  <c r="V241" i="2" s="1"/>
  <c r="Z241" i="2" s="1"/>
  <c r="U233" i="2"/>
  <c r="V233" i="2" s="1"/>
  <c r="Z233" i="2" s="1"/>
  <c r="U225" i="2"/>
  <c r="V225" i="2" s="1"/>
  <c r="Z225" i="2" s="1"/>
  <c r="U217" i="2"/>
  <c r="V217" i="2" s="1"/>
  <c r="U209" i="2"/>
  <c r="V209" i="2" s="1"/>
  <c r="Z209" i="2" s="1"/>
  <c r="U201" i="2"/>
  <c r="V201" i="2" s="1"/>
  <c r="Z201" i="2" s="1"/>
  <c r="U161" i="2"/>
  <c r="V161" i="2" s="1"/>
  <c r="Z161" i="2" s="1"/>
  <c r="U145" i="2"/>
  <c r="V145" i="2" s="1"/>
  <c r="Z145" i="2" s="1"/>
  <c r="U137" i="2"/>
  <c r="V137" i="2" s="1"/>
  <c r="Z137" i="2" s="1"/>
  <c r="U89" i="2"/>
  <c r="V89" i="2" s="1"/>
  <c r="Z89" i="2" s="1"/>
  <c r="U33" i="2"/>
  <c r="V33" i="2" s="1"/>
  <c r="Z33" i="2" s="1"/>
  <c r="U17" i="2"/>
  <c r="V17" i="2" s="1"/>
  <c r="U9" i="2"/>
  <c r="V9" i="2" s="1"/>
  <c r="Z9" i="2" s="1"/>
  <c r="U775" i="2"/>
  <c r="V775" i="2" s="1"/>
  <c r="Z775" i="2" s="1"/>
  <c r="U767" i="2"/>
  <c r="V767" i="2" s="1"/>
  <c r="Z767" i="2" s="1"/>
  <c r="U759" i="2"/>
  <c r="V759" i="2" s="1"/>
  <c r="Z759" i="2" s="1"/>
  <c r="U751" i="2"/>
  <c r="V751" i="2" s="1"/>
  <c r="Z751" i="2" s="1"/>
  <c r="U743" i="2"/>
  <c r="V743" i="2" s="1"/>
  <c r="Z743" i="2" s="1"/>
  <c r="U735" i="2"/>
  <c r="V735" i="2" s="1"/>
  <c r="Z735" i="2" s="1"/>
  <c r="U727" i="2"/>
  <c r="V727" i="2" s="1"/>
  <c r="Z727" i="2" s="1"/>
  <c r="U719" i="2"/>
  <c r="V719" i="2" s="1"/>
  <c r="Z719" i="2" s="1"/>
  <c r="U711" i="2"/>
  <c r="V711" i="2" s="1"/>
  <c r="Z711" i="2" s="1"/>
  <c r="U703" i="2"/>
  <c r="V703" i="2" s="1"/>
  <c r="Z703" i="2" s="1"/>
  <c r="U695" i="2"/>
  <c r="V695" i="2" s="1"/>
  <c r="Z695" i="2" s="1"/>
  <c r="U687" i="2"/>
  <c r="V687" i="2" s="1"/>
  <c r="Z687" i="2" s="1"/>
  <c r="U679" i="2"/>
  <c r="V679" i="2" s="1"/>
  <c r="Z679" i="2" s="1"/>
  <c r="U671" i="2"/>
  <c r="V671" i="2" s="1"/>
  <c r="Z671" i="2" s="1"/>
  <c r="U663" i="2"/>
  <c r="V663" i="2" s="1"/>
  <c r="Z663" i="2" s="1"/>
  <c r="U655" i="2"/>
  <c r="V655" i="2" s="1"/>
  <c r="Z655" i="2" s="1"/>
  <c r="U647" i="2"/>
  <c r="V647" i="2" s="1"/>
  <c r="Z647" i="2" s="1"/>
  <c r="U639" i="2"/>
  <c r="V639" i="2" s="1"/>
  <c r="Z639" i="2" s="1"/>
  <c r="U631" i="2"/>
  <c r="V631" i="2" s="1"/>
  <c r="Z631" i="2" s="1"/>
  <c r="U623" i="2"/>
  <c r="V623" i="2" s="1"/>
  <c r="Z623" i="2" s="1"/>
  <c r="U615" i="2"/>
  <c r="V615" i="2" s="1"/>
  <c r="Z615" i="2" s="1"/>
  <c r="U607" i="2"/>
  <c r="V607" i="2" s="1"/>
  <c r="Z607" i="2" s="1"/>
  <c r="U599" i="2"/>
  <c r="V599" i="2" s="1"/>
  <c r="Z599" i="2" s="1"/>
  <c r="U591" i="2"/>
  <c r="V591" i="2" s="1"/>
  <c r="Z591" i="2" s="1"/>
  <c r="U583" i="2"/>
  <c r="V583" i="2" s="1"/>
  <c r="Z583" i="2" s="1"/>
  <c r="U575" i="2"/>
  <c r="V575" i="2" s="1"/>
  <c r="Z575" i="2" s="1"/>
  <c r="U567" i="2"/>
  <c r="V567" i="2" s="1"/>
  <c r="Z567" i="2" s="1"/>
  <c r="U559" i="2"/>
  <c r="V559" i="2" s="1"/>
  <c r="Z559" i="2" s="1"/>
  <c r="U551" i="2"/>
  <c r="V551" i="2" s="1"/>
  <c r="Z551" i="2" s="1"/>
  <c r="U543" i="2"/>
  <c r="V543" i="2" s="1"/>
  <c r="Z543" i="2" s="1"/>
  <c r="U535" i="2"/>
  <c r="V535" i="2" s="1"/>
  <c r="Z535" i="2" s="1"/>
  <c r="U527" i="2"/>
  <c r="V527" i="2" s="1"/>
  <c r="Z527" i="2" s="1"/>
  <c r="U519" i="2"/>
  <c r="V519" i="2" s="1"/>
  <c r="Z519" i="2" s="1"/>
  <c r="U511" i="2"/>
  <c r="V511" i="2" s="1"/>
  <c r="Z511" i="2" s="1"/>
  <c r="U503" i="2"/>
  <c r="V503" i="2" s="1"/>
  <c r="Z503" i="2" s="1"/>
  <c r="U495" i="2"/>
  <c r="V495" i="2" s="1"/>
  <c r="Z495" i="2" s="1"/>
  <c r="U487" i="2"/>
  <c r="V487" i="2" s="1"/>
  <c r="Z487" i="2" s="1"/>
  <c r="U479" i="2"/>
  <c r="V479" i="2" s="1"/>
  <c r="Z479" i="2" s="1"/>
  <c r="U471" i="2"/>
  <c r="V471" i="2" s="1"/>
  <c r="Z471" i="2" s="1"/>
  <c r="U463" i="2"/>
  <c r="V463" i="2" s="1"/>
  <c r="Z463" i="2" s="1"/>
  <c r="U455" i="2"/>
  <c r="V455" i="2" s="1"/>
  <c r="Z455" i="2" s="1"/>
  <c r="U447" i="2"/>
  <c r="V447" i="2" s="1"/>
  <c r="Z447" i="2" s="1"/>
  <c r="U439" i="2"/>
  <c r="V439" i="2" s="1"/>
  <c r="Z439" i="2" s="1"/>
  <c r="U431" i="2"/>
  <c r="V431" i="2" s="1"/>
  <c r="Z431" i="2" s="1"/>
  <c r="U423" i="2"/>
  <c r="V423" i="2" s="1"/>
  <c r="Z423" i="2" s="1"/>
  <c r="U415" i="2"/>
  <c r="V415" i="2" s="1"/>
  <c r="Z415" i="2" s="1"/>
  <c r="U407" i="2"/>
  <c r="V407" i="2" s="1"/>
  <c r="Z407" i="2" s="1"/>
  <c r="U399" i="2"/>
  <c r="V399" i="2" s="1"/>
  <c r="Z399" i="2" s="1"/>
  <c r="U391" i="2"/>
  <c r="V391" i="2" s="1"/>
  <c r="Z391" i="2" s="1"/>
  <c r="U383" i="2"/>
  <c r="V383" i="2" s="1"/>
  <c r="Z383" i="2" s="1"/>
  <c r="U375" i="2"/>
  <c r="V375" i="2" s="1"/>
  <c r="Z375" i="2" s="1"/>
  <c r="U367" i="2"/>
  <c r="V367" i="2" s="1"/>
  <c r="Z367" i="2" s="1"/>
  <c r="U359" i="2"/>
  <c r="V359" i="2" s="1"/>
  <c r="Z359" i="2" s="1"/>
  <c r="U351" i="2"/>
  <c r="V351" i="2" s="1"/>
  <c r="Z351" i="2" s="1"/>
  <c r="U343" i="2"/>
  <c r="V343" i="2" s="1"/>
  <c r="Z343" i="2" s="1"/>
  <c r="U335" i="2"/>
  <c r="V335" i="2" s="1"/>
  <c r="Z335" i="2" s="1"/>
  <c r="U327" i="2"/>
  <c r="V327" i="2" s="1"/>
  <c r="Z327" i="2" s="1"/>
  <c r="U319" i="2"/>
  <c r="V319" i="2" s="1"/>
  <c r="Z319" i="2" s="1"/>
  <c r="U311" i="2"/>
  <c r="V311" i="2" s="1"/>
  <c r="Z311" i="2" s="1"/>
  <c r="U303" i="2"/>
  <c r="V303" i="2" s="1"/>
  <c r="Z303" i="2" s="1"/>
  <c r="U295" i="2"/>
  <c r="V295" i="2" s="1"/>
  <c r="Z295" i="2" s="1"/>
  <c r="U287" i="2"/>
  <c r="V287" i="2" s="1"/>
  <c r="Z287" i="2" s="1"/>
  <c r="U279" i="2"/>
  <c r="V279" i="2" s="1"/>
  <c r="Z279" i="2" s="1"/>
  <c r="U271" i="2"/>
  <c r="V271" i="2" s="1"/>
  <c r="Z271" i="2" s="1"/>
  <c r="U263" i="2"/>
  <c r="V263" i="2" s="1"/>
  <c r="Z263" i="2" s="1"/>
  <c r="U255" i="2"/>
  <c r="V255" i="2" s="1"/>
  <c r="Z255" i="2" s="1"/>
  <c r="U247" i="2"/>
  <c r="V247" i="2" s="1"/>
  <c r="Z247" i="2" s="1"/>
  <c r="U239" i="2"/>
  <c r="V239" i="2" s="1"/>
  <c r="Z239" i="2" s="1"/>
  <c r="U231" i="2"/>
  <c r="V231" i="2" s="1"/>
  <c r="Z231" i="2" s="1"/>
  <c r="U223" i="2"/>
  <c r="V223" i="2" s="1"/>
  <c r="Z223" i="2" s="1"/>
  <c r="U215" i="2"/>
  <c r="V215" i="2" s="1"/>
  <c r="Z215" i="2" s="1"/>
  <c r="U207" i="2"/>
  <c r="V207" i="2" s="1"/>
  <c r="Z207" i="2" s="1"/>
  <c r="U199" i="2"/>
  <c r="V199" i="2" s="1"/>
  <c r="Z199" i="2" s="1"/>
  <c r="U191" i="2"/>
  <c r="V191" i="2" s="1"/>
  <c r="Z191" i="2" s="1"/>
  <c r="U183" i="2"/>
  <c r="V183" i="2" s="1"/>
  <c r="Z183" i="2" s="1"/>
  <c r="U175" i="2"/>
  <c r="V175" i="2" s="1"/>
  <c r="Z175" i="2" s="1"/>
  <c r="U167" i="2"/>
  <c r="V167" i="2" s="1"/>
  <c r="Z167" i="2" s="1"/>
  <c r="U159" i="2"/>
  <c r="V159" i="2" s="1"/>
  <c r="Z159" i="2" s="1"/>
  <c r="U151" i="2"/>
  <c r="V151" i="2" s="1"/>
  <c r="Z151" i="2" s="1"/>
  <c r="U143" i="2"/>
  <c r="V143" i="2" s="1"/>
  <c r="Z143" i="2" s="1"/>
  <c r="U135" i="2"/>
  <c r="V135" i="2" s="1"/>
  <c r="Z135" i="2" s="1"/>
  <c r="U127" i="2"/>
  <c r="V127" i="2" s="1"/>
  <c r="Z127" i="2" s="1"/>
  <c r="U119" i="2"/>
  <c r="V119" i="2" s="1"/>
  <c r="Z119" i="2" s="1"/>
  <c r="U71" i="2"/>
  <c r="V71" i="2" s="1"/>
  <c r="Z71" i="2" s="1"/>
  <c r="U15" i="2"/>
  <c r="V15" i="2" s="1"/>
  <c r="Z15" i="2" s="1"/>
  <c r="U166" i="2"/>
  <c r="V166" i="2" s="1"/>
  <c r="Z166" i="2" s="1"/>
  <c r="U158" i="2"/>
  <c r="V158" i="2" s="1"/>
  <c r="Z158" i="2" s="1"/>
  <c r="U150" i="2"/>
  <c r="V150" i="2" s="1"/>
  <c r="Z150" i="2" s="1"/>
  <c r="U142" i="2"/>
  <c r="V142" i="2" s="1"/>
  <c r="Z142" i="2" s="1"/>
  <c r="U134" i="2"/>
  <c r="V134" i="2" s="1"/>
  <c r="Z134" i="2" s="1"/>
  <c r="U126" i="2"/>
  <c r="V126" i="2" s="1"/>
  <c r="Z126" i="2" s="1"/>
  <c r="U118" i="2"/>
  <c r="V118" i="2" s="1"/>
  <c r="Z118" i="2" s="1"/>
  <c r="U110" i="2"/>
  <c r="V110" i="2" s="1"/>
  <c r="Z110" i="2" s="1"/>
  <c r="U102" i="2"/>
  <c r="V102" i="2" s="1"/>
  <c r="Z102" i="2" s="1"/>
  <c r="U94" i="2"/>
  <c r="V94" i="2" s="1"/>
  <c r="Z94" i="2" s="1"/>
  <c r="U86" i="2"/>
  <c r="V86" i="2" s="1"/>
  <c r="Z86" i="2" s="1"/>
  <c r="U78" i="2"/>
  <c r="V78" i="2" s="1"/>
  <c r="Z78" i="2" s="1"/>
  <c r="U70" i="2"/>
  <c r="V70" i="2" s="1"/>
  <c r="Z70" i="2" s="1"/>
  <c r="U62" i="2"/>
  <c r="V62" i="2" s="1"/>
  <c r="Z62" i="2" s="1"/>
  <c r="U54" i="2"/>
  <c r="V54" i="2" s="1"/>
  <c r="Z54" i="2" s="1"/>
  <c r="U46" i="2"/>
  <c r="V46" i="2" s="1"/>
  <c r="Z46" i="2" s="1"/>
  <c r="U38" i="2"/>
  <c r="V38" i="2" s="1"/>
  <c r="Z38" i="2" s="1"/>
  <c r="U30" i="2"/>
  <c r="V30" i="2" s="1"/>
  <c r="Z30" i="2" s="1"/>
  <c r="U22" i="2"/>
  <c r="V22" i="2" s="1"/>
  <c r="Z22" i="2" s="1"/>
  <c r="U14" i="2"/>
  <c r="V14" i="2" s="1"/>
  <c r="Z14" i="2" s="1"/>
  <c r="U6" i="2"/>
  <c r="V6" i="2" s="1"/>
  <c r="Z6" i="2" s="1"/>
  <c r="U221" i="2"/>
  <c r="V221" i="2" s="1"/>
  <c r="Z221" i="2" s="1"/>
  <c r="U213" i="2"/>
  <c r="V213" i="2" s="1"/>
  <c r="Z213" i="2" s="1"/>
  <c r="U205" i="2"/>
  <c r="V205" i="2" s="1"/>
  <c r="Z205" i="2" s="1"/>
  <c r="U197" i="2"/>
  <c r="V197" i="2" s="1"/>
  <c r="Z197" i="2" s="1"/>
  <c r="U189" i="2"/>
  <c r="V189" i="2" s="1"/>
  <c r="U181" i="2"/>
  <c r="V181" i="2" s="1"/>
  <c r="Z181" i="2" s="1"/>
  <c r="U173" i="2"/>
  <c r="V173" i="2" s="1"/>
  <c r="Z173" i="2" s="1"/>
  <c r="U165" i="2"/>
  <c r="V165" i="2" s="1"/>
  <c r="Z165" i="2" s="1"/>
  <c r="U157" i="2"/>
  <c r="V157" i="2" s="1"/>
  <c r="Z157" i="2" s="1"/>
  <c r="U149" i="2"/>
  <c r="V149" i="2" s="1"/>
  <c r="Z149" i="2" s="1"/>
  <c r="U141" i="2"/>
  <c r="V141" i="2" s="1"/>
  <c r="Z141" i="2" s="1"/>
  <c r="U133" i="2"/>
  <c r="V133" i="2" s="1"/>
  <c r="Z133" i="2" s="1"/>
  <c r="U125" i="2"/>
  <c r="V125" i="2" s="1"/>
  <c r="Z125" i="2" s="1"/>
  <c r="U117" i="2"/>
  <c r="V117" i="2" s="1"/>
  <c r="Z117" i="2" s="1"/>
  <c r="U109" i="2"/>
  <c r="V109" i="2" s="1"/>
  <c r="U101" i="2"/>
  <c r="V101" i="2" s="1"/>
  <c r="Z101" i="2" s="1"/>
  <c r="U93" i="2"/>
  <c r="V93" i="2" s="1"/>
  <c r="Z93" i="2" s="1"/>
  <c r="U85" i="2"/>
  <c r="V85" i="2" s="1"/>
  <c r="Z85" i="2" s="1"/>
  <c r="U77" i="2"/>
  <c r="V77" i="2" s="1"/>
  <c r="Z77" i="2" s="1"/>
  <c r="U69" i="2"/>
  <c r="V69" i="2" s="1"/>
  <c r="Z69" i="2" s="1"/>
  <c r="U61" i="2"/>
  <c r="V61" i="2" s="1"/>
  <c r="Z61" i="2" s="1"/>
  <c r="U53" i="2"/>
  <c r="V53" i="2" s="1"/>
  <c r="Z53" i="2" s="1"/>
  <c r="U45" i="2"/>
  <c r="V45" i="2" s="1"/>
  <c r="Z45" i="2" s="1"/>
  <c r="U37" i="2"/>
  <c r="V37" i="2" s="1"/>
  <c r="Z37" i="2" s="1"/>
  <c r="U29" i="2"/>
  <c r="V29" i="2" s="1"/>
  <c r="Z29" i="2" s="1"/>
  <c r="U21" i="2"/>
  <c r="V21" i="2" s="1"/>
  <c r="Z21" i="2" s="1"/>
  <c r="U13" i="2"/>
  <c r="V13" i="2" s="1"/>
  <c r="Z13" i="2" s="1"/>
  <c r="U5" i="2"/>
  <c r="V5" i="2" s="1"/>
  <c r="Z5" i="2" s="1"/>
  <c r="U1196" i="2"/>
  <c r="V1196" i="2" s="1"/>
  <c r="Z1196" i="2" s="1"/>
  <c r="U1188" i="2"/>
  <c r="V1188" i="2" s="1"/>
  <c r="Z1188" i="2" s="1"/>
  <c r="U1180" i="2"/>
  <c r="V1180" i="2" s="1"/>
  <c r="Z1180" i="2" s="1"/>
  <c r="U1172" i="2"/>
  <c r="V1172" i="2" s="1"/>
  <c r="Z1172" i="2" s="1"/>
  <c r="U1164" i="2"/>
  <c r="V1164" i="2" s="1"/>
  <c r="Z1164" i="2" s="1"/>
  <c r="U1156" i="2"/>
  <c r="V1156" i="2" s="1"/>
  <c r="Z1156" i="2" s="1"/>
  <c r="U1148" i="2"/>
  <c r="V1148" i="2" s="1"/>
  <c r="Z1148" i="2" s="1"/>
  <c r="U1140" i="2"/>
  <c r="V1140" i="2" s="1"/>
  <c r="Z1140" i="2" s="1"/>
  <c r="U1132" i="2"/>
  <c r="V1132" i="2" s="1"/>
  <c r="Z1132" i="2" s="1"/>
  <c r="U1124" i="2"/>
  <c r="V1124" i="2" s="1"/>
  <c r="Z1124" i="2" s="1"/>
  <c r="U1116" i="2"/>
  <c r="V1116" i="2" s="1"/>
  <c r="Z1116" i="2" s="1"/>
  <c r="U1108" i="2"/>
  <c r="V1108" i="2" s="1"/>
  <c r="Z1108" i="2" s="1"/>
  <c r="U1100" i="2"/>
  <c r="V1100" i="2" s="1"/>
  <c r="Z1100" i="2" s="1"/>
  <c r="U1092" i="2"/>
  <c r="V1092" i="2" s="1"/>
  <c r="Z1092" i="2" s="1"/>
  <c r="U1084" i="2"/>
  <c r="V1084" i="2" s="1"/>
  <c r="Z1084" i="2" s="1"/>
  <c r="U1076" i="2"/>
  <c r="V1076" i="2" s="1"/>
  <c r="Z1076" i="2" s="1"/>
  <c r="U1068" i="2"/>
  <c r="V1068" i="2" s="1"/>
  <c r="Z1068" i="2" s="1"/>
  <c r="U1060" i="2"/>
  <c r="V1060" i="2" s="1"/>
  <c r="Z1060" i="2" s="1"/>
  <c r="U1052" i="2"/>
  <c r="V1052" i="2" s="1"/>
  <c r="Z1052" i="2" s="1"/>
  <c r="U1044" i="2"/>
  <c r="V1044" i="2" s="1"/>
  <c r="Z1044" i="2" s="1"/>
  <c r="U1036" i="2"/>
  <c r="V1036" i="2" s="1"/>
  <c r="Z1036" i="2" s="1"/>
  <c r="U1028" i="2"/>
  <c r="V1028" i="2" s="1"/>
  <c r="Z1028" i="2" s="1"/>
  <c r="U1020" i="2"/>
  <c r="V1020" i="2" s="1"/>
  <c r="Z1020" i="2" s="1"/>
  <c r="U1012" i="2"/>
  <c r="V1012" i="2" s="1"/>
  <c r="Z1012" i="2" s="1"/>
  <c r="U1004" i="2"/>
  <c r="V1004" i="2" s="1"/>
  <c r="Z1004" i="2" s="1"/>
  <c r="U996" i="2"/>
  <c r="V996" i="2" s="1"/>
  <c r="Z996" i="2" s="1"/>
  <c r="U988" i="2"/>
  <c r="V988" i="2" s="1"/>
  <c r="Z988" i="2" s="1"/>
  <c r="U980" i="2"/>
  <c r="V980" i="2" s="1"/>
  <c r="Z980" i="2" s="1"/>
  <c r="U972" i="2"/>
  <c r="V972" i="2" s="1"/>
  <c r="Z972" i="2" s="1"/>
  <c r="U964" i="2"/>
  <c r="V964" i="2" s="1"/>
  <c r="Z964" i="2" s="1"/>
  <c r="U956" i="2"/>
  <c r="V956" i="2" s="1"/>
  <c r="Z956" i="2" s="1"/>
  <c r="U948" i="2"/>
  <c r="V948" i="2" s="1"/>
  <c r="Z948" i="2" s="1"/>
  <c r="U940" i="2"/>
  <c r="V940" i="2" s="1"/>
  <c r="Z940" i="2" s="1"/>
  <c r="U932" i="2"/>
  <c r="V932" i="2" s="1"/>
  <c r="Z932" i="2" s="1"/>
  <c r="U924" i="2"/>
  <c r="V924" i="2" s="1"/>
  <c r="Z924" i="2" s="1"/>
  <c r="U916" i="2"/>
  <c r="V916" i="2" s="1"/>
  <c r="Z916" i="2" s="1"/>
  <c r="U908" i="2"/>
  <c r="V908" i="2" s="1"/>
  <c r="Z908" i="2" s="1"/>
  <c r="U900" i="2"/>
  <c r="V900" i="2" s="1"/>
  <c r="Z900" i="2" s="1"/>
  <c r="U892" i="2"/>
  <c r="V892" i="2" s="1"/>
  <c r="Z892" i="2" s="1"/>
  <c r="U884" i="2"/>
  <c r="V884" i="2" s="1"/>
  <c r="Z884" i="2" s="1"/>
  <c r="U876" i="2"/>
  <c r="V876" i="2" s="1"/>
  <c r="Z876" i="2" s="1"/>
  <c r="U868" i="2"/>
  <c r="V868" i="2" s="1"/>
  <c r="Z868" i="2" s="1"/>
  <c r="U860" i="2"/>
  <c r="V860" i="2" s="1"/>
  <c r="Z860" i="2" s="1"/>
  <c r="U852" i="2"/>
  <c r="V852" i="2" s="1"/>
  <c r="Z852" i="2" s="1"/>
  <c r="U844" i="2"/>
  <c r="V844" i="2" s="1"/>
  <c r="Z844" i="2" s="1"/>
  <c r="U836" i="2"/>
  <c r="V836" i="2" s="1"/>
  <c r="Z836" i="2" s="1"/>
  <c r="U828" i="2"/>
  <c r="V828" i="2" s="1"/>
  <c r="Z828" i="2" s="1"/>
  <c r="U820" i="2"/>
  <c r="V820" i="2" s="1"/>
  <c r="Z820" i="2" s="1"/>
  <c r="U812" i="2"/>
  <c r="V812" i="2" s="1"/>
  <c r="Z812" i="2" s="1"/>
  <c r="U804" i="2"/>
  <c r="V804" i="2" s="1"/>
  <c r="Z804" i="2" s="1"/>
  <c r="U796" i="2"/>
  <c r="V796" i="2" s="1"/>
  <c r="Z796" i="2" s="1"/>
  <c r="U788" i="2"/>
  <c r="V788" i="2" s="1"/>
  <c r="Z788" i="2" s="1"/>
  <c r="U780" i="2"/>
  <c r="V780" i="2" s="1"/>
  <c r="Z780" i="2" s="1"/>
  <c r="U772" i="2"/>
  <c r="V772" i="2" s="1"/>
  <c r="U764" i="2"/>
  <c r="V764" i="2" s="1"/>
  <c r="Z764" i="2" s="1"/>
  <c r="U756" i="2"/>
  <c r="V756" i="2" s="1"/>
  <c r="Z756" i="2" s="1"/>
  <c r="U748" i="2"/>
  <c r="V748" i="2" s="1"/>
  <c r="Z748" i="2" s="1"/>
  <c r="U740" i="2"/>
  <c r="V740" i="2" s="1"/>
  <c r="Z740" i="2" s="1"/>
  <c r="U732" i="2"/>
  <c r="V732" i="2" s="1"/>
  <c r="Z732" i="2" s="1"/>
  <c r="U724" i="2"/>
  <c r="V724" i="2" s="1"/>
  <c r="Z724" i="2" s="1"/>
  <c r="U716" i="2"/>
  <c r="V716" i="2" s="1"/>
  <c r="Z716" i="2" s="1"/>
  <c r="U708" i="2"/>
  <c r="V708" i="2" s="1"/>
  <c r="Z708" i="2" s="1"/>
  <c r="U700" i="2"/>
  <c r="V700" i="2" s="1"/>
  <c r="Z700" i="2" s="1"/>
  <c r="U692" i="2"/>
  <c r="V692" i="2" s="1"/>
  <c r="Z692" i="2" s="1"/>
  <c r="U684" i="2"/>
  <c r="V684" i="2" s="1"/>
  <c r="Z684" i="2" s="1"/>
  <c r="U676" i="2"/>
  <c r="V676" i="2" s="1"/>
  <c r="Z676" i="2" s="1"/>
  <c r="U668" i="2"/>
  <c r="V668" i="2" s="1"/>
  <c r="Z668" i="2" s="1"/>
  <c r="U660" i="2"/>
  <c r="V660" i="2" s="1"/>
  <c r="Z660" i="2" s="1"/>
  <c r="U652" i="2"/>
  <c r="V652" i="2" s="1"/>
  <c r="Z652" i="2" s="1"/>
  <c r="U644" i="2"/>
  <c r="V644" i="2" s="1"/>
  <c r="Z644" i="2" s="1"/>
  <c r="U636" i="2"/>
  <c r="V636" i="2" s="1"/>
  <c r="Z636" i="2" s="1"/>
  <c r="U628" i="2"/>
  <c r="V628" i="2" s="1"/>
  <c r="Z628" i="2" s="1"/>
  <c r="U620" i="2"/>
  <c r="V620" i="2" s="1"/>
  <c r="Z620" i="2" s="1"/>
  <c r="U612" i="2"/>
  <c r="V612" i="2" s="1"/>
  <c r="Z612" i="2" s="1"/>
  <c r="U604" i="2"/>
  <c r="V604" i="2" s="1"/>
  <c r="Z604" i="2" s="1"/>
  <c r="U596" i="2"/>
  <c r="V596" i="2" s="1"/>
  <c r="Z596" i="2" s="1"/>
  <c r="U588" i="2"/>
  <c r="V588" i="2" s="1"/>
  <c r="Z588" i="2" s="1"/>
  <c r="U580" i="2"/>
  <c r="V580" i="2" s="1"/>
  <c r="Z580" i="2" s="1"/>
  <c r="U572" i="2"/>
  <c r="V572" i="2" s="1"/>
  <c r="Z572" i="2" s="1"/>
  <c r="U564" i="2"/>
  <c r="V564" i="2" s="1"/>
  <c r="Z564" i="2" s="1"/>
  <c r="U556" i="2"/>
  <c r="V556" i="2" s="1"/>
  <c r="Z556" i="2" s="1"/>
  <c r="U548" i="2"/>
  <c r="V548" i="2" s="1"/>
  <c r="Z548" i="2" s="1"/>
  <c r="U540" i="2"/>
  <c r="V540" i="2" s="1"/>
  <c r="Z540" i="2" s="1"/>
  <c r="U532" i="2"/>
  <c r="V532" i="2" s="1"/>
  <c r="Z532" i="2" s="1"/>
  <c r="U524" i="2"/>
  <c r="V524" i="2" s="1"/>
  <c r="Z524" i="2" s="1"/>
  <c r="U516" i="2"/>
  <c r="V516" i="2" s="1"/>
  <c r="Z516" i="2" s="1"/>
  <c r="U508" i="2"/>
  <c r="V508" i="2" s="1"/>
  <c r="Z508" i="2" s="1"/>
  <c r="U500" i="2"/>
  <c r="V500" i="2" s="1"/>
  <c r="Z500" i="2" s="1"/>
  <c r="U492" i="2"/>
  <c r="V492" i="2" s="1"/>
  <c r="Z492" i="2" s="1"/>
  <c r="U484" i="2"/>
  <c r="V484" i="2" s="1"/>
  <c r="Z484" i="2" s="1"/>
  <c r="U476" i="2"/>
  <c r="V476" i="2" s="1"/>
  <c r="Z476" i="2" s="1"/>
  <c r="U468" i="2"/>
  <c r="V468" i="2" s="1"/>
  <c r="Z468" i="2" s="1"/>
  <c r="U460" i="2"/>
  <c r="V460" i="2" s="1"/>
  <c r="Z460" i="2" s="1"/>
  <c r="U452" i="2"/>
  <c r="V452" i="2" s="1"/>
  <c r="Z452" i="2" s="1"/>
  <c r="U444" i="2"/>
  <c r="V444" i="2" s="1"/>
  <c r="Z444" i="2" s="1"/>
  <c r="U436" i="2"/>
  <c r="V436" i="2" s="1"/>
  <c r="Z436" i="2" s="1"/>
  <c r="U428" i="2"/>
  <c r="V428" i="2" s="1"/>
  <c r="Z428" i="2" s="1"/>
  <c r="U420" i="2"/>
  <c r="V420" i="2" s="1"/>
  <c r="Z420" i="2" s="1"/>
  <c r="U412" i="2"/>
  <c r="V412" i="2" s="1"/>
  <c r="Z412" i="2" s="1"/>
  <c r="U404" i="2"/>
  <c r="V404" i="2" s="1"/>
  <c r="Z404" i="2" s="1"/>
  <c r="U396" i="2"/>
  <c r="V396" i="2" s="1"/>
  <c r="Z396" i="2" s="1"/>
  <c r="U388" i="2"/>
  <c r="V388" i="2" s="1"/>
  <c r="Z388" i="2" s="1"/>
  <c r="U380" i="2"/>
  <c r="V380" i="2" s="1"/>
  <c r="Z380" i="2" s="1"/>
  <c r="U372" i="2"/>
  <c r="V372" i="2" s="1"/>
  <c r="Z372" i="2" s="1"/>
  <c r="U364" i="2"/>
  <c r="V364" i="2" s="1"/>
  <c r="Z364" i="2" s="1"/>
  <c r="U356" i="2"/>
  <c r="V356" i="2" s="1"/>
  <c r="U348" i="2"/>
  <c r="V348" i="2" s="1"/>
  <c r="Z348" i="2" s="1"/>
  <c r="U340" i="2"/>
  <c r="V340" i="2" s="1"/>
  <c r="Z340" i="2" s="1"/>
  <c r="U332" i="2"/>
  <c r="V332" i="2" s="1"/>
  <c r="Z332" i="2" s="1"/>
  <c r="U324" i="2"/>
  <c r="V324" i="2" s="1"/>
  <c r="Z324" i="2" s="1"/>
  <c r="U316" i="2"/>
  <c r="V316" i="2" s="1"/>
  <c r="Z316" i="2" s="1"/>
  <c r="U308" i="2"/>
  <c r="V308" i="2" s="1"/>
  <c r="Z308" i="2" s="1"/>
  <c r="U300" i="2"/>
  <c r="V300" i="2" s="1"/>
  <c r="Z300" i="2" s="1"/>
  <c r="U292" i="2"/>
  <c r="V292" i="2" s="1"/>
  <c r="Z292" i="2" s="1"/>
  <c r="U284" i="2"/>
  <c r="V284" i="2" s="1"/>
  <c r="Z284" i="2" s="1"/>
  <c r="U276" i="2"/>
  <c r="V276" i="2" s="1"/>
  <c r="Z276" i="2" s="1"/>
  <c r="U268" i="2"/>
  <c r="V268" i="2" s="1"/>
  <c r="Z268" i="2" s="1"/>
  <c r="U260" i="2"/>
  <c r="V260" i="2" s="1"/>
  <c r="Z260" i="2" s="1"/>
  <c r="U252" i="2"/>
  <c r="V252" i="2" s="1"/>
  <c r="Z252" i="2" s="1"/>
  <c r="U244" i="2"/>
  <c r="V244" i="2" s="1"/>
  <c r="Z244" i="2" s="1"/>
  <c r="U236" i="2"/>
  <c r="V236" i="2" s="1"/>
  <c r="Z236" i="2" s="1"/>
  <c r="U228" i="2"/>
  <c r="V228" i="2" s="1"/>
  <c r="Z228" i="2" s="1"/>
  <c r="U220" i="2"/>
  <c r="V220" i="2" s="1"/>
  <c r="Z220" i="2" s="1"/>
  <c r="U212" i="2"/>
  <c r="V212" i="2" s="1"/>
  <c r="Z212" i="2" s="1"/>
  <c r="U204" i="2"/>
  <c r="V204" i="2" s="1"/>
  <c r="Z204" i="2" s="1"/>
  <c r="U196" i="2"/>
  <c r="V196" i="2" s="1"/>
  <c r="U188" i="2"/>
  <c r="V188" i="2" s="1"/>
  <c r="Z188" i="2" s="1"/>
  <c r="U180" i="2"/>
  <c r="V180" i="2" s="1"/>
  <c r="Z180" i="2" s="1"/>
  <c r="U172" i="2"/>
  <c r="V172" i="2" s="1"/>
  <c r="U164" i="2"/>
  <c r="V164" i="2" s="1"/>
  <c r="U156" i="2"/>
  <c r="V156" i="2" s="1"/>
  <c r="Z156" i="2" s="1"/>
  <c r="U148" i="2"/>
  <c r="V148" i="2" s="1"/>
  <c r="Z148" i="2" s="1"/>
  <c r="U140" i="2"/>
  <c r="V140" i="2" s="1"/>
  <c r="Z140" i="2" s="1"/>
  <c r="U132" i="2"/>
  <c r="V132" i="2" s="1"/>
  <c r="Z132" i="2" s="1"/>
  <c r="U124" i="2"/>
  <c r="V124" i="2" s="1"/>
  <c r="Z124" i="2" s="1"/>
  <c r="U116" i="2"/>
  <c r="V116" i="2" s="1"/>
  <c r="Z116" i="2" s="1"/>
  <c r="U108" i="2"/>
  <c r="V108" i="2" s="1"/>
  <c r="Z108" i="2" s="1"/>
  <c r="U100" i="2"/>
  <c r="V100" i="2" s="1"/>
  <c r="Z100" i="2" s="1"/>
  <c r="U92" i="2"/>
  <c r="V92" i="2" s="1"/>
  <c r="Z92" i="2" s="1"/>
  <c r="U84" i="2"/>
  <c r="V84" i="2" s="1"/>
  <c r="Z84" i="2" s="1"/>
  <c r="U76" i="2"/>
  <c r="V76" i="2" s="1"/>
  <c r="Z76" i="2" s="1"/>
  <c r="U68" i="2"/>
  <c r="V68" i="2" s="1"/>
  <c r="Z68" i="2" s="1"/>
  <c r="U60" i="2"/>
  <c r="V60" i="2" s="1"/>
  <c r="Z60" i="2" s="1"/>
  <c r="U52" i="2"/>
  <c r="V52" i="2" s="1"/>
  <c r="Z52" i="2" s="1"/>
  <c r="U44" i="2"/>
  <c r="V44" i="2" s="1"/>
  <c r="Z44" i="2" s="1"/>
  <c r="U36" i="2"/>
  <c r="V36" i="2" s="1"/>
  <c r="Z36" i="2" s="1"/>
  <c r="U28" i="2"/>
  <c r="V28" i="2" s="1"/>
  <c r="Z28" i="2" s="1"/>
  <c r="U20" i="2"/>
  <c r="V20" i="2" s="1"/>
  <c r="Z20" i="2" s="1"/>
  <c r="U12" i="2"/>
  <c r="V12" i="2" s="1"/>
  <c r="Z12" i="2" s="1"/>
  <c r="U4" i="2"/>
  <c r="V4" i="2" s="1"/>
  <c r="Z4" i="2" s="1"/>
  <c r="U1195" i="2"/>
  <c r="V1195" i="2" s="1"/>
  <c r="Z1195" i="2" s="1"/>
  <c r="U1187" i="2"/>
  <c r="V1187" i="2" s="1"/>
  <c r="Z1187" i="2" s="1"/>
  <c r="U1179" i="2"/>
  <c r="V1179" i="2" s="1"/>
  <c r="Z1179" i="2" s="1"/>
  <c r="U1171" i="2"/>
  <c r="V1171" i="2" s="1"/>
  <c r="Z1171" i="2" s="1"/>
  <c r="U1163" i="2"/>
  <c r="V1163" i="2" s="1"/>
  <c r="Z1163" i="2" s="1"/>
  <c r="U1155" i="2"/>
  <c r="V1155" i="2" s="1"/>
  <c r="Z1155" i="2" s="1"/>
  <c r="U1147" i="2"/>
  <c r="V1147" i="2" s="1"/>
  <c r="Z1147" i="2" s="1"/>
  <c r="U1139" i="2"/>
  <c r="V1139" i="2" s="1"/>
  <c r="Z1139" i="2" s="1"/>
  <c r="U1131" i="2"/>
  <c r="V1131" i="2" s="1"/>
  <c r="Z1131" i="2" s="1"/>
  <c r="U1123" i="2"/>
  <c r="V1123" i="2" s="1"/>
  <c r="Z1123" i="2" s="1"/>
  <c r="U1115" i="2"/>
  <c r="V1115" i="2" s="1"/>
  <c r="Z1115" i="2" s="1"/>
  <c r="U1107" i="2"/>
  <c r="V1107" i="2" s="1"/>
  <c r="Z1107" i="2" s="1"/>
  <c r="U1099" i="2"/>
  <c r="V1099" i="2" s="1"/>
  <c r="Z1099" i="2" s="1"/>
  <c r="U1091" i="2"/>
  <c r="V1091" i="2" s="1"/>
  <c r="Z1091" i="2" s="1"/>
  <c r="U1083" i="2"/>
  <c r="V1083" i="2" s="1"/>
  <c r="Z1083" i="2" s="1"/>
  <c r="U1075" i="2"/>
  <c r="V1075" i="2" s="1"/>
  <c r="U1067" i="2"/>
  <c r="V1067" i="2" s="1"/>
  <c r="Z1067" i="2" s="1"/>
  <c r="U1059" i="2"/>
  <c r="V1059" i="2" s="1"/>
  <c r="U1051" i="2"/>
  <c r="V1051" i="2" s="1"/>
  <c r="Z1051" i="2" s="1"/>
  <c r="U1043" i="2"/>
  <c r="V1043" i="2" s="1"/>
  <c r="Z1043" i="2" s="1"/>
  <c r="U1035" i="2"/>
  <c r="V1035" i="2" s="1"/>
  <c r="Z1035" i="2" s="1"/>
  <c r="U1027" i="2"/>
  <c r="V1027" i="2" s="1"/>
  <c r="Z1027" i="2" s="1"/>
  <c r="U1019" i="2"/>
  <c r="V1019" i="2" s="1"/>
  <c r="Z1019" i="2" s="1"/>
  <c r="U1011" i="2"/>
  <c r="V1011" i="2" s="1"/>
  <c r="Z1011" i="2" s="1"/>
  <c r="U1003" i="2"/>
  <c r="V1003" i="2" s="1"/>
  <c r="Z1003" i="2" s="1"/>
  <c r="U995" i="2"/>
  <c r="V995" i="2" s="1"/>
  <c r="Z995" i="2" s="1"/>
  <c r="U987" i="2"/>
  <c r="V987" i="2" s="1"/>
  <c r="Z987" i="2" s="1"/>
  <c r="U979" i="2"/>
  <c r="V979" i="2" s="1"/>
  <c r="Z979" i="2" s="1"/>
  <c r="U971" i="2"/>
  <c r="V971" i="2" s="1"/>
  <c r="Z971" i="2" s="1"/>
  <c r="U963" i="2"/>
  <c r="V963" i="2" s="1"/>
  <c r="Z963" i="2" s="1"/>
  <c r="U955" i="2"/>
  <c r="V955" i="2" s="1"/>
  <c r="Z955" i="2" s="1"/>
  <c r="U947" i="2"/>
  <c r="V947" i="2" s="1"/>
  <c r="Z947" i="2" s="1"/>
  <c r="U939" i="2"/>
  <c r="V939" i="2" s="1"/>
  <c r="Z939" i="2" s="1"/>
  <c r="U931" i="2"/>
  <c r="V931" i="2" s="1"/>
  <c r="Z931" i="2" s="1"/>
  <c r="U923" i="2"/>
  <c r="V923" i="2" s="1"/>
  <c r="Z923" i="2" s="1"/>
  <c r="U915" i="2"/>
  <c r="V915" i="2" s="1"/>
  <c r="Z915" i="2" s="1"/>
  <c r="U907" i="2"/>
  <c r="V907" i="2" s="1"/>
  <c r="Z907" i="2" s="1"/>
  <c r="U899" i="2"/>
  <c r="V899" i="2" s="1"/>
  <c r="Z899" i="2" s="1"/>
  <c r="U891" i="2"/>
  <c r="V891" i="2" s="1"/>
  <c r="Z891" i="2" s="1"/>
  <c r="U883" i="2"/>
  <c r="V883" i="2" s="1"/>
  <c r="Z883" i="2" s="1"/>
  <c r="U875" i="2"/>
  <c r="V875" i="2" s="1"/>
  <c r="Z875" i="2" s="1"/>
  <c r="U867" i="2"/>
  <c r="V867" i="2" s="1"/>
  <c r="Z867" i="2" s="1"/>
  <c r="U859" i="2"/>
  <c r="V859" i="2" s="1"/>
  <c r="Z859" i="2" s="1"/>
  <c r="U851" i="2"/>
  <c r="V851" i="2" s="1"/>
  <c r="Z851" i="2" s="1"/>
  <c r="U843" i="2"/>
  <c r="V843" i="2" s="1"/>
  <c r="Z843" i="2" s="1"/>
  <c r="U835" i="2"/>
  <c r="V835" i="2" s="1"/>
  <c r="Z835" i="2" s="1"/>
  <c r="U827" i="2"/>
  <c r="V827" i="2" s="1"/>
  <c r="Z827" i="2" s="1"/>
  <c r="U819" i="2"/>
  <c r="V819" i="2" s="1"/>
  <c r="Z819" i="2" s="1"/>
  <c r="U811" i="2"/>
  <c r="V811" i="2" s="1"/>
  <c r="Z811" i="2" s="1"/>
  <c r="U803" i="2"/>
  <c r="V803" i="2" s="1"/>
  <c r="U795" i="2"/>
  <c r="V795" i="2" s="1"/>
  <c r="U787" i="2"/>
  <c r="V787" i="2" s="1"/>
  <c r="Z787" i="2" s="1"/>
  <c r="U779" i="2"/>
  <c r="V779" i="2" s="1"/>
  <c r="Z779" i="2" s="1"/>
  <c r="U771" i="2"/>
  <c r="V771" i="2" s="1"/>
  <c r="Z771" i="2" s="1"/>
  <c r="U763" i="2"/>
  <c r="V763" i="2" s="1"/>
  <c r="Z763" i="2" s="1"/>
  <c r="U755" i="2"/>
  <c r="V755" i="2" s="1"/>
  <c r="Z755" i="2" s="1"/>
  <c r="U747" i="2"/>
  <c r="V747" i="2" s="1"/>
  <c r="Z747" i="2" s="1"/>
  <c r="U739" i="2"/>
  <c r="V739" i="2" s="1"/>
  <c r="Z739" i="2" s="1"/>
  <c r="U731" i="2"/>
  <c r="V731" i="2" s="1"/>
  <c r="U723" i="2"/>
  <c r="V723" i="2" s="1"/>
  <c r="Z723" i="2" s="1"/>
  <c r="U715" i="2"/>
  <c r="V715" i="2" s="1"/>
  <c r="Z715" i="2" s="1"/>
  <c r="U707" i="2"/>
  <c r="V707" i="2" s="1"/>
  <c r="Z707" i="2" s="1"/>
  <c r="U699" i="2"/>
  <c r="V699" i="2" s="1"/>
  <c r="Z699" i="2" s="1"/>
  <c r="U691" i="2"/>
  <c r="V691" i="2" s="1"/>
  <c r="U683" i="2"/>
  <c r="V683" i="2" s="1"/>
  <c r="Z683" i="2" s="1"/>
  <c r="U675" i="2"/>
  <c r="V675" i="2" s="1"/>
  <c r="Z675" i="2" s="1"/>
  <c r="U667" i="2"/>
  <c r="V667" i="2" s="1"/>
  <c r="U659" i="2"/>
  <c r="V659" i="2" s="1"/>
  <c r="Z659" i="2" s="1"/>
  <c r="U651" i="2"/>
  <c r="V651" i="2" s="1"/>
  <c r="Z651" i="2" s="1"/>
  <c r="U643" i="2"/>
  <c r="V643" i="2" s="1"/>
  <c r="Z643" i="2" s="1"/>
  <c r="U635" i="2"/>
  <c r="V635" i="2" s="1"/>
  <c r="Z635" i="2" s="1"/>
  <c r="U627" i="2"/>
  <c r="V627" i="2" s="1"/>
  <c r="Z627" i="2" s="1"/>
  <c r="U619" i="2"/>
  <c r="V619" i="2" s="1"/>
  <c r="Z619" i="2" s="1"/>
  <c r="U611" i="2"/>
  <c r="V611" i="2" s="1"/>
  <c r="Z611" i="2" s="1"/>
  <c r="U603" i="2"/>
  <c r="V603" i="2" s="1"/>
  <c r="U595" i="2"/>
  <c r="V595" i="2" s="1"/>
  <c r="Z595" i="2" s="1"/>
  <c r="U587" i="2"/>
  <c r="V587" i="2" s="1"/>
  <c r="Z587" i="2" s="1"/>
  <c r="U579" i="2"/>
  <c r="V579" i="2" s="1"/>
  <c r="Z579" i="2" s="1"/>
  <c r="U571" i="2"/>
  <c r="V571" i="2" s="1"/>
  <c r="Z571" i="2" s="1"/>
  <c r="U563" i="2"/>
  <c r="V563" i="2" s="1"/>
  <c r="Z563" i="2" s="1"/>
  <c r="U555" i="2"/>
  <c r="V555" i="2" s="1"/>
  <c r="Z555" i="2" s="1"/>
  <c r="U547" i="2"/>
  <c r="V547" i="2" s="1"/>
  <c r="Z547" i="2" s="1"/>
  <c r="U539" i="2"/>
  <c r="V539" i="2" s="1"/>
  <c r="U531" i="2"/>
  <c r="V531" i="2" s="1"/>
  <c r="Z531" i="2" s="1"/>
  <c r="U523" i="2"/>
  <c r="V523" i="2" s="1"/>
  <c r="Z523" i="2" s="1"/>
  <c r="U515" i="2"/>
  <c r="V515" i="2" s="1"/>
  <c r="Z515" i="2" s="1"/>
  <c r="U507" i="2"/>
  <c r="V507" i="2" s="1"/>
  <c r="Z507" i="2" s="1"/>
  <c r="U499" i="2"/>
  <c r="V499" i="2" s="1"/>
  <c r="Z499" i="2" s="1"/>
  <c r="U491" i="2"/>
  <c r="V491" i="2" s="1"/>
  <c r="Z491" i="2" s="1"/>
  <c r="U483" i="2"/>
  <c r="V483" i="2" s="1"/>
  <c r="Z483" i="2" s="1"/>
  <c r="U475" i="2"/>
  <c r="V475" i="2" s="1"/>
  <c r="U467" i="2"/>
  <c r="V467" i="2" s="1"/>
  <c r="Z467" i="2" s="1"/>
  <c r="U459" i="2"/>
  <c r="V459" i="2" s="1"/>
  <c r="Z459" i="2" s="1"/>
  <c r="U451" i="2"/>
  <c r="V451" i="2" s="1"/>
  <c r="Z451" i="2" s="1"/>
  <c r="U443" i="2"/>
  <c r="V443" i="2" s="1"/>
  <c r="Z443" i="2" s="1"/>
  <c r="U435" i="2"/>
  <c r="V435" i="2" s="1"/>
  <c r="Z435" i="2" s="1"/>
  <c r="U427" i="2"/>
  <c r="V427" i="2" s="1"/>
  <c r="Z427" i="2" s="1"/>
  <c r="U419" i="2"/>
  <c r="V419" i="2" s="1"/>
  <c r="Z419" i="2" s="1"/>
  <c r="U411" i="2"/>
  <c r="V411" i="2" s="1"/>
  <c r="U403" i="2"/>
  <c r="V403" i="2" s="1"/>
  <c r="Z403" i="2" s="1"/>
  <c r="U395" i="2"/>
  <c r="V395" i="2" s="1"/>
  <c r="Z395" i="2" s="1"/>
  <c r="U387" i="2"/>
  <c r="V387" i="2" s="1"/>
  <c r="Z387" i="2" s="1"/>
  <c r="U379" i="2"/>
  <c r="V379" i="2" s="1"/>
  <c r="Z379" i="2" s="1"/>
  <c r="U371" i="2"/>
  <c r="V371" i="2" s="1"/>
  <c r="Z371" i="2" s="1"/>
  <c r="U363" i="2"/>
  <c r="V363" i="2" s="1"/>
  <c r="Z363" i="2" s="1"/>
  <c r="U355" i="2"/>
  <c r="V355" i="2" s="1"/>
  <c r="Z355" i="2" s="1"/>
  <c r="U347" i="2"/>
  <c r="V347" i="2" s="1"/>
  <c r="U339" i="2"/>
  <c r="V339" i="2" s="1"/>
  <c r="Z339" i="2" s="1"/>
  <c r="U331" i="2"/>
  <c r="V331" i="2" s="1"/>
  <c r="Z331" i="2" s="1"/>
  <c r="U323" i="2"/>
  <c r="V323" i="2" s="1"/>
  <c r="U315" i="2"/>
  <c r="V315" i="2" s="1"/>
  <c r="Z315" i="2" s="1"/>
  <c r="U307" i="2"/>
  <c r="V307" i="2" s="1"/>
  <c r="Z307" i="2" s="1"/>
  <c r="U179" i="2"/>
  <c r="V179" i="2" s="1"/>
  <c r="Z179" i="2" s="1"/>
  <c r="U163" i="2"/>
  <c r="V163" i="2" s="1"/>
  <c r="Z163" i="2" s="1"/>
  <c r="U155" i="2"/>
  <c r="V155" i="2" s="1"/>
  <c r="Z155" i="2" s="1"/>
  <c r="U107" i="2"/>
  <c r="V107" i="2" s="1"/>
  <c r="Z107" i="2" s="1"/>
  <c r="U51" i="2"/>
  <c r="V51" i="2" s="1"/>
  <c r="Z51" i="2" s="1"/>
  <c r="U35" i="2"/>
  <c r="V35" i="2" s="1"/>
  <c r="Z35" i="2" s="1"/>
  <c r="U27" i="2"/>
  <c r="V27" i="2" s="1"/>
  <c r="Z27" i="2" s="1"/>
  <c r="U1194" i="2"/>
  <c r="V1194" i="2" s="1"/>
  <c r="Z1194" i="2" s="1"/>
  <c r="U1186" i="2"/>
  <c r="V1186" i="2" s="1"/>
  <c r="Z1186" i="2" s="1"/>
  <c r="U1178" i="2"/>
  <c r="V1178" i="2" s="1"/>
  <c r="Z1178" i="2" s="1"/>
  <c r="U1170" i="2"/>
  <c r="V1170" i="2" s="1"/>
  <c r="U1162" i="2"/>
  <c r="V1162" i="2" s="1"/>
  <c r="Z1162" i="2" s="1"/>
  <c r="U1154" i="2"/>
  <c r="V1154" i="2" s="1"/>
  <c r="Z1154" i="2" s="1"/>
  <c r="U1146" i="2"/>
  <c r="V1146" i="2" s="1"/>
  <c r="Z1146" i="2" s="1"/>
  <c r="U1138" i="2"/>
  <c r="V1138" i="2" s="1"/>
  <c r="Z1138" i="2" s="1"/>
  <c r="U1130" i="2"/>
  <c r="V1130" i="2" s="1"/>
  <c r="Z1130" i="2" s="1"/>
  <c r="U1122" i="2"/>
  <c r="V1122" i="2" s="1"/>
  <c r="Z1122" i="2" s="1"/>
  <c r="U1114" i="2"/>
  <c r="V1114" i="2" s="1"/>
  <c r="Z1114" i="2" s="1"/>
  <c r="U1106" i="2"/>
  <c r="V1106" i="2" s="1"/>
  <c r="U1098" i="2"/>
  <c r="V1098" i="2" s="1"/>
  <c r="Z1098" i="2" s="1"/>
  <c r="U1090" i="2"/>
  <c r="V1090" i="2" s="1"/>
  <c r="Z1090" i="2" s="1"/>
  <c r="U1082" i="2"/>
  <c r="V1082" i="2" s="1"/>
  <c r="Z1082" i="2" s="1"/>
  <c r="U1074" i="2"/>
  <c r="V1074" i="2" s="1"/>
  <c r="Z1074" i="2" s="1"/>
  <c r="U1066" i="2"/>
  <c r="V1066" i="2" s="1"/>
  <c r="Z1066" i="2" s="1"/>
  <c r="U1058" i="2"/>
  <c r="V1058" i="2" s="1"/>
  <c r="Z1058" i="2" s="1"/>
  <c r="U1050" i="2"/>
  <c r="V1050" i="2" s="1"/>
  <c r="Z1050" i="2" s="1"/>
  <c r="U1042" i="2"/>
  <c r="V1042" i="2" s="1"/>
  <c r="U1034" i="2"/>
  <c r="V1034" i="2" s="1"/>
  <c r="Z1034" i="2" s="1"/>
  <c r="U1026" i="2"/>
  <c r="V1026" i="2" s="1"/>
  <c r="Z1026" i="2" s="1"/>
  <c r="U1018" i="2"/>
  <c r="V1018" i="2" s="1"/>
  <c r="Z1018" i="2" s="1"/>
  <c r="U1010" i="2"/>
  <c r="V1010" i="2" s="1"/>
  <c r="Z1010" i="2" s="1"/>
  <c r="U1002" i="2"/>
  <c r="V1002" i="2" s="1"/>
  <c r="Z1002" i="2" s="1"/>
  <c r="U994" i="2"/>
  <c r="V994" i="2" s="1"/>
  <c r="Z994" i="2" s="1"/>
  <c r="U986" i="2"/>
  <c r="V986" i="2" s="1"/>
  <c r="Z986" i="2" s="1"/>
  <c r="U978" i="2"/>
  <c r="V978" i="2" s="1"/>
  <c r="U970" i="2"/>
  <c r="V970" i="2" s="1"/>
  <c r="Z970" i="2" s="1"/>
  <c r="U962" i="2"/>
  <c r="V962" i="2" s="1"/>
  <c r="Z962" i="2" s="1"/>
  <c r="U954" i="2"/>
  <c r="V954" i="2" s="1"/>
  <c r="Z954" i="2" s="1"/>
  <c r="U946" i="2"/>
  <c r="V946" i="2" s="1"/>
  <c r="Z946" i="2" s="1"/>
  <c r="U938" i="2"/>
  <c r="V938" i="2" s="1"/>
  <c r="Z938" i="2" s="1"/>
  <c r="U930" i="2"/>
  <c r="V930" i="2" s="1"/>
  <c r="Z930" i="2" s="1"/>
  <c r="U922" i="2"/>
  <c r="V922" i="2" s="1"/>
  <c r="Z922" i="2" s="1"/>
  <c r="U914" i="2"/>
  <c r="V914" i="2" s="1"/>
  <c r="U906" i="2"/>
  <c r="V906" i="2" s="1"/>
  <c r="Z906" i="2" s="1"/>
  <c r="U898" i="2"/>
  <c r="V898" i="2" s="1"/>
  <c r="Z898" i="2" s="1"/>
  <c r="U890" i="2"/>
  <c r="V890" i="2" s="1"/>
  <c r="Z890" i="2" s="1"/>
  <c r="U882" i="2"/>
  <c r="V882" i="2" s="1"/>
  <c r="Z882" i="2" s="1"/>
  <c r="U874" i="2"/>
  <c r="V874" i="2" s="1"/>
  <c r="Z874" i="2" s="1"/>
  <c r="U866" i="2"/>
  <c r="V866" i="2" s="1"/>
  <c r="Z866" i="2" s="1"/>
  <c r="U858" i="2"/>
  <c r="V858" i="2" s="1"/>
  <c r="Z858" i="2" s="1"/>
  <c r="U850" i="2"/>
  <c r="V850" i="2" s="1"/>
  <c r="U842" i="2"/>
  <c r="V842" i="2" s="1"/>
  <c r="Z842" i="2" s="1"/>
  <c r="U834" i="2"/>
  <c r="V834" i="2" s="1"/>
  <c r="Z834" i="2" s="1"/>
  <c r="U826" i="2"/>
  <c r="V826" i="2" s="1"/>
  <c r="Z826" i="2" s="1"/>
  <c r="U818" i="2"/>
  <c r="V818" i="2" s="1"/>
  <c r="Z818" i="2" s="1"/>
  <c r="U810" i="2"/>
  <c r="V810" i="2" s="1"/>
  <c r="Z810" i="2" s="1"/>
  <c r="U802" i="2"/>
  <c r="V802" i="2" s="1"/>
  <c r="Z802" i="2" s="1"/>
  <c r="U794" i="2"/>
  <c r="V794" i="2" s="1"/>
  <c r="Z794" i="2" s="1"/>
  <c r="U786" i="2"/>
  <c r="V786" i="2" s="1"/>
  <c r="U778" i="2"/>
  <c r="V778" i="2" s="1"/>
  <c r="Z778" i="2" s="1"/>
  <c r="U770" i="2"/>
  <c r="V770" i="2" s="1"/>
  <c r="Z770" i="2" s="1"/>
  <c r="U762" i="2"/>
  <c r="V762" i="2" s="1"/>
  <c r="Z762" i="2" s="1"/>
  <c r="U754" i="2"/>
  <c r="V754" i="2" s="1"/>
  <c r="Z754" i="2" s="1"/>
  <c r="U746" i="2"/>
  <c r="V746" i="2" s="1"/>
  <c r="Z746" i="2" s="1"/>
  <c r="U738" i="2"/>
  <c r="V738" i="2" s="1"/>
  <c r="Z738" i="2" s="1"/>
  <c r="U730" i="2"/>
  <c r="V730" i="2" s="1"/>
  <c r="Z730" i="2" s="1"/>
  <c r="U722" i="2"/>
  <c r="V722" i="2" s="1"/>
  <c r="U714" i="2"/>
  <c r="V714" i="2" s="1"/>
  <c r="Z714" i="2" s="1"/>
  <c r="U706" i="2"/>
  <c r="V706" i="2" s="1"/>
  <c r="Z706" i="2" s="1"/>
  <c r="U698" i="2"/>
  <c r="V698" i="2" s="1"/>
  <c r="Z698" i="2" s="1"/>
  <c r="U690" i="2"/>
  <c r="V690" i="2" s="1"/>
  <c r="Z690" i="2" s="1"/>
  <c r="U682" i="2"/>
  <c r="V682" i="2" s="1"/>
  <c r="Z682" i="2" s="1"/>
  <c r="U674" i="2"/>
  <c r="V674" i="2" s="1"/>
  <c r="Z674" i="2" s="1"/>
  <c r="U666" i="2"/>
  <c r="V666" i="2" s="1"/>
  <c r="Z666" i="2" s="1"/>
  <c r="U658" i="2"/>
  <c r="V658" i="2" s="1"/>
  <c r="U650" i="2"/>
  <c r="V650" i="2" s="1"/>
  <c r="Z650" i="2" s="1"/>
  <c r="U642" i="2"/>
  <c r="V642" i="2" s="1"/>
  <c r="Z642" i="2" s="1"/>
  <c r="U634" i="2"/>
  <c r="V634" i="2" s="1"/>
  <c r="Z634" i="2" s="1"/>
  <c r="U626" i="2"/>
  <c r="V626" i="2" s="1"/>
  <c r="Z626" i="2" s="1"/>
  <c r="U618" i="2"/>
  <c r="V618" i="2" s="1"/>
  <c r="Z618" i="2" s="1"/>
  <c r="U610" i="2"/>
  <c r="V610" i="2" s="1"/>
  <c r="Z610" i="2" s="1"/>
  <c r="U602" i="2"/>
  <c r="V602" i="2" s="1"/>
  <c r="Z602" i="2" s="1"/>
  <c r="U594" i="2"/>
  <c r="V594" i="2" s="1"/>
  <c r="U586" i="2"/>
  <c r="V586" i="2" s="1"/>
  <c r="Z586" i="2" s="1"/>
  <c r="U578" i="2"/>
  <c r="V578" i="2" s="1"/>
  <c r="Z578" i="2" s="1"/>
  <c r="U570" i="2"/>
  <c r="V570" i="2" s="1"/>
  <c r="Z570" i="2" s="1"/>
  <c r="U562" i="2"/>
  <c r="V562" i="2" s="1"/>
  <c r="Z562" i="2" s="1"/>
  <c r="U554" i="2"/>
  <c r="V554" i="2" s="1"/>
  <c r="Z554" i="2" s="1"/>
  <c r="U546" i="2"/>
  <c r="V546" i="2" s="1"/>
  <c r="Z546" i="2" s="1"/>
  <c r="U538" i="2"/>
  <c r="V538" i="2" s="1"/>
  <c r="Z538" i="2" s="1"/>
  <c r="U530" i="2"/>
  <c r="V530" i="2" s="1"/>
  <c r="U522" i="2"/>
  <c r="V522" i="2" s="1"/>
  <c r="Z522" i="2" s="1"/>
  <c r="U514" i="2"/>
  <c r="V514" i="2" s="1"/>
  <c r="Z514" i="2" s="1"/>
  <c r="U506" i="2"/>
  <c r="V506" i="2" s="1"/>
  <c r="Z506" i="2" s="1"/>
  <c r="U498" i="2"/>
  <c r="V498" i="2" s="1"/>
  <c r="Z498" i="2" s="1"/>
  <c r="U490" i="2"/>
  <c r="V490" i="2" s="1"/>
  <c r="Z490" i="2" s="1"/>
  <c r="U482" i="2"/>
  <c r="V482" i="2" s="1"/>
  <c r="Z482" i="2" s="1"/>
  <c r="U474" i="2"/>
  <c r="V474" i="2" s="1"/>
  <c r="Z474" i="2" s="1"/>
  <c r="U466" i="2"/>
  <c r="V466" i="2" s="1"/>
  <c r="U458" i="2"/>
  <c r="V458" i="2" s="1"/>
  <c r="Z458" i="2" s="1"/>
  <c r="U450" i="2"/>
  <c r="V450" i="2" s="1"/>
  <c r="Z450" i="2" s="1"/>
  <c r="U442" i="2"/>
  <c r="V442" i="2" s="1"/>
  <c r="Z442" i="2" s="1"/>
  <c r="U434" i="2"/>
  <c r="V434" i="2" s="1"/>
  <c r="Z434" i="2" s="1"/>
  <c r="U426" i="2"/>
  <c r="V426" i="2" s="1"/>
  <c r="Z426" i="2" s="1"/>
  <c r="U418" i="2"/>
  <c r="V418" i="2" s="1"/>
  <c r="Z418" i="2" s="1"/>
  <c r="U410" i="2"/>
  <c r="V410" i="2" s="1"/>
  <c r="Z410" i="2" s="1"/>
  <c r="U402" i="2"/>
  <c r="V402" i="2" s="1"/>
  <c r="U394" i="2"/>
  <c r="V394" i="2" s="1"/>
  <c r="Z394" i="2" s="1"/>
  <c r="U386" i="2"/>
  <c r="V386" i="2" s="1"/>
  <c r="Z386" i="2" s="1"/>
  <c r="U378" i="2"/>
  <c r="V378" i="2" s="1"/>
  <c r="Z378" i="2" s="1"/>
  <c r="U370" i="2"/>
  <c r="V370" i="2" s="1"/>
  <c r="Z370" i="2" s="1"/>
  <c r="U354" i="2"/>
  <c r="V354" i="2" s="1"/>
  <c r="Z354" i="2" s="1"/>
  <c r="U338" i="2"/>
  <c r="V338" i="2" s="1"/>
  <c r="Z338" i="2" s="1"/>
  <c r="U330" i="2"/>
  <c r="V330" i="2" s="1"/>
  <c r="Z330" i="2" s="1"/>
  <c r="U314" i="2"/>
  <c r="V314" i="2" s="1"/>
  <c r="Z314" i="2" s="1"/>
  <c r="U290" i="2"/>
  <c r="V290" i="2" s="1"/>
  <c r="Z290" i="2" s="1"/>
  <c r="U274" i="2"/>
  <c r="V274" i="2" s="1"/>
  <c r="Z274" i="2" s="1"/>
  <c r="U266" i="2"/>
  <c r="V266" i="2" s="1"/>
  <c r="Z266" i="2" s="1"/>
  <c r="U250" i="2"/>
  <c r="V250" i="2" s="1"/>
  <c r="Z250" i="2" s="1"/>
  <c r="U226" i="2"/>
  <c r="V226" i="2" s="1"/>
  <c r="Z226" i="2" s="1"/>
  <c r="U162" i="2"/>
  <c r="V162" i="2" s="1"/>
  <c r="Z162" i="2" s="1"/>
  <c r="U106" i="2"/>
  <c r="V106" i="2" s="1"/>
  <c r="Z106" i="2" s="1"/>
  <c r="U90" i="2"/>
  <c r="V90" i="2" s="1"/>
  <c r="U82" i="2"/>
  <c r="V82" i="2" s="1"/>
  <c r="Z82" i="2" s="1"/>
  <c r="U34" i="2"/>
  <c r="V34" i="2" s="1"/>
  <c r="Z34" i="2" s="1"/>
  <c r="U362" i="2"/>
  <c r="V362" i="2" s="1"/>
  <c r="Z362" i="2" s="1"/>
  <c r="U346" i="2"/>
  <c r="V346" i="2" s="1"/>
  <c r="Z346" i="2" s="1"/>
  <c r="U322" i="2"/>
  <c r="V322" i="2" s="1"/>
  <c r="Z322" i="2" s="1"/>
  <c r="U306" i="2"/>
  <c r="V306" i="2" s="1"/>
  <c r="U298" i="2"/>
  <c r="V298" i="2" s="1"/>
  <c r="Z298" i="2" s="1"/>
  <c r="U282" i="2"/>
  <c r="V282" i="2" s="1"/>
  <c r="Z282" i="2" s="1"/>
  <c r="U258" i="2"/>
  <c r="V258" i="2" s="1"/>
  <c r="U242" i="2"/>
  <c r="V242" i="2" s="1"/>
  <c r="Z242" i="2" s="1"/>
  <c r="U234" i="2"/>
  <c r="V234" i="2" s="1"/>
  <c r="Z234" i="2" s="1"/>
  <c r="U218" i="2"/>
  <c r="V218" i="2" s="1"/>
  <c r="Z218" i="2" s="1"/>
  <c r="U210" i="2"/>
  <c r="V210" i="2" s="1"/>
  <c r="Z210" i="2" s="1"/>
  <c r="U202" i="2"/>
  <c r="V202" i="2" s="1"/>
  <c r="Z202" i="2" s="1"/>
  <c r="U194" i="2"/>
  <c r="V194" i="2" s="1"/>
  <c r="Z194" i="2" s="1"/>
  <c r="U186" i="2"/>
  <c r="V186" i="2" s="1"/>
  <c r="Z186" i="2" s="1"/>
  <c r="U178" i="2"/>
  <c r="V178" i="2" s="1"/>
  <c r="Z178" i="2" s="1"/>
  <c r="U170" i="2"/>
  <c r="V170" i="2" s="1"/>
  <c r="Z170" i="2" s="1"/>
  <c r="U154" i="2"/>
  <c r="V154" i="2" s="1"/>
  <c r="Z154" i="2" s="1"/>
  <c r="U146" i="2"/>
  <c r="V146" i="2" s="1"/>
  <c r="Z146" i="2" s="1"/>
  <c r="U138" i="2"/>
  <c r="V138" i="2" s="1"/>
  <c r="Z138" i="2" s="1"/>
  <c r="U130" i="2"/>
  <c r="V130" i="2" s="1"/>
  <c r="Z130" i="2" s="1"/>
  <c r="U122" i="2"/>
  <c r="V122" i="2" s="1"/>
  <c r="Z122" i="2" s="1"/>
  <c r="U114" i="2"/>
  <c r="V114" i="2" s="1"/>
  <c r="Z114" i="2" s="1"/>
  <c r="U98" i="2"/>
  <c r="V98" i="2" s="1"/>
  <c r="Z98" i="2" s="1"/>
  <c r="U74" i="2"/>
  <c r="V74" i="2" s="1"/>
  <c r="Z74" i="2" s="1"/>
  <c r="U66" i="2"/>
  <c r="V66" i="2" s="1"/>
  <c r="U58" i="2"/>
  <c r="V58" i="2" s="1"/>
  <c r="Z58" i="2" s="1"/>
  <c r="U50" i="2"/>
  <c r="V50" i="2" s="1"/>
  <c r="Z50" i="2" s="1"/>
  <c r="U42" i="2"/>
  <c r="V42" i="2" s="1"/>
  <c r="Z42" i="2" s="1"/>
  <c r="U26" i="2"/>
  <c r="V26" i="2" s="1"/>
  <c r="Z26" i="2" s="1"/>
  <c r="U18" i="2"/>
  <c r="V18" i="2" s="1"/>
  <c r="U10" i="2"/>
  <c r="V10" i="2" s="1"/>
  <c r="Z10" i="2" s="1"/>
  <c r="U2" i="2"/>
  <c r="V2" i="2" s="1"/>
  <c r="Z2" i="2" s="1"/>
  <c r="U193" i="2"/>
  <c r="V193" i="2" s="1"/>
  <c r="Z193" i="2" s="1"/>
  <c r="U185" i="2"/>
  <c r="V185" i="2" s="1"/>
  <c r="Z185" i="2" s="1"/>
  <c r="U177" i="2"/>
  <c r="V177" i="2" s="1"/>
  <c r="Z177" i="2" s="1"/>
  <c r="U169" i="2"/>
  <c r="V169" i="2" s="1"/>
  <c r="Z169" i="2" s="1"/>
  <c r="U153" i="2"/>
  <c r="V153" i="2" s="1"/>
  <c r="Z153" i="2" s="1"/>
  <c r="U129" i="2"/>
  <c r="V129" i="2" s="1"/>
  <c r="U121" i="2"/>
  <c r="V121" i="2" s="1"/>
  <c r="Z121" i="2" s="1"/>
  <c r="U113" i="2"/>
  <c r="V113" i="2" s="1"/>
  <c r="Z113" i="2" s="1"/>
  <c r="U105" i="2"/>
  <c r="V105" i="2" s="1"/>
  <c r="Z105" i="2" s="1"/>
  <c r="U97" i="2"/>
  <c r="V97" i="2" s="1"/>
  <c r="Z97" i="2" s="1"/>
  <c r="U81" i="2"/>
  <c r="V81" i="2" s="1"/>
  <c r="Z81" i="2" s="1"/>
  <c r="U73" i="2"/>
  <c r="V73" i="2" s="1"/>
  <c r="Z73" i="2" s="1"/>
  <c r="U65" i="2"/>
  <c r="V65" i="2" s="1"/>
  <c r="Z65" i="2" s="1"/>
  <c r="U57" i="2"/>
  <c r="V57" i="2" s="1"/>
  <c r="Z57" i="2" s="1"/>
  <c r="U49" i="2"/>
  <c r="V49" i="2" s="1"/>
  <c r="Z49" i="2" s="1"/>
  <c r="U41" i="2"/>
  <c r="V41" i="2" s="1"/>
  <c r="Z41" i="2" s="1"/>
  <c r="U25" i="2"/>
  <c r="V25" i="2" s="1"/>
  <c r="Z25" i="2" s="1"/>
  <c r="U111" i="2"/>
  <c r="V111" i="2" s="1"/>
  <c r="Z111" i="2" s="1"/>
  <c r="U103" i="2"/>
  <c r="V103" i="2" s="1"/>
  <c r="Z103" i="2" s="1"/>
  <c r="U95" i="2"/>
  <c r="V95" i="2" s="1"/>
  <c r="Z95" i="2" s="1"/>
  <c r="U87" i="2"/>
  <c r="V87" i="2" s="1"/>
  <c r="Z87" i="2" s="1"/>
  <c r="U79" i="2"/>
  <c r="V79" i="2" s="1"/>
  <c r="Z79" i="2" s="1"/>
  <c r="U63" i="2"/>
  <c r="V63" i="2" s="1"/>
  <c r="Z63" i="2" s="1"/>
  <c r="U55" i="2"/>
  <c r="V55" i="2" s="1"/>
  <c r="Z55" i="2" s="1"/>
  <c r="U47" i="2"/>
  <c r="V47" i="2" s="1"/>
  <c r="Z47" i="2" s="1"/>
  <c r="U39" i="2"/>
  <c r="V39" i="2" s="1"/>
  <c r="Z39" i="2" s="1"/>
  <c r="U31" i="2"/>
  <c r="V31" i="2" s="1"/>
  <c r="Z31" i="2" s="1"/>
  <c r="U23" i="2"/>
  <c r="V23" i="2" s="1"/>
  <c r="Z23" i="2" s="1"/>
  <c r="U7" i="2"/>
  <c r="V7" i="2" s="1"/>
  <c r="Z7" i="2" s="1"/>
  <c r="U299" i="2"/>
  <c r="V299" i="2" s="1"/>
  <c r="Z299" i="2" s="1"/>
  <c r="U291" i="2"/>
  <c r="V291" i="2" s="1"/>
  <c r="Z291" i="2" s="1"/>
  <c r="U283" i="2"/>
  <c r="V283" i="2" s="1"/>
  <c r="Z283" i="2" s="1"/>
  <c r="U275" i="2"/>
  <c r="V275" i="2" s="1"/>
  <c r="Z275" i="2" s="1"/>
  <c r="U267" i="2"/>
  <c r="V267" i="2" s="1"/>
  <c r="Z267" i="2" s="1"/>
  <c r="U259" i="2"/>
  <c r="V259" i="2" s="1"/>
  <c r="Z259" i="2" s="1"/>
  <c r="U251" i="2"/>
  <c r="V251" i="2" s="1"/>
  <c r="Z251" i="2" s="1"/>
  <c r="U243" i="2"/>
  <c r="V243" i="2" s="1"/>
  <c r="Z243" i="2" s="1"/>
  <c r="U235" i="2"/>
  <c r="V235" i="2" s="1"/>
  <c r="U227" i="2"/>
  <c r="V227" i="2" s="1"/>
  <c r="Z227" i="2" s="1"/>
  <c r="U219" i="2"/>
  <c r="V219" i="2" s="1"/>
  <c r="Z219" i="2" s="1"/>
  <c r="U211" i="2"/>
  <c r="V211" i="2" s="1"/>
  <c r="Z211" i="2" s="1"/>
  <c r="U203" i="2"/>
  <c r="V203" i="2" s="1"/>
  <c r="Z203" i="2" s="1"/>
  <c r="U195" i="2"/>
  <c r="V195" i="2" s="1"/>
  <c r="Z195" i="2" s="1"/>
  <c r="U187" i="2"/>
  <c r="V187" i="2" s="1"/>
  <c r="Z187" i="2" s="1"/>
  <c r="U171" i="2"/>
  <c r="V171" i="2" s="1"/>
  <c r="Z171" i="2" s="1"/>
  <c r="U147" i="2"/>
  <c r="V147" i="2" s="1"/>
  <c r="Z147" i="2" s="1"/>
  <c r="U139" i="2"/>
  <c r="V139" i="2" s="1"/>
  <c r="Z139" i="2" s="1"/>
  <c r="U131" i="2"/>
  <c r="V131" i="2" s="1"/>
  <c r="Z131" i="2" s="1"/>
  <c r="U123" i="2"/>
  <c r="V123" i="2" s="1"/>
  <c r="Z123" i="2" s="1"/>
  <c r="U115" i="2"/>
  <c r="V115" i="2" s="1"/>
  <c r="Z115" i="2" s="1"/>
  <c r="U99" i="2"/>
  <c r="V99" i="2" s="1"/>
  <c r="Z99" i="2" s="1"/>
  <c r="U91" i="2"/>
  <c r="V91" i="2" s="1"/>
  <c r="Z91" i="2" s="1"/>
  <c r="U83" i="2"/>
  <c r="V83" i="2" s="1"/>
  <c r="Z83" i="2" s="1"/>
  <c r="U75" i="2"/>
  <c r="V75" i="2" s="1"/>
  <c r="Z75" i="2" s="1"/>
  <c r="U67" i="2"/>
  <c r="V67" i="2" s="1"/>
  <c r="Z67" i="2" s="1"/>
  <c r="U59" i="2"/>
  <c r="V59" i="2" s="1"/>
  <c r="Z59" i="2" s="1"/>
  <c r="U43" i="2"/>
  <c r="V43" i="2" s="1"/>
  <c r="Z43" i="2" s="1"/>
  <c r="U19" i="2"/>
  <c r="V19" i="2" s="1"/>
  <c r="Z19" i="2" s="1"/>
  <c r="U11" i="2"/>
  <c r="V11" i="2" s="1"/>
  <c r="Z11" i="2" s="1"/>
  <c r="U3" i="2"/>
  <c r="V3" i="2" s="1"/>
  <c r="Z3" i="2" s="1"/>
</calcChain>
</file>

<file path=xl/sharedStrings.xml><?xml version="1.0" encoding="utf-8"?>
<sst xmlns="http://schemas.openxmlformats.org/spreadsheetml/2006/main" count="7341" uniqueCount="87">
  <si>
    <t>Customer_ID</t>
  </si>
  <si>
    <t>Age</t>
  </si>
  <si>
    <t>Employment_Type</t>
  </si>
  <si>
    <t>Monthly_Income</t>
  </si>
  <si>
    <t>Loan_Amount</t>
  </si>
  <si>
    <t>Loan_Tenure_Months</t>
  </si>
  <si>
    <t>Interest_Rate</t>
  </si>
  <si>
    <t>Existing_Loans</t>
  </si>
  <si>
    <t>Credit_History_Years</t>
  </si>
  <si>
    <t>Days_Past_Due</t>
  </si>
  <si>
    <t>Loan_Status</t>
  </si>
  <si>
    <t>Branch</t>
  </si>
  <si>
    <t>Self-Employed</t>
  </si>
  <si>
    <t>Performing</t>
  </si>
  <si>
    <t>Tamale</t>
  </si>
  <si>
    <t xml:space="preserve">Performing </t>
  </si>
  <si>
    <t>Takoradi</t>
  </si>
  <si>
    <t>Contract</t>
  </si>
  <si>
    <t>Non performing</t>
  </si>
  <si>
    <t>Kumasi Main</t>
  </si>
  <si>
    <t>Written Off</t>
  </si>
  <si>
    <t xml:space="preserve">Salaried </t>
  </si>
  <si>
    <t>Accra Central</t>
  </si>
  <si>
    <t>Self employed</t>
  </si>
  <si>
    <t>Non-Performing</t>
  </si>
  <si>
    <t>Tema</t>
  </si>
  <si>
    <t>Salaried</t>
  </si>
  <si>
    <t>Unemployed</t>
  </si>
  <si>
    <t>Column</t>
  </si>
  <si>
    <t>Issue</t>
  </si>
  <si>
    <t>Row Count</t>
  </si>
  <si>
    <t>Magnitude</t>
  </si>
  <si>
    <t>Solvable</t>
  </si>
  <si>
    <t>Resolution</t>
  </si>
  <si>
    <t>Monthly_income</t>
  </si>
  <si>
    <t>Negative income value</t>
  </si>
  <si>
    <t>Loan_amount</t>
  </si>
  <si>
    <t>missing loan amount</t>
  </si>
  <si>
    <t>Negative loan amount value</t>
  </si>
  <si>
    <t>Exisiting_loans</t>
  </si>
  <si>
    <t>Missing values</t>
  </si>
  <si>
    <t>Credit_History_years</t>
  </si>
  <si>
    <t>negative values</t>
  </si>
  <si>
    <t>Days_past_due</t>
  </si>
  <si>
    <t>empty values</t>
  </si>
  <si>
    <t>Loan_status</t>
  </si>
  <si>
    <t>inconsistencies in the naming</t>
  </si>
  <si>
    <t>Y</t>
  </si>
  <si>
    <t>Extreme Age Value</t>
  </si>
  <si>
    <t>Employment_Type_New</t>
  </si>
  <si>
    <t>Loan_Status_New</t>
  </si>
  <si>
    <t>Monthly_Income_New</t>
  </si>
  <si>
    <t>Loan_Amount_New</t>
  </si>
  <si>
    <t>Existing_Loans_New</t>
  </si>
  <si>
    <t>Credit_History_Years_New</t>
  </si>
  <si>
    <t>Days_Past_Due_New</t>
  </si>
  <si>
    <t>Debt-to_Income_Ratio (DTI)</t>
  </si>
  <si>
    <t>Risk_Category</t>
  </si>
  <si>
    <t>Loan_Size_Band</t>
  </si>
  <si>
    <t>Borrower_Stability_Score</t>
  </si>
  <si>
    <t>DTI_Bands</t>
  </si>
  <si>
    <t>Deliquency_Bands</t>
  </si>
  <si>
    <t>Row Labels</t>
  </si>
  <si>
    <t>Grand Total</t>
  </si>
  <si>
    <t>Column Labels</t>
  </si>
  <si>
    <t>NULL</t>
  </si>
  <si>
    <t>Low Risk : Approve</t>
  </si>
  <si>
    <t>High Risk : Reject</t>
  </si>
  <si>
    <t>N</t>
  </si>
  <si>
    <t>Excluded from the analysis, flagged all missing values NULL</t>
  </si>
  <si>
    <t>Excluded from the analysis, flagged all missing loan amount as NULL</t>
  </si>
  <si>
    <t>Monthly_income_Band</t>
  </si>
  <si>
    <t>Excluded from the analysis, flagged values as NULL</t>
  </si>
  <si>
    <t>Count of Customer_ID</t>
  </si>
  <si>
    <t>Convert to absolute values, data entry error</t>
  </si>
  <si>
    <t>Excluded from the analysis, flagged all missing values as NULL</t>
  </si>
  <si>
    <t>Blanks</t>
  </si>
  <si>
    <t>Replaced all inconsistencies to make analysis simple</t>
  </si>
  <si>
    <t>Average of Debt-to_Income_Ratio (DTI)</t>
  </si>
  <si>
    <t>Average of Loan_Amount_New</t>
  </si>
  <si>
    <t>Average of Days_Past_Due_New</t>
  </si>
  <si>
    <t>Medium Risk : Review</t>
  </si>
  <si>
    <t>Risk Summary</t>
  </si>
  <si>
    <t>Branch Risk summary</t>
  </si>
  <si>
    <t>Employment Risk Analysis</t>
  </si>
  <si>
    <t>Replaced all inconsistencies to make analysis simple and applied a TRIM to remove all white spaces</t>
  </si>
  <si>
    <t>Age_new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</si>
</sst>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0" borderId="0" xfId="0" applyFont="1"/>
    <xf numFmtId="10" fontId="16" fillId="0" borderId="0" xfId="1" applyNumberFormat="1" applyFont="1"/>
    <xf numFmtId="9" fontId="0" fillId="0" borderId="0" xfId="1" applyFont="1"/>
    <xf numFmtId="0" fontId="0" fillId="0" borderId="0" xfId="1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left"/>
    </xf>
    <xf numFmtId="0" fontId="18" fillId="0" borderId="0" xfId="0" applyFont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7"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12700</xdr:colOff>
      <xdr:row>8</xdr:row>
      <xdr:rowOff>190500</xdr:rowOff>
    </xdr:from>
    <xdr:ext cx="4813300" cy="114133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52B4A43-420D-EE25-B3DB-DC472CA7152B}"/>
            </a:ext>
          </a:extLst>
        </xdr:cNvPr>
        <xdr:cNvSpPr txBox="1"/>
      </xdr:nvSpPr>
      <xdr:spPr>
        <a:xfrm>
          <a:off x="2971800" y="2006600"/>
          <a:ext cx="4813300" cy="11413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rgbClr val="FF0000"/>
              </a:solidFill>
            </a:rPr>
            <a:t>Risk Summary - Executive Snapshot</a:t>
          </a:r>
        </a:p>
        <a:p>
          <a:endParaRPr lang="en-US" sz="1100"/>
        </a:p>
        <a:p>
          <a:r>
            <a:rPr lang="en-US" sz="1100"/>
            <a:t>-</a:t>
          </a:r>
          <a:r>
            <a:rPr lang="en-US" sz="1100" baseline="0"/>
            <a:t> 75% of portfolio classified as Medium Risk</a:t>
          </a:r>
        </a:p>
        <a:p>
          <a:r>
            <a:rPr lang="en-US" sz="1100" baseline="0"/>
            <a:t>- High Risk borrowers show 0.91 DTI (2x portfolio average)</a:t>
          </a:r>
        </a:p>
        <a:p>
          <a:r>
            <a:rPr lang="en-US" sz="1100" baseline="0"/>
            <a:t>- Low Risk segment presents strong approval opportunity</a:t>
          </a:r>
        </a:p>
        <a:p>
          <a:r>
            <a:rPr lang="en-US" sz="1100" baseline="0"/>
            <a:t>-  Data errors account 1.9% of records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254000</xdr:colOff>
      <xdr:row>11</xdr:row>
      <xdr:rowOff>101600</xdr:rowOff>
    </xdr:from>
    <xdr:ext cx="3898900" cy="114133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D079CCD-E35B-9104-00CD-BFD468884262}"/>
            </a:ext>
          </a:extLst>
        </xdr:cNvPr>
        <xdr:cNvSpPr txBox="1"/>
      </xdr:nvSpPr>
      <xdr:spPr>
        <a:xfrm>
          <a:off x="7823200" y="2336800"/>
          <a:ext cx="3898900" cy="11413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rgbClr val="FF0000"/>
              </a:solidFill>
            </a:rPr>
            <a:t>Branch Risk Summary</a:t>
          </a:r>
        </a:p>
        <a:p>
          <a:endParaRPr lang="en-US" sz="1100"/>
        </a:p>
        <a:p>
          <a:r>
            <a:rPr lang="en-US" sz="1100"/>
            <a:t>- Kumasi main shows highest DTI (0.82) and</a:t>
          </a:r>
          <a:r>
            <a:rPr lang="en-US" sz="1100" baseline="0"/>
            <a:t> deliquency (40.66)</a:t>
          </a:r>
        </a:p>
        <a:p>
          <a:r>
            <a:rPr lang="en-US" sz="1100" baseline="0"/>
            <a:t>- Accra Central has highest high-risk volume (13)</a:t>
          </a:r>
        </a:p>
        <a:p>
          <a:r>
            <a:rPr lang="en-US" sz="1100" baseline="0"/>
            <a:t>- Tema demonstrates strongers affordability (DTI 0.30)</a:t>
          </a:r>
        </a:p>
        <a:p>
          <a:r>
            <a:rPr lang="en-US" sz="1100" baseline="0"/>
            <a:t>- Portfolio risk varies  strongly by branch</a:t>
          </a:r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381000</xdr:colOff>
      <xdr:row>2</xdr:row>
      <xdr:rowOff>12700</xdr:rowOff>
    </xdr:from>
    <xdr:ext cx="3505200" cy="134485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197BF4-B7C7-BFF0-A417-798222219C10}"/>
            </a:ext>
          </a:extLst>
        </xdr:cNvPr>
        <xdr:cNvSpPr txBox="1"/>
      </xdr:nvSpPr>
      <xdr:spPr>
        <a:xfrm>
          <a:off x="6083300" y="419100"/>
          <a:ext cx="3505200" cy="13448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>
              <a:solidFill>
                <a:srgbClr val="FF0000"/>
              </a:solidFill>
            </a:rPr>
            <a:t>Employment Risk Analysis</a:t>
          </a:r>
        </a:p>
        <a:p>
          <a:endParaRPr lang="en-US" sz="1100"/>
        </a:p>
        <a:p>
          <a:r>
            <a:rPr lang="en-US"/>
            <a:t>- Self-Employed = Highest DTI (0.63) and delinquency</a:t>
          </a:r>
        </a:p>
        <a:p>
          <a:r>
            <a:rPr lang="en-US"/>
            <a:t>- Salaried = Strongest credit profile</a:t>
          </a:r>
        </a:p>
        <a:p>
          <a:r>
            <a:rPr lang="en-US"/>
            <a:t>- Unemployed = Highest rejection rate (9.41%)</a:t>
          </a:r>
        </a:p>
        <a:p>
          <a:r>
            <a:rPr lang="en-US"/>
            <a:t>- Majority across all groups fall into Medium Risk</a:t>
          </a:r>
        </a:p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6066.607740624997" createdVersion="8" refreshedVersion="8" minRefreshableVersion="3" recordCount="1200">
  <cacheSource type="worksheet">
    <worksheetSource name="Table1"/>
  </cacheSource>
  <cacheFields count="26">
    <cacheField name="Customer_ID" numFmtId="0">
      <sharedItems containsSemiMixedTypes="0" containsString="0" containsNumber="1" containsInteger="1" minValue="20006" maxValue="25996"/>
    </cacheField>
    <cacheField name="Age" numFmtId="0">
      <sharedItems containsSemiMixedTypes="0" containsString="0" containsNumber="1" containsInteger="1" minValue="18" maxValue="120"/>
    </cacheField>
    <cacheField name="Employment_Type" numFmtId="0">
      <sharedItems/>
    </cacheField>
    <cacheField name="Employment_Type_New" numFmtId="0">
      <sharedItems count="4">
        <s v="Self-Employed"/>
        <s v="Contract"/>
        <s v="Salaried"/>
        <s v="Unemployed"/>
      </sharedItems>
    </cacheField>
    <cacheField name="Monthly_Income" numFmtId="0">
      <sharedItems containsSemiMixedTypes="0" containsString="0" containsNumber="1" minValue="-1500" maxValue="11856.95"/>
    </cacheField>
    <cacheField name="Monthly_Income_New" numFmtId="0">
      <sharedItems containsSemiMixedTypes="0" containsString="0" containsNumber="1" minValue="32.92" maxValue="11856.95"/>
    </cacheField>
    <cacheField name="Loan_Amount" numFmtId="0">
      <sharedItems containsString="0" containsBlank="1" containsNumber="1" minValue="-7289.5" maxValue="47021.07"/>
    </cacheField>
    <cacheField name="Loan_Amount_New" numFmtId="0">
      <sharedItems containsMixedTypes="1" containsNumber="1" minValue="79.27" maxValue="47021.07"/>
    </cacheField>
    <cacheField name="Loan_Tenure_Months" numFmtId="0">
      <sharedItems containsSemiMixedTypes="0" containsString="0" containsNumber="1" containsInteger="1" minValue="6" maxValue="60"/>
    </cacheField>
    <cacheField name="Interest_Rate" numFmtId="0">
      <sharedItems containsSemiMixedTypes="0" containsString="0" containsNumber="1" minValue="2.87" maxValue="55"/>
    </cacheField>
    <cacheField name="Existing_Loans" numFmtId="0">
      <sharedItems containsString="0" containsBlank="1" containsNumber="1" containsInteger="1" minValue="0" maxValue="4"/>
    </cacheField>
    <cacheField name="Existing_Loans_New" numFmtId="0">
      <sharedItems containsMixedTypes="1" containsNumber="1" containsInteger="1" minValue="0" maxValue="4"/>
    </cacheField>
    <cacheField name="Credit_History_Years" numFmtId="0">
      <sharedItems containsString="0" containsBlank="1" containsNumber="1" minValue="-4.4000000000000004" maxValue="17.100000000000001"/>
    </cacheField>
    <cacheField name="Credit_History_Years_New" numFmtId="0">
      <sharedItems containsMixedTypes="1" containsNumber="1" minValue="0" maxValue="17.100000000000001"/>
    </cacheField>
    <cacheField name="Days_Past_Due" numFmtId="0">
      <sharedItems containsString="0" containsBlank="1" containsNumber="1" containsInteger="1" minValue="0" maxValue="120"/>
    </cacheField>
    <cacheField name="Days_Past_Due_New" numFmtId="0">
      <sharedItems containsMixedTypes="1" containsNumber="1" containsInteger="1" minValue="0" maxValue="120"/>
    </cacheField>
    <cacheField name="Loan_Status" numFmtId="0">
      <sharedItems/>
    </cacheField>
    <cacheField name="Loan_Status_New" numFmtId="0">
      <sharedItems/>
    </cacheField>
    <cacheField name="Branch" numFmtId="0">
      <sharedItems count="5">
        <s v="Tamale"/>
        <s v="Takoradi"/>
        <s v="Kumasi Main"/>
        <s v="Accra Central"/>
        <s v="Tema"/>
      </sharedItems>
    </cacheField>
    <cacheField name="Debt-to_Income_Ratio (DTI)" numFmtId="9">
      <sharedItems containsMixedTypes="1" containsNumber="1" minValue="5.9828092365665222E-4" maxValue="100.52556703118671"/>
    </cacheField>
    <cacheField name="DTI_Bands" numFmtId="0">
      <sharedItems/>
    </cacheField>
    <cacheField name="Deliquency_Bands" numFmtId="0">
      <sharedItems/>
    </cacheField>
    <cacheField name="Loan_Size_Band" numFmtId="0">
      <sharedItems/>
    </cacheField>
    <cacheField name="Borrower_Stability_Score" numFmtId="0">
      <sharedItems/>
    </cacheField>
    <cacheField name="Risk_Category" numFmtId="0">
      <sharedItems count="5">
        <s v="Medium Risk : Review"/>
        <s v="Low Risk : Approve"/>
        <s v="High Risk : Reject"/>
        <s v="NULL"/>
        <s v="Review" u="1"/>
      </sharedItems>
    </cacheField>
    <cacheField name="Monthly_income_Ban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0">
  <r>
    <n v="24272"/>
    <n v="27"/>
    <s v="Self-Employed"/>
    <x v="0"/>
    <n v="-1500"/>
    <n v="1500"/>
    <n v="26417.31"/>
    <n v="26417.31"/>
    <n v="36"/>
    <n v="10.84"/>
    <n v="4"/>
    <n v="4"/>
    <n v="4.0999999999999996"/>
    <n v="4.0999999999999996"/>
    <n v="0"/>
    <n v="0"/>
    <s v="Performing"/>
    <s v="Performing"/>
    <x v="0"/>
    <n v="0.48920944444444447"/>
    <s v="High Stress"/>
    <s v="Good"/>
    <s v="Medium"/>
    <s v="Medium"/>
    <x v="0"/>
    <s v="Low"/>
  </r>
  <r>
    <n v="21221"/>
    <n v="37"/>
    <s v="Self-Employed"/>
    <x v="0"/>
    <n v="-1500"/>
    <n v="1500"/>
    <n v="17170.419999999998"/>
    <n v="17170.419999999998"/>
    <n v="24"/>
    <n v="21.89"/>
    <n v="0"/>
    <n v="0"/>
    <n v="6.6"/>
    <n v="6.6"/>
    <n v="30"/>
    <n v="30"/>
    <s v="Performing "/>
    <s v="Performing "/>
    <x v="1"/>
    <n v="0.47695611111111108"/>
    <s v="High Stress"/>
    <s v="At Risk"/>
    <s v="Medium"/>
    <s v="Medium"/>
    <x v="0"/>
    <s v="Low"/>
  </r>
  <r>
    <n v="20538"/>
    <n v="34"/>
    <s v="Contract"/>
    <x v="1"/>
    <n v="4042.73"/>
    <n v="4042.73"/>
    <n v="15761.35"/>
    <n v="15761.35"/>
    <n v="48"/>
    <n v="22.02"/>
    <m/>
    <s v="NULL"/>
    <n v="6.2"/>
    <n v="6.2"/>
    <n v="0"/>
    <n v="0"/>
    <s v="Non performing"/>
    <s v="Non-Performing"/>
    <x v="2"/>
    <n v="8.1222703057917137E-2"/>
    <s v="Healthy"/>
    <s v="Good"/>
    <s v="Medium"/>
    <s v="Low"/>
    <x v="0"/>
    <s v="Medium"/>
  </r>
  <r>
    <n v="22551"/>
    <n v="35"/>
    <s v="Self-Employed"/>
    <x v="0"/>
    <n v="4406.25"/>
    <n v="4406.25"/>
    <n v="9012.68"/>
    <n v="9012.68"/>
    <n v="48"/>
    <n v="24.77"/>
    <n v="3"/>
    <n v="3"/>
    <n v="6.8"/>
    <n v="6.8"/>
    <n v="0"/>
    <n v="0"/>
    <s v="Written Off"/>
    <s v="Written Off"/>
    <x v="2"/>
    <n v="4.2613144208037829E-2"/>
    <s v="Healthy"/>
    <s v="Good"/>
    <s v="Small"/>
    <s v="Medium"/>
    <x v="1"/>
    <s v="Medium"/>
  </r>
  <r>
    <n v="25700"/>
    <n v="22"/>
    <s v="Salaried "/>
    <x v="2"/>
    <n v="4896.3900000000003"/>
    <n v="4896.3900000000003"/>
    <n v="23125.47"/>
    <n v="23125.47"/>
    <n v="60"/>
    <n v="13.92"/>
    <n v="1"/>
    <n v="1"/>
    <n v="6.9"/>
    <n v="6.9"/>
    <n v="0"/>
    <n v="0"/>
    <s v="Performing "/>
    <s v="Performing "/>
    <x v="3"/>
    <n v="7.8716054072490133E-2"/>
    <s v="Healthy"/>
    <s v="Good"/>
    <s v="Medium"/>
    <s v="High"/>
    <x v="1"/>
    <s v="Medium"/>
  </r>
  <r>
    <n v="24308"/>
    <n v="51"/>
    <s v="Self employed"/>
    <x v="0"/>
    <n v="4669.18"/>
    <n v="4669.18"/>
    <n v="13176.32"/>
    <n v="13176.32"/>
    <n v="36"/>
    <n v="24.25"/>
    <n v="3"/>
    <n v="3"/>
    <n v="6.5"/>
    <n v="6.5"/>
    <n v="0"/>
    <n v="0"/>
    <s v="Performing "/>
    <s v="Performing "/>
    <x v="0"/>
    <n v="7.8388258514105011E-2"/>
    <s v="Healthy"/>
    <s v="Good"/>
    <s v="Medium"/>
    <s v="Medium"/>
    <x v="1"/>
    <s v="Medium"/>
  </r>
  <r>
    <n v="20920"/>
    <n v="38"/>
    <s v="Self employed"/>
    <x v="0"/>
    <n v="3891.1"/>
    <n v="3891.1"/>
    <n v="17072.47"/>
    <n v="17072.47"/>
    <n v="60"/>
    <n v="12.21"/>
    <n v="2"/>
    <n v="2"/>
    <n v="9.4"/>
    <n v="9.4"/>
    <m/>
    <s v="NULL"/>
    <s v="Performing"/>
    <s v="Performing"/>
    <x v="2"/>
    <n v="7.3126151131213971E-2"/>
    <s v="Healthy"/>
    <s v="NULL"/>
    <s v="Medium"/>
    <s v="Medium"/>
    <x v="0"/>
    <s v="Medium"/>
  </r>
  <r>
    <n v="25736"/>
    <n v="55"/>
    <s v="Self employed"/>
    <x v="0"/>
    <n v="-1500"/>
    <n v="1500"/>
    <n v="16412.11"/>
    <n v="16412.11"/>
    <n v="6"/>
    <n v="20.18"/>
    <m/>
    <s v="NULL"/>
    <n v="4.3"/>
    <n v="4.3"/>
    <n v="0"/>
    <n v="0"/>
    <s v="Non performing"/>
    <s v="Non-Performing"/>
    <x v="3"/>
    <n v="1.8235677777777779"/>
    <s v="High Stress"/>
    <s v="Good"/>
    <s v="Medium"/>
    <s v="Medium"/>
    <x v="0"/>
    <s v="Low"/>
  </r>
  <r>
    <n v="21373"/>
    <n v="54"/>
    <s v="Self-Employed"/>
    <x v="0"/>
    <n v="1529.87"/>
    <n v="1529.87"/>
    <n v="27758.63"/>
    <n v="27758.63"/>
    <n v="48"/>
    <n v="15.61"/>
    <m/>
    <s v="NULL"/>
    <n v="13"/>
    <n v="13"/>
    <n v="0"/>
    <n v="0"/>
    <s v="Performing "/>
    <s v="Performing "/>
    <x v="1"/>
    <n v="0.37800910643823771"/>
    <s v="Stretched"/>
    <s v="Good"/>
    <s v="Medium"/>
    <s v="Medium"/>
    <x v="0"/>
    <s v="Low"/>
  </r>
  <r>
    <n v="23258"/>
    <n v="21"/>
    <s v="Salaried "/>
    <x v="2"/>
    <n v="3870.03"/>
    <n v="3870.03"/>
    <n v="16117.96"/>
    <n v="16117.96"/>
    <n v="6"/>
    <n v="26.11"/>
    <n v="2"/>
    <n v="2"/>
    <m/>
    <s v="NULL"/>
    <n v="0"/>
    <n v="0"/>
    <s v="Performing "/>
    <s v="Performing "/>
    <x v="3"/>
    <n v="0.69413587663833787"/>
    <s v="High Stress"/>
    <s v="Good"/>
    <s v="Medium"/>
    <s v="High"/>
    <x v="0"/>
    <s v="Medium"/>
  </r>
  <r>
    <n v="22584"/>
    <n v="40"/>
    <s v="Self-Employed"/>
    <x v="0"/>
    <n v="5921.4"/>
    <n v="5921.4"/>
    <m/>
    <s v="NULL"/>
    <n v="18"/>
    <n v="11.33"/>
    <n v="4"/>
    <n v="4"/>
    <n v="8.5"/>
    <n v="8.5"/>
    <m/>
    <s v="NULL"/>
    <s v="Non performing"/>
    <s v="Non-Performing"/>
    <x v="2"/>
    <s v="NULL"/>
    <s v="NULL"/>
    <s v="NULL"/>
    <s v="High"/>
    <s v="Medium"/>
    <x v="0"/>
    <s v="Medium"/>
  </r>
  <r>
    <n v="23657"/>
    <n v="63"/>
    <s v="Self employed"/>
    <x v="0"/>
    <n v="6747.83"/>
    <n v="6747.83"/>
    <n v="20561.05"/>
    <n v="20561.05"/>
    <n v="48"/>
    <n v="23.68"/>
    <n v="4"/>
    <n v="4"/>
    <n v="8.6"/>
    <n v="8.6"/>
    <n v="0"/>
    <n v="0"/>
    <s v="Written Off"/>
    <s v="Written Off"/>
    <x v="2"/>
    <n v="6.3480438649659715E-2"/>
    <s v="Healthy"/>
    <s v="Good"/>
    <s v="Medium"/>
    <s v="Medium"/>
    <x v="1"/>
    <s v="Medium"/>
  </r>
  <r>
    <n v="24442"/>
    <n v="49"/>
    <s v="Self employed"/>
    <x v="0"/>
    <n v="5446.05"/>
    <n v="5446.05"/>
    <n v="39740.629999999997"/>
    <n v="39740.629999999997"/>
    <n v="48"/>
    <n v="7.26"/>
    <m/>
    <s v="NULL"/>
    <n v="4.5999999999999996"/>
    <n v="4.5999999999999996"/>
    <n v="60"/>
    <n v="60"/>
    <s v="Performing "/>
    <s v="Performing "/>
    <x v="3"/>
    <n v="0.15202390570535829"/>
    <s v="Healthy"/>
    <s v="High Risk"/>
    <s v="High"/>
    <s v="Medium"/>
    <x v="0"/>
    <s v="Medium"/>
  </r>
  <r>
    <n v="24463"/>
    <n v="26"/>
    <s v="Self employed"/>
    <x v="0"/>
    <n v="7918.16"/>
    <n v="7918.16"/>
    <n v="24529.94"/>
    <n v="24529.94"/>
    <n v="60"/>
    <n v="17.48"/>
    <n v="1"/>
    <n v="1"/>
    <n v="6.7"/>
    <n v="6.7"/>
    <n v="0"/>
    <n v="0"/>
    <s v="Non-Performing"/>
    <s v="Non-Performing"/>
    <x v="4"/>
    <n v="5.1632239476511375E-2"/>
    <s v="Healthy"/>
    <s v="Good"/>
    <s v="Medium"/>
    <s v="Medium"/>
    <x v="1"/>
    <s v="Medium"/>
  </r>
  <r>
    <n v="22779"/>
    <n v="41"/>
    <s v="Salaried"/>
    <x v="2"/>
    <n v="-1500"/>
    <n v="1500"/>
    <n v="20880.16"/>
    <n v="20880.16"/>
    <n v="18"/>
    <n v="16.53"/>
    <n v="4"/>
    <n v="4"/>
    <n v="3.1"/>
    <n v="3.1"/>
    <n v="0"/>
    <n v="0"/>
    <s v="Written Off"/>
    <s v="Written Off"/>
    <x v="1"/>
    <n v="0.77333925925925928"/>
    <s v="High Stress"/>
    <s v="Good"/>
    <s v="Medium"/>
    <s v="High"/>
    <x v="0"/>
    <s v="Low"/>
  </r>
  <r>
    <n v="25001"/>
    <n v="40"/>
    <s v="Salaried"/>
    <x v="2"/>
    <n v="3157.05"/>
    <n v="3157.05"/>
    <n v="19119.919999999998"/>
    <n v="19119.919999999998"/>
    <n v="12"/>
    <n v="8.19"/>
    <n v="4"/>
    <n v="4"/>
    <n v="15.7"/>
    <n v="15.7"/>
    <n v="0"/>
    <n v="0"/>
    <s v="Non performing"/>
    <s v="Non-Performing"/>
    <x v="0"/>
    <n v="0.50468844860444606"/>
    <s v="High Stress"/>
    <s v="Good"/>
    <s v="Medium"/>
    <s v="High"/>
    <x v="0"/>
    <s v="Medium"/>
  </r>
  <r>
    <n v="23240"/>
    <n v="61"/>
    <s v="Self employed"/>
    <x v="0"/>
    <n v="6608.54"/>
    <n v="6608.54"/>
    <n v="16723.009999999998"/>
    <n v="16723.009999999998"/>
    <n v="24"/>
    <n v="20.71"/>
    <n v="4"/>
    <n v="4"/>
    <n v="11.4"/>
    <n v="11.4"/>
    <n v="120"/>
    <n v="120"/>
    <s v="Non-Performing"/>
    <s v="Non-Performing"/>
    <x v="2"/>
    <n v="0.10543812753396867"/>
    <s v="Healthy"/>
    <s v="High Risk"/>
    <s v="Medium"/>
    <s v="Medium"/>
    <x v="0"/>
    <s v="Medium"/>
  </r>
  <r>
    <n v="21093"/>
    <n v="22"/>
    <s v="Self employed"/>
    <x v="0"/>
    <n v="8016.85"/>
    <n v="8016.85"/>
    <n v="9467.32"/>
    <n v="9467.32"/>
    <n v="12"/>
    <n v="23.05"/>
    <n v="2"/>
    <n v="2"/>
    <n v="8.6999999999999993"/>
    <n v="8.6999999999999993"/>
    <n v="15"/>
    <n v="15"/>
    <s v="Performing"/>
    <s v="Performing"/>
    <x v="1"/>
    <n v="9.8410639257730054E-2"/>
    <s v="Healthy"/>
    <s v="Good"/>
    <s v="Small"/>
    <s v="Medium"/>
    <x v="1"/>
    <s v="High"/>
  </r>
  <r>
    <n v="21457"/>
    <n v="75"/>
    <s v="Salaried"/>
    <x v="2"/>
    <n v="6176.71"/>
    <n v="6176.71"/>
    <n v="21808.720000000001"/>
    <n v="21808.720000000001"/>
    <n v="12"/>
    <n v="28.97"/>
    <m/>
    <s v="NULL"/>
    <n v="4.7"/>
    <n v="4.7"/>
    <n v="0"/>
    <n v="0"/>
    <s v="Performing"/>
    <s v="Performing"/>
    <x v="1"/>
    <n v="0.29423322988020051"/>
    <s v="Healthy"/>
    <s v="Good"/>
    <s v="Medium"/>
    <s v="High"/>
    <x v="1"/>
    <s v="Medium"/>
  </r>
  <r>
    <n v="20392"/>
    <n v="36"/>
    <s v="Unemployed"/>
    <x v="3"/>
    <n v="5635.05"/>
    <n v="5635.05"/>
    <n v="31457.38"/>
    <n v="31457.38"/>
    <n v="48"/>
    <n v="24.57"/>
    <n v="1"/>
    <n v="1"/>
    <n v="11.3"/>
    <n v="11.3"/>
    <n v="120"/>
    <n v="120"/>
    <s v="Non performing"/>
    <s v="Non-Performing"/>
    <x v="2"/>
    <n v="0.11630102365255558"/>
    <s v="Healthy"/>
    <s v="High Risk"/>
    <s v="High"/>
    <s v="Low"/>
    <x v="0"/>
    <s v="Medium"/>
  </r>
  <r>
    <n v="25196"/>
    <n v="36"/>
    <s v="Self-Employed"/>
    <x v="0"/>
    <n v="4241.63"/>
    <n v="4241.63"/>
    <n v="38958.94"/>
    <n v="38958.94"/>
    <n v="48"/>
    <n v="24.96"/>
    <n v="1"/>
    <n v="1"/>
    <n v="4.3"/>
    <n v="4.3"/>
    <n v="15"/>
    <n v="15"/>
    <s v="Performing"/>
    <s v="Performing"/>
    <x v="0"/>
    <n v="0.19135204705109438"/>
    <s v="Healthy"/>
    <s v="Good"/>
    <s v="High"/>
    <s v="Medium"/>
    <x v="1"/>
    <s v="Medium"/>
  </r>
  <r>
    <n v="22872"/>
    <n v="38"/>
    <s v="Self employed"/>
    <x v="0"/>
    <n v="3759.17"/>
    <n v="3759.17"/>
    <n v="8771.09"/>
    <n v="8771.09"/>
    <n v="36"/>
    <n v="14.17"/>
    <n v="3"/>
    <n v="3"/>
    <n v="8.4"/>
    <n v="8.4"/>
    <n v="90"/>
    <n v="90"/>
    <s v="Written Off"/>
    <s v="Written Off"/>
    <x v="3"/>
    <n v="6.4812548751157537E-2"/>
    <s v="Healthy"/>
    <s v="High Risk"/>
    <s v="Small"/>
    <s v="Medium"/>
    <x v="0"/>
    <s v="Medium"/>
  </r>
  <r>
    <n v="22299"/>
    <n v="30"/>
    <s v="Contract"/>
    <x v="1"/>
    <n v="5246.4"/>
    <n v="5246.4"/>
    <n v="13174.55"/>
    <n v="13174.55"/>
    <n v="12"/>
    <n v="15.31"/>
    <n v="2"/>
    <n v="2"/>
    <n v="12.3"/>
    <n v="12.3"/>
    <n v="90"/>
    <n v="90"/>
    <s v="Performing"/>
    <s v="Performing"/>
    <x v="1"/>
    <n v="0.20926333612890108"/>
    <s v="Healthy"/>
    <s v="High Risk"/>
    <s v="Medium"/>
    <s v="Low"/>
    <x v="0"/>
    <s v="Medium"/>
  </r>
  <r>
    <n v="23517"/>
    <n v="46"/>
    <s v="Self-Employed"/>
    <x v="0"/>
    <n v="1938.73"/>
    <n v="1938.73"/>
    <n v="31791.33"/>
    <n v="31791.33"/>
    <n v="36"/>
    <n v="20.46"/>
    <m/>
    <s v="NULL"/>
    <n v="5.0999999999999996"/>
    <n v="5.0999999999999996"/>
    <n v="0"/>
    <n v="0"/>
    <s v="Written Off"/>
    <s v="Written Off"/>
    <x v="0"/>
    <n v="0.45550050806455777"/>
    <s v="High Stress"/>
    <s v="Good"/>
    <s v="High"/>
    <s v="Medium"/>
    <x v="0"/>
    <s v="Low"/>
  </r>
  <r>
    <n v="23117"/>
    <n v="54"/>
    <s v="Self-Employed"/>
    <x v="0"/>
    <n v="8065.05"/>
    <n v="8065.05"/>
    <n v="28728.53"/>
    <n v="28728.53"/>
    <n v="60"/>
    <n v="19.32"/>
    <n v="0"/>
    <n v="0"/>
    <n v="6.8"/>
    <n v="6.8"/>
    <n v="0"/>
    <n v="0"/>
    <s v="Written Off"/>
    <s v="Written Off"/>
    <x v="1"/>
    <n v="5.936836514756056E-2"/>
    <s v="Healthy"/>
    <s v="Good"/>
    <s v="Medium"/>
    <s v="Medium"/>
    <x v="1"/>
    <s v="High"/>
  </r>
  <r>
    <n v="23776"/>
    <n v="23"/>
    <s v="Self-Employed"/>
    <x v="0"/>
    <n v="5365.6"/>
    <n v="5365.6"/>
    <n v="21754.09"/>
    <n v="21754.09"/>
    <n v="6"/>
    <n v="21.54"/>
    <n v="4"/>
    <n v="4"/>
    <n v="5.2"/>
    <n v="5.2"/>
    <n v="120"/>
    <n v="120"/>
    <s v="Performing "/>
    <s v="Performing "/>
    <x v="4"/>
    <n v="0.67572716316286463"/>
    <s v="High Stress"/>
    <s v="High Risk"/>
    <s v="Medium"/>
    <s v="Medium"/>
    <x v="0"/>
    <s v="Medium"/>
  </r>
  <r>
    <n v="21350"/>
    <n v="59"/>
    <s v="Salaried"/>
    <x v="2"/>
    <n v="3838.26"/>
    <n v="3838.26"/>
    <n v="19966.7"/>
    <n v="19966.7"/>
    <n v="48"/>
    <n v="20.86"/>
    <n v="2"/>
    <n v="2"/>
    <n v="11.4"/>
    <n v="11.4"/>
    <n v="0"/>
    <n v="0"/>
    <s v="Performing "/>
    <s v="Performing "/>
    <x v="2"/>
    <n v="0.10837538797962271"/>
    <s v="Healthy"/>
    <s v="Good"/>
    <s v="Medium"/>
    <s v="High"/>
    <x v="1"/>
    <s v="Medium"/>
  </r>
  <r>
    <n v="23897"/>
    <n v="21"/>
    <s v="Salaried"/>
    <x v="2"/>
    <n v="6227.16"/>
    <n v="6227.16"/>
    <n v="20328.91"/>
    <n v="20328.91"/>
    <n v="6"/>
    <n v="14.27"/>
    <m/>
    <s v="NULL"/>
    <n v="-0.8"/>
    <n v="0.8"/>
    <n v="60"/>
    <n v="60"/>
    <s v="Written Off"/>
    <s v="Written Off"/>
    <x v="4"/>
    <n v="0.54409259865920689"/>
    <s v="High Stress"/>
    <s v="High Risk"/>
    <s v="Medium"/>
    <s v="High"/>
    <x v="0"/>
    <s v="Medium"/>
  </r>
  <r>
    <n v="21177"/>
    <n v="49"/>
    <s v="Contract"/>
    <x v="1"/>
    <n v="2576.19"/>
    <n v="2576.19"/>
    <n v="15161.91"/>
    <n v="15161.91"/>
    <n v="36"/>
    <n v="19.3"/>
    <n v="3"/>
    <n v="3"/>
    <n v="12.6"/>
    <n v="12.6"/>
    <n v="0"/>
    <n v="0"/>
    <s v="Performing "/>
    <s v="Performing "/>
    <x v="3"/>
    <n v="0.16348334814849319"/>
    <s v="Healthy"/>
    <s v="Good"/>
    <s v="Medium"/>
    <s v="Low"/>
    <x v="0"/>
    <s v="Medium"/>
  </r>
  <r>
    <n v="24280"/>
    <n v="21"/>
    <s v="Self-Employed"/>
    <x v="0"/>
    <n v="3108.58"/>
    <n v="3108.58"/>
    <n v="12446.73"/>
    <n v="12446.73"/>
    <n v="18"/>
    <n v="19.04"/>
    <n v="0"/>
    <n v="0"/>
    <n v="5.2"/>
    <n v="5.2"/>
    <n v="60"/>
    <n v="60"/>
    <s v="Performing"/>
    <s v="Performing"/>
    <x v="4"/>
    <n v="0.22244400980512"/>
    <s v="Healthy"/>
    <s v="High Risk"/>
    <s v="Medium"/>
    <s v="Medium"/>
    <x v="0"/>
    <s v="Medium"/>
  </r>
  <r>
    <n v="22998"/>
    <n v="29"/>
    <s v="Self-Employed"/>
    <x v="0"/>
    <n v="5719.12"/>
    <n v="5719.12"/>
    <n v="22304.639999999999"/>
    <n v="22304.639999999999"/>
    <n v="12"/>
    <n v="11.99"/>
    <n v="3"/>
    <n v="3"/>
    <n v="12.2"/>
    <n v="12.2"/>
    <n v="0"/>
    <n v="0"/>
    <s v="Performing"/>
    <s v="Performing"/>
    <x v="0"/>
    <n v="0.32500104911245087"/>
    <s v="Stretched"/>
    <s v="Good"/>
    <s v="Medium"/>
    <s v="Medium"/>
    <x v="0"/>
    <s v="Medium"/>
  </r>
  <r>
    <n v="24860"/>
    <n v="27"/>
    <s v="Salaried"/>
    <x v="2"/>
    <n v="4341.58"/>
    <n v="4341.58"/>
    <n v="4480.5200000000004"/>
    <n v="4480.5200000000004"/>
    <n v="60"/>
    <n v="21.9"/>
    <n v="2"/>
    <n v="2"/>
    <n v="5.9"/>
    <n v="5.9"/>
    <n v="120"/>
    <n v="120"/>
    <s v="Performing "/>
    <s v="Performing "/>
    <x v="2"/>
    <n v="1.7200036238727224E-2"/>
    <s v="Healthy"/>
    <s v="High Risk"/>
    <s v="Small"/>
    <s v="High"/>
    <x v="0"/>
    <s v="Medium"/>
  </r>
  <r>
    <n v="24033"/>
    <n v="49"/>
    <s v="Salaried "/>
    <x v="2"/>
    <n v="6227.68"/>
    <n v="6227.68"/>
    <n v="17997"/>
    <n v="17997"/>
    <n v="36"/>
    <n v="27.97"/>
    <n v="0"/>
    <n v="0"/>
    <m/>
    <s v="NULL"/>
    <n v="0"/>
    <n v="0"/>
    <s v="Non performing"/>
    <s v="Non-Performing"/>
    <x v="3"/>
    <n v="8.0273338814240078E-2"/>
    <s v="Healthy"/>
    <s v="Good"/>
    <s v="Medium"/>
    <s v="High"/>
    <x v="1"/>
    <s v="Medium"/>
  </r>
  <r>
    <n v="24387"/>
    <n v="49"/>
    <s v="Self-Employed"/>
    <x v="0"/>
    <n v="6408.13"/>
    <n v="6408.13"/>
    <n v="21749.37"/>
    <n v="21749.37"/>
    <n v="48"/>
    <n v="12.71"/>
    <n v="3"/>
    <n v="3"/>
    <n v="7.1"/>
    <n v="7.1"/>
    <n v="0"/>
    <n v="0"/>
    <s v="Performing"/>
    <s v="Performing"/>
    <x v="4"/>
    <n v="7.0708908058981321E-2"/>
    <s v="Healthy"/>
    <s v="Good"/>
    <s v="Medium"/>
    <s v="Medium"/>
    <x v="1"/>
    <s v="Medium"/>
  </r>
  <r>
    <n v="20313"/>
    <n v="53"/>
    <s v="Self employed"/>
    <x v="0"/>
    <n v="8056.71"/>
    <n v="8056.71"/>
    <n v="26859.22"/>
    <n v="26859.22"/>
    <n v="36"/>
    <n v="18.989999999999998"/>
    <m/>
    <s v="NULL"/>
    <n v="10.6"/>
    <n v="10.6"/>
    <n v="0"/>
    <n v="0"/>
    <s v="Performing "/>
    <s v="Performing "/>
    <x v="4"/>
    <n v="9.2604728784385248E-2"/>
    <s v="Healthy"/>
    <s v="Good"/>
    <s v="Medium"/>
    <s v="Medium"/>
    <x v="1"/>
    <s v="High"/>
  </r>
  <r>
    <n v="25583"/>
    <n v="38"/>
    <s v="Salaried"/>
    <x v="2"/>
    <n v="1820.56"/>
    <n v="1820.56"/>
    <n v="12331.18"/>
    <n v="12331.18"/>
    <n v="24"/>
    <n v="15.97"/>
    <n v="2"/>
    <n v="2"/>
    <n v="9.6999999999999993"/>
    <n v="9.6999999999999993"/>
    <n v="120"/>
    <n v="120"/>
    <s v="Non performing"/>
    <s v="Non-Performing"/>
    <x v="2"/>
    <n v="0.28222039738688459"/>
    <s v="Healthy"/>
    <s v="High Risk"/>
    <s v="Medium"/>
    <s v="High"/>
    <x v="0"/>
    <s v="Low"/>
  </r>
  <r>
    <n v="20773"/>
    <n v="42"/>
    <s v="Self employed"/>
    <x v="0"/>
    <n v="4022.39"/>
    <n v="4022.39"/>
    <n v="28390.76"/>
    <n v="28390.76"/>
    <n v="24"/>
    <n v="26.48"/>
    <n v="3"/>
    <n v="3"/>
    <n v="-0.8"/>
    <n v="0.8"/>
    <n v="120"/>
    <n v="120"/>
    <s v="Written Off"/>
    <s v="Written Off"/>
    <x v="0"/>
    <n v="0.29409090946758848"/>
    <s v="Healthy"/>
    <s v="High Risk"/>
    <s v="Medium"/>
    <s v="Medium"/>
    <x v="0"/>
    <s v="Medium"/>
  </r>
  <r>
    <n v="21162"/>
    <n v="54"/>
    <s v="Self-Employed"/>
    <x v="0"/>
    <n v="7062.88"/>
    <n v="7062.88"/>
    <n v="-5864.6"/>
    <n v="5864.6"/>
    <n v="12"/>
    <n v="18.440000000000001"/>
    <n v="0"/>
    <n v="0"/>
    <n v="10.4"/>
    <n v="10.4"/>
    <n v="0"/>
    <n v="0"/>
    <s v="Non-Performing"/>
    <s v="Non-Performing"/>
    <x v="1"/>
    <n v="6.9195096995371116E-2"/>
    <s v="Healthy"/>
    <s v="Good"/>
    <s v="Small"/>
    <s v="Medium"/>
    <x v="1"/>
    <s v="Medium"/>
  </r>
  <r>
    <n v="21220"/>
    <n v="28"/>
    <s v="Salaried "/>
    <x v="2"/>
    <n v="4787.5600000000004"/>
    <n v="4787.5600000000004"/>
    <n v="15260.31"/>
    <n v="15260.31"/>
    <n v="24"/>
    <n v="12.43"/>
    <n v="0"/>
    <n v="0"/>
    <n v="0.5"/>
    <n v="0.5"/>
    <n v="0"/>
    <n v="0"/>
    <s v="Performing"/>
    <s v="Performing"/>
    <x v="1"/>
    <n v="0.13281217363333306"/>
    <s v="Healthy"/>
    <s v="Good"/>
    <s v="Medium"/>
    <s v="High"/>
    <x v="1"/>
    <s v="Medium"/>
  </r>
  <r>
    <n v="25041"/>
    <n v="25"/>
    <s v="Self-Employed"/>
    <x v="0"/>
    <n v="4151.49"/>
    <n v="4151.49"/>
    <n v="13668.85"/>
    <n v="13668.85"/>
    <n v="24"/>
    <n v="25.86"/>
    <n v="0"/>
    <n v="0"/>
    <n v="3.6"/>
    <n v="3.6"/>
    <n v="90"/>
    <n v="90"/>
    <s v="Non-Performing"/>
    <s v="Non-Performing"/>
    <x v="0"/>
    <n v="0.13718819427884127"/>
    <s v="Healthy"/>
    <s v="High Risk"/>
    <s v="Medium"/>
    <s v="Medium"/>
    <x v="0"/>
    <s v="Medium"/>
  </r>
  <r>
    <n v="20258"/>
    <n v="26"/>
    <s v="Salaried"/>
    <x v="2"/>
    <n v="3796.61"/>
    <n v="3796.61"/>
    <n v="6193.06"/>
    <n v="6193.06"/>
    <n v="6"/>
    <n v="16.45"/>
    <n v="2"/>
    <n v="2"/>
    <m/>
    <s v="NULL"/>
    <n v="120"/>
    <n v="120"/>
    <s v="Performing "/>
    <s v="Performing "/>
    <x v="2"/>
    <n v="0.27186797344648694"/>
    <s v="Healthy"/>
    <s v="High Risk"/>
    <s v="Small"/>
    <s v="High"/>
    <x v="0"/>
    <s v="Medium"/>
  </r>
  <r>
    <n v="21729"/>
    <n v="58"/>
    <s v="Contract"/>
    <x v="1"/>
    <n v="8909.2800000000007"/>
    <n v="8909.2800000000007"/>
    <n v="20658.150000000001"/>
    <n v="20658.150000000001"/>
    <n v="24"/>
    <n v="15.33"/>
    <m/>
    <s v="NULL"/>
    <n v="1.7"/>
    <n v="1.7"/>
    <n v="120"/>
    <n v="120"/>
    <s v="Performing"/>
    <s v="Performing"/>
    <x v="0"/>
    <n v="9.6613446877862177E-2"/>
    <s v="Healthy"/>
    <s v="High Risk"/>
    <s v="Medium"/>
    <s v="Low"/>
    <x v="0"/>
    <s v="High"/>
  </r>
  <r>
    <n v="22449"/>
    <n v="51"/>
    <s v="Unemployed"/>
    <x v="3"/>
    <n v="5344.65"/>
    <n v="5344.65"/>
    <n v="11473.46"/>
    <n v="11473.46"/>
    <n v="48"/>
    <n v="22.53"/>
    <n v="4"/>
    <n v="4"/>
    <n v="7.9"/>
    <n v="7.9"/>
    <n v="90"/>
    <n v="90"/>
    <s v="Non-Performing"/>
    <s v="Non-Performing"/>
    <x v="3"/>
    <n v="4.472330586037751E-2"/>
    <s v="Healthy"/>
    <s v="High Risk"/>
    <s v="Medium"/>
    <s v="Low"/>
    <x v="0"/>
    <s v="Medium"/>
  </r>
  <r>
    <n v="25470"/>
    <n v="50"/>
    <s v="Unemployed"/>
    <x v="3"/>
    <n v="3786.52"/>
    <n v="3786.52"/>
    <n v="20818.849999999999"/>
    <n v="20818.849999999999"/>
    <n v="60"/>
    <n v="19.239999999999998"/>
    <n v="1"/>
    <n v="1"/>
    <n v="10.8"/>
    <n v="10.8"/>
    <n v="30"/>
    <n v="30"/>
    <s v="Non-Performing"/>
    <s v="Non-Performing"/>
    <x v="1"/>
    <n v="9.1635811598336545E-2"/>
    <s v="Healthy"/>
    <s v="At Risk"/>
    <s v="Medium"/>
    <s v="Low"/>
    <x v="0"/>
    <s v="Medium"/>
  </r>
  <r>
    <n v="22989"/>
    <n v="54"/>
    <s v="Self-Employed"/>
    <x v="0"/>
    <n v="4609.5600000000004"/>
    <n v="4609.5600000000004"/>
    <m/>
    <s v="NULL"/>
    <n v="48"/>
    <n v="20.48"/>
    <n v="2"/>
    <n v="2"/>
    <n v="1.9"/>
    <n v="1.9"/>
    <n v="60"/>
    <n v="60"/>
    <s v="Performing"/>
    <s v="Performing"/>
    <x v="0"/>
    <s v="NULL"/>
    <s v="NULL"/>
    <s v="High Risk"/>
    <s v="High"/>
    <s v="Medium"/>
    <x v="0"/>
    <s v="Medium"/>
  </r>
  <r>
    <n v="20765"/>
    <n v="26"/>
    <s v="Salaried "/>
    <x v="2"/>
    <n v="5271.12"/>
    <n v="5271.12"/>
    <n v="36559.660000000003"/>
    <n v="36559.660000000003"/>
    <n v="12"/>
    <n v="10.87"/>
    <n v="0"/>
    <n v="0"/>
    <n v="8"/>
    <n v="8"/>
    <n v="0"/>
    <n v="0"/>
    <s v="Performing "/>
    <s v="Performing "/>
    <x v="2"/>
    <n v="0.57798690474383685"/>
    <s v="High Stress"/>
    <s v="Good"/>
    <s v="High"/>
    <s v="High"/>
    <x v="0"/>
    <s v="Medium"/>
  </r>
  <r>
    <n v="25704"/>
    <n v="45"/>
    <s v="Salaried"/>
    <x v="2"/>
    <n v="9798.31"/>
    <n v="9798.31"/>
    <n v="14844.9"/>
    <n v="14844.9"/>
    <n v="24"/>
    <n v="17.82"/>
    <n v="1"/>
    <n v="1"/>
    <n v="7.8"/>
    <n v="7.8"/>
    <n v="120"/>
    <n v="120"/>
    <s v="Written Off"/>
    <s v="Written Off"/>
    <x v="0"/>
    <n v="6.3126957607995665E-2"/>
    <s v="Healthy"/>
    <s v="High Risk"/>
    <s v="Medium"/>
    <s v="High"/>
    <x v="0"/>
    <s v="High"/>
  </r>
  <r>
    <n v="22794"/>
    <n v="21"/>
    <s v="Unemployed"/>
    <x v="3"/>
    <n v="4205"/>
    <n v="4205"/>
    <n v="29182.51"/>
    <n v="29182.51"/>
    <n v="24"/>
    <n v="15.2"/>
    <m/>
    <s v="NULL"/>
    <n v="6.2"/>
    <n v="6.2"/>
    <m/>
    <s v="NULL"/>
    <s v="Performing "/>
    <s v="Performing "/>
    <x v="1"/>
    <n v="0.28916478398731665"/>
    <s v="Healthy"/>
    <s v="NULL"/>
    <s v="Medium"/>
    <s v="Low"/>
    <x v="0"/>
    <s v="Medium"/>
  </r>
  <r>
    <n v="22852"/>
    <n v="60"/>
    <s v="Salaried "/>
    <x v="2"/>
    <n v="6272.72"/>
    <n v="6272.72"/>
    <n v="19561.8"/>
    <n v="19561.8"/>
    <n v="48"/>
    <n v="19.899999999999999"/>
    <n v="3"/>
    <n v="3"/>
    <n v="8.8000000000000007"/>
    <n v="8.8000000000000007"/>
    <n v="90"/>
    <n v="90"/>
    <s v="Non performing"/>
    <s v="Non-Performing"/>
    <x v="3"/>
    <n v="6.4969821704141104E-2"/>
    <s v="Healthy"/>
    <s v="High Risk"/>
    <s v="Medium"/>
    <s v="High"/>
    <x v="0"/>
    <s v="Medium"/>
  </r>
  <r>
    <n v="25569"/>
    <n v="37"/>
    <s v="Salaried "/>
    <x v="2"/>
    <n v="4012.5"/>
    <n v="4012.5"/>
    <n v="20328.95"/>
    <n v="20328.95"/>
    <n v="18"/>
    <n v="29.3"/>
    <n v="0"/>
    <n v="0"/>
    <n v="6.6"/>
    <n v="6.6"/>
    <n v="15"/>
    <n v="15"/>
    <s v="Non-Performing"/>
    <s v="Non-Performing"/>
    <x v="2"/>
    <n v="0.28146694357909313"/>
    <s v="Healthy"/>
    <s v="Good"/>
    <s v="Medium"/>
    <s v="High"/>
    <x v="1"/>
    <s v="Medium"/>
  </r>
  <r>
    <n v="25438"/>
    <n v="37"/>
    <s v="Contract"/>
    <x v="1"/>
    <n v="3768.47"/>
    <n v="3768.47"/>
    <n v="28192.37"/>
    <n v="28192.37"/>
    <n v="18"/>
    <n v="17.53"/>
    <n v="4"/>
    <n v="4"/>
    <n v="6.6"/>
    <n v="6.6"/>
    <n v="60"/>
    <n v="60"/>
    <s v="Performing"/>
    <s v="Performing"/>
    <x v="2"/>
    <n v="0.41561768510238317"/>
    <s v="Stretched"/>
    <s v="High Risk"/>
    <s v="Medium"/>
    <s v="Low"/>
    <x v="0"/>
    <s v="Medium"/>
  </r>
  <r>
    <n v="25512"/>
    <n v="33"/>
    <s v="Self-Employed"/>
    <x v="0"/>
    <n v="4355.04"/>
    <n v="4355.04"/>
    <n v="22093.18"/>
    <n v="22093.18"/>
    <n v="12"/>
    <n v="20.54"/>
    <n v="4"/>
    <n v="4"/>
    <n v="3.2"/>
    <n v="3.2"/>
    <m/>
    <s v="NULL"/>
    <s v="Non-Performing"/>
    <s v="Non-Performing"/>
    <x v="1"/>
    <n v="0.42275118789571015"/>
    <s v="Stretched"/>
    <s v="NULL"/>
    <s v="Medium"/>
    <s v="Medium"/>
    <x v="0"/>
    <s v="Medium"/>
  </r>
  <r>
    <n v="25272"/>
    <n v="43"/>
    <s v="Self-Employed"/>
    <x v="0"/>
    <n v="6931.81"/>
    <n v="6931.81"/>
    <n v="24241.84"/>
    <n v="24241.84"/>
    <n v="12"/>
    <n v="14.28"/>
    <n v="2"/>
    <n v="2"/>
    <n v="4.3"/>
    <n v="4.3"/>
    <n v="0"/>
    <n v="0"/>
    <s v="Performing "/>
    <s v="Performing "/>
    <x v="4"/>
    <n v="0.29143230026981892"/>
    <s v="Healthy"/>
    <s v="Good"/>
    <s v="Medium"/>
    <s v="Medium"/>
    <x v="1"/>
    <s v="Medium"/>
  </r>
  <r>
    <n v="20093"/>
    <n v="24"/>
    <s v="Self employed"/>
    <x v="0"/>
    <n v="2406.61"/>
    <n v="2406.61"/>
    <n v="36748.35"/>
    <n v="36748.35"/>
    <n v="48"/>
    <n v="22.19"/>
    <n v="0"/>
    <n v="0"/>
    <n v="11.8"/>
    <n v="11.8"/>
    <n v="30"/>
    <n v="30"/>
    <s v="Written Off"/>
    <s v="Written Off"/>
    <x v="1"/>
    <n v="0.31811993841960268"/>
    <s v="Stretched"/>
    <s v="At Risk"/>
    <s v="High"/>
    <s v="Medium"/>
    <x v="0"/>
    <s v="Medium"/>
  </r>
  <r>
    <n v="24856"/>
    <n v="41"/>
    <s v="Salaried"/>
    <x v="2"/>
    <n v="4020.55"/>
    <n v="4020.55"/>
    <n v="23557.51"/>
    <n v="23557.51"/>
    <n v="60"/>
    <n v="14.08"/>
    <n v="4"/>
    <n v="4"/>
    <n v="12.2"/>
    <n v="12.2"/>
    <n v="15"/>
    <n v="15"/>
    <s v="Non performing"/>
    <s v="Non-Performing"/>
    <x v="1"/>
    <n v="9.7654591204354296E-2"/>
    <s v="Healthy"/>
    <s v="Good"/>
    <s v="Medium"/>
    <s v="High"/>
    <x v="1"/>
    <s v="Medium"/>
  </r>
  <r>
    <n v="21249"/>
    <n v="25"/>
    <s v="Salaried "/>
    <x v="2"/>
    <n v="3856.45"/>
    <n v="3856.45"/>
    <n v="30500.69"/>
    <n v="30500.69"/>
    <n v="60"/>
    <n v="18.29"/>
    <n v="4"/>
    <n v="4"/>
    <n v="15.1"/>
    <n v="15.1"/>
    <n v="0"/>
    <n v="0"/>
    <s v="Written Off"/>
    <s v="Written Off"/>
    <x v="1"/>
    <n v="0.13181678313820569"/>
    <s v="Healthy"/>
    <s v="Good"/>
    <s v="High"/>
    <s v="High"/>
    <x v="1"/>
    <s v="Medium"/>
  </r>
  <r>
    <n v="21686"/>
    <n v="27"/>
    <s v="Unemployed"/>
    <x v="3"/>
    <n v="4856.5600000000004"/>
    <n v="4856.5600000000004"/>
    <n v="19254.830000000002"/>
    <n v="19254.830000000002"/>
    <n v="60"/>
    <n v="18.920000000000002"/>
    <n v="1"/>
    <n v="1"/>
    <n v="10.1"/>
    <n v="10.1"/>
    <m/>
    <s v="NULL"/>
    <s v="Non-Performing"/>
    <s v="Non-Performing"/>
    <x v="3"/>
    <n v="6.6078424508980285E-2"/>
    <s v="Healthy"/>
    <s v="NULL"/>
    <s v="Medium"/>
    <s v="Low"/>
    <x v="0"/>
    <s v="Medium"/>
  </r>
  <r>
    <n v="22405"/>
    <n v="58"/>
    <s v="Self employed"/>
    <x v="0"/>
    <n v="-812.59"/>
    <n v="812.59"/>
    <n v="21899.73"/>
    <n v="21899.73"/>
    <n v="24"/>
    <n v="17.829999999999998"/>
    <n v="2"/>
    <n v="2"/>
    <n v="5.8"/>
    <n v="5.8"/>
    <n v="0"/>
    <n v="0"/>
    <s v="Written Off"/>
    <s v="Written Off"/>
    <x v="2"/>
    <n v="1.1229386898681992"/>
    <s v="High Stress"/>
    <s v="Good"/>
    <s v="Medium"/>
    <s v="Medium"/>
    <x v="0"/>
    <s v="Low"/>
  </r>
  <r>
    <n v="20932"/>
    <n v="35"/>
    <s v="Salaried"/>
    <x v="2"/>
    <n v="4509.66"/>
    <n v="4509.66"/>
    <n v="14470.87"/>
    <n v="14470.87"/>
    <n v="60"/>
    <n v="20.29"/>
    <n v="1"/>
    <n v="1"/>
    <n v="8.6"/>
    <n v="8.6"/>
    <n v="15"/>
    <n v="15"/>
    <s v="Non-Performing"/>
    <s v="Non-Performing"/>
    <x v="0"/>
    <n v="5.3481008915675837E-2"/>
    <s v="Healthy"/>
    <s v="Good"/>
    <s v="Medium"/>
    <s v="High"/>
    <x v="1"/>
    <s v="Medium"/>
  </r>
  <r>
    <n v="22628"/>
    <n v="27"/>
    <s v="Salaried"/>
    <x v="2"/>
    <n v="4437.08"/>
    <n v="4437.08"/>
    <n v="29393.05"/>
    <n v="29393.05"/>
    <n v="18"/>
    <n v="21.8"/>
    <n v="2"/>
    <n v="2"/>
    <n v="6.3"/>
    <n v="6.3"/>
    <n v="90"/>
    <n v="90"/>
    <s v="Performing "/>
    <s v="Performing "/>
    <x v="3"/>
    <n v="0.36802293900993943"/>
    <s v="Stretched"/>
    <s v="High Risk"/>
    <s v="Medium"/>
    <s v="High"/>
    <x v="0"/>
    <s v="Medium"/>
  </r>
  <r>
    <n v="25340"/>
    <n v="28"/>
    <s v="Salaried"/>
    <x v="2"/>
    <n v="3337.18"/>
    <n v="3337.18"/>
    <n v="26306.38"/>
    <n v="26306.38"/>
    <n v="6"/>
    <n v="19.41"/>
    <n v="2"/>
    <n v="2"/>
    <n v="6.5"/>
    <n v="6.5"/>
    <n v="0"/>
    <n v="0"/>
    <s v="Non performing"/>
    <s v="Non-Performing"/>
    <x v="1"/>
    <n v="1.313802871486305"/>
    <s v="High Stress"/>
    <s v="Good"/>
    <s v="Medium"/>
    <s v="High"/>
    <x v="0"/>
    <s v="Medium"/>
  </r>
  <r>
    <n v="24578"/>
    <n v="27"/>
    <s v="Unemployed"/>
    <x v="3"/>
    <n v="3368.48"/>
    <n v="3368.48"/>
    <n v="12247.7"/>
    <n v="12247.7"/>
    <n v="6"/>
    <n v="19.440000000000001"/>
    <n v="2"/>
    <n v="2"/>
    <n v="13"/>
    <n v="13"/>
    <n v="120"/>
    <n v="120"/>
    <s v="Written Off"/>
    <s v="Written Off"/>
    <x v="0"/>
    <n v="0.60599538466410174"/>
    <s v="High Stress"/>
    <s v="High Risk"/>
    <s v="Medium"/>
    <s v="Low"/>
    <x v="2"/>
    <s v="Medium"/>
  </r>
  <r>
    <n v="25140"/>
    <n v="58"/>
    <s v="Salaried"/>
    <x v="2"/>
    <n v="5881.95"/>
    <n v="5881.95"/>
    <n v="21356.639999999999"/>
    <n v="21356.639999999999"/>
    <n v="6"/>
    <n v="19.739999999999998"/>
    <n v="2"/>
    <n v="2"/>
    <n v="6.5"/>
    <n v="6.5"/>
    <m/>
    <s v="NULL"/>
    <s v="Non-Performing"/>
    <s v="Non-Performing"/>
    <x v="0"/>
    <n v="0.60514625251829757"/>
    <s v="High Stress"/>
    <s v="NULL"/>
    <s v="Medium"/>
    <s v="High"/>
    <x v="0"/>
    <s v="Medium"/>
  </r>
  <r>
    <n v="20788"/>
    <n v="54"/>
    <s v="Self employed"/>
    <x v="0"/>
    <n v="5325.45"/>
    <n v="5325.45"/>
    <n v="22263.06"/>
    <n v="22263.06"/>
    <n v="6"/>
    <n v="21.32"/>
    <n v="2"/>
    <n v="2"/>
    <n v="8.6999999999999993"/>
    <n v="8.6999999999999993"/>
    <n v="15"/>
    <n v="15"/>
    <s v="Performing "/>
    <s v="Performing "/>
    <x v="3"/>
    <n v="0.69675050934662808"/>
    <s v="High Stress"/>
    <s v="Good"/>
    <s v="Medium"/>
    <s v="Medium"/>
    <x v="0"/>
    <s v="Medium"/>
  </r>
  <r>
    <n v="20034"/>
    <n v="120"/>
    <s v="Contract"/>
    <x v="1"/>
    <n v="2652.64"/>
    <n v="2652.64"/>
    <n v="9197.76"/>
    <n v="9197.76"/>
    <n v="6"/>
    <n v="20.98"/>
    <n v="3"/>
    <n v="3"/>
    <n v="9.6999999999999993"/>
    <n v="9.6999999999999993"/>
    <n v="0"/>
    <n v="0"/>
    <s v="Non performing"/>
    <s v="Non-Performing"/>
    <x v="1"/>
    <n v="0.5778997526991978"/>
    <s v="High Stress"/>
    <s v="Good"/>
    <s v="Small"/>
    <s v="Low"/>
    <x v="3"/>
    <s v="Medium"/>
  </r>
  <r>
    <n v="23196"/>
    <n v="32"/>
    <s v="Unemployed"/>
    <x v="3"/>
    <n v="-843.12"/>
    <n v="843.12"/>
    <m/>
    <s v="NULL"/>
    <n v="36"/>
    <n v="13.58"/>
    <n v="2"/>
    <n v="2"/>
    <n v="10.5"/>
    <n v="10.5"/>
    <n v="0"/>
    <n v="0"/>
    <s v="Written Off"/>
    <s v="Written Off"/>
    <x v="4"/>
    <s v="NULL"/>
    <s v="NULL"/>
    <s v="Good"/>
    <s v="High"/>
    <s v="Low"/>
    <x v="0"/>
    <s v="Low"/>
  </r>
  <r>
    <n v="25407"/>
    <n v="45"/>
    <s v="Salaried "/>
    <x v="2"/>
    <n v="8986.19"/>
    <n v="8986.19"/>
    <n v="11938.5"/>
    <n v="11938.5"/>
    <n v="18"/>
    <n v="17.170000000000002"/>
    <n v="4"/>
    <n v="4"/>
    <n v="8.8000000000000007"/>
    <n v="8.8000000000000007"/>
    <n v="90"/>
    <n v="90"/>
    <s v="Performing"/>
    <s v="Performing"/>
    <x v="2"/>
    <n v="7.3807698256992113E-2"/>
    <s v="Healthy"/>
    <s v="High Risk"/>
    <s v="Medium"/>
    <s v="High"/>
    <x v="0"/>
    <s v="High"/>
  </r>
  <r>
    <n v="21866"/>
    <n v="36"/>
    <s v="Unemployed"/>
    <x v="3"/>
    <n v="6884.7"/>
    <n v="6884.7"/>
    <n v="4214.29"/>
    <n v="4214.29"/>
    <n v="60"/>
    <n v="18.93"/>
    <n v="2"/>
    <n v="2"/>
    <n v="2.2000000000000002"/>
    <n v="2.2000000000000002"/>
    <n v="0"/>
    <n v="0"/>
    <s v="Performing "/>
    <s v="Performing "/>
    <x v="0"/>
    <n v="1.0202066417805666E-2"/>
    <s v="Healthy"/>
    <s v="Good"/>
    <s v="Small"/>
    <s v="Low"/>
    <x v="0"/>
    <s v="Medium"/>
  </r>
  <r>
    <n v="25086"/>
    <n v="75"/>
    <s v="Self-Employed"/>
    <x v="0"/>
    <n v="998.07"/>
    <n v="998.07"/>
    <n v="20955.560000000001"/>
    <n v="20955.560000000001"/>
    <n v="12"/>
    <n v="13.37"/>
    <n v="0"/>
    <n v="0"/>
    <n v="8.9"/>
    <n v="8.9"/>
    <m/>
    <s v="NULL"/>
    <s v="Non-Performing"/>
    <s v="Non-Performing"/>
    <x v="2"/>
    <n v="1.74967353659229"/>
    <s v="High Stress"/>
    <s v="NULL"/>
    <s v="Medium"/>
    <s v="Medium"/>
    <x v="0"/>
    <s v="Low"/>
  </r>
  <r>
    <n v="21440"/>
    <n v="64"/>
    <s v="Self-Employed"/>
    <x v="0"/>
    <n v="3550.07"/>
    <n v="3550.07"/>
    <n v="13761.73"/>
    <n v="13761.73"/>
    <n v="12"/>
    <n v="24.18"/>
    <n v="4"/>
    <n v="4"/>
    <n v="4.4000000000000004"/>
    <n v="4.4000000000000004"/>
    <m/>
    <s v="NULL"/>
    <s v="Performing "/>
    <s v="Performing "/>
    <x v="1"/>
    <n v="0.32303893538249479"/>
    <s v="Stretched"/>
    <s v="NULL"/>
    <s v="Medium"/>
    <s v="Medium"/>
    <x v="0"/>
    <s v="Medium"/>
  </r>
  <r>
    <n v="25251"/>
    <n v="36"/>
    <s v="Salaried "/>
    <x v="2"/>
    <n v="4879.1000000000004"/>
    <n v="4879.1000000000004"/>
    <n v="19994.919999999998"/>
    <n v="19994.919999999998"/>
    <n v="48"/>
    <n v="14.78"/>
    <n v="4"/>
    <n v="4"/>
    <n v="4"/>
    <n v="4"/>
    <n v="0"/>
    <n v="0"/>
    <s v="Performing"/>
    <s v="Performing"/>
    <x v="3"/>
    <n v="8.5376572182028099E-2"/>
    <s v="Healthy"/>
    <s v="Good"/>
    <s v="Medium"/>
    <s v="High"/>
    <x v="1"/>
    <s v="Medium"/>
  </r>
  <r>
    <n v="25204"/>
    <n v="36"/>
    <s v="Salaried "/>
    <x v="2"/>
    <n v="3483.36"/>
    <n v="3483.36"/>
    <n v="9478.94"/>
    <n v="9478.94"/>
    <n v="24"/>
    <n v="17.39"/>
    <n v="0"/>
    <n v="0"/>
    <n v="8.8000000000000007"/>
    <n v="8.8000000000000007"/>
    <n v="60"/>
    <n v="60"/>
    <s v="Performing "/>
    <s v="Performing "/>
    <x v="1"/>
    <n v="0.1133835817524842"/>
    <s v="Healthy"/>
    <s v="High Risk"/>
    <s v="Small"/>
    <s v="High"/>
    <x v="0"/>
    <s v="Medium"/>
  </r>
  <r>
    <n v="24019"/>
    <n v="22"/>
    <s v="Self-Employed"/>
    <x v="0"/>
    <n v="5803.94"/>
    <n v="5803.94"/>
    <n v="12124.47"/>
    <n v="12124.47"/>
    <n v="24"/>
    <n v="24.25"/>
    <n v="2"/>
    <n v="2"/>
    <n v="12.1"/>
    <n v="12.1"/>
    <n v="0"/>
    <n v="0"/>
    <s v="Written Off"/>
    <s v="Written Off"/>
    <x v="4"/>
    <n v="8.7041949089756265E-2"/>
    <s v="Healthy"/>
    <s v="Good"/>
    <s v="Medium"/>
    <s v="Medium"/>
    <x v="1"/>
    <s v="Medium"/>
  </r>
  <r>
    <n v="24499"/>
    <n v="28"/>
    <s v="Salaried"/>
    <x v="2"/>
    <n v="7207.77"/>
    <n v="7207.77"/>
    <n v="31458.36"/>
    <n v="31458.36"/>
    <n v="6"/>
    <n v="12.41"/>
    <n v="1"/>
    <n v="1"/>
    <n v="7.5"/>
    <n v="7.5"/>
    <n v="30"/>
    <n v="30"/>
    <s v="Non-Performing"/>
    <s v="Non-Performing"/>
    <x v="0"/>
    <n v="0.72741777276466923"/>
    <s v="High Stress"/>
    <s v="At Risk"/>
    <s v="High"/>
    <s v="High"/>
    <x v="0"/>
    <s v="Medium"/>
  </r>
  <r>
    <n v="25752"/>
    <n v="54"/>
    <s v="Unemployed"/>
    <x v="3"/>
    <n v="6811.46"/>
    <n v="6811.46"/>
    <n v="11020.03"/>
    <n v="11020.03"/>
    <n v="36"/>
    <n v="12.7"/>
    <n v="0"/>
    <n v="0"/>
    <n v="0.9"/>
    <n v="0.9"/>
    <m/>
    <s v="NULL"/>
    <s v="Non-Performing"/>
    <s v="Non-Performing"/>
    <x v="4"/>
    <n v="4.4940724080365216E-2"/>
    <s v="Healthy"/>
    <s v="NULL"/>
    <s v="Medium"/>
    <s v="Low"/>
    <x v="0"/>
    <s v="Medium"/>
  </r>
  <r>
    <n v="23652"/>
    <n v="50"/>
    <s v="Unemployed"/>
    <x v="3"/>
    <n v="8580.98"/>
    <n v="8580.98"/>
    <n v="14914.3"/>
    <n v="14914.3"/>
    <n v="48"/>
    <n v="17.71"/>
    <n v="1"/>
    <n v="1"/>
    <n v="4.5999999999999996"/>
    <n v="4.5999999999999996"/>
    <n v="60"/>
    <n v="60"/>
    <s v="Performing "/>
    <s v="Performing "/>
    <x v="4"/>
    <n v="3.6209685063166831E-2"/>
    <s v="Healthy"/>
    <s v="High Risk"/>
    <s v="Medium"/>
    <s v="Low"/>
    <x v="0"/>
    <s v="High"/>
  </r>
  <r>
    <n v="20048"/>
    <n v="47"/>
    <s v="Contract"/>
    <x v="1"/>
    <n v="8091.04"/>
    <n v="8091.04"/>
    <n v="39328.39"/>
    <n v="39328.39"/>
    <n v="12"/>
    <n v="16.28"/>
    <n v="0"/>
    <n v="0"/>
    <n v="9.3000000000000007"/>
    <n v="9.3000000000000007"/>
    <m/>
    <s v="NULL"/>
    <s v="Non performing"/>
    <s v="Non-Performing"/>
    <x v="4"/>
    <n v="0.40506113346780309"/>
    <s v="Stretched"/>
    <s v="NULL"/>
    <s v="High"/>
    <s v="Low"/>
    <x v="0"/>
    <s v="High"/>
  </r>
  <r>
    <n v="20785"/>
    <n v="48"/>
    <s v="Salaried"/>
    <x v="2"/>
    <n v="7377.69"/>
    <n v="7377.69"/>
    <n v="35026.32"/>
    <n v="35026.32"/>
    <n v="12"/>
    <n v="10.63"/>
    <n v="1"/>
    <n v="1"/>
    <n v="8.6"/>
    <n v="8.6"/>
    <n v="60"/>
    <n v="60"/>
    <s v="Non performing"/>
    <s v="Non-Performing"/>
    <x v="3"/>
    <n v="0.39563332154102437"/>
    <s v="Stretched"/>
    <s v="High Risk"/>
    <s v="High"/>
    <s v="High"/>
    <x v="0"/>
    <s v="Medium"/>
  </r>
  <r>
    <n v="20350"/>
    <n v="120"/>
    <s v="Self-Employed"/>
    <x v="0"/>
    <n v="6437.08"/>
    <n v="6437.08"/>
    <n v="17336.11"/>
    <n v="17336.11"/>
    <n v="12"/>
    <n v="32.17"/>
    <n v="1"/>
    <n v="1"/>
    <n v="1.1000000000000001"/>
    <n v="1.1000000000000001"/>
    <n v="90"/>
    <n v="90"/>
    <s v="Performing"/>
    <s v="Performing"/>
    <x v="0"/>
    <n v="0.22443030587367774"/>
    <s v="Healthy"/>
    <s v="High Risk"/>
    <s v="Medium"/>
    <s v="Medium"/>
    <x v="3"/>
    <s v="Medium"/>
  </r>
  <r>
    <n v="22156"/>
    <n v="35"/>
    <s v="Salaried"/>
    <x v="2"/>
    <n v="6076.99"/>
    <n v="6076.99"/>
    <n v="18302.310000000001"/>
    <n v="18302.310000000001"/>
    <n v="36"/>
    <n v="15.74"/>
    <n v="1"/>
    <n v="1"/>
    <n v="7.1"/>
    <n v="7.1"/>
    <n v="0"/>
    <n v="0"/>
    <s v="Performing"/>
    <s v="Performing"/>
    <x v="1"/>
    <n v="8.3659426788591076E-2"/>
    <s v="Healthy"/>
    <s v="Good"/>
    <s v="Medium"/>
    <s v="High"/>
    <x v="1"/>
    <s v="Medium"/>
  </r>
  <r>
    <n v="24490"/>
    <n v="24"/>
    <s v="Self employed"/>
    <x v="0"/>
    <n v="3041.45"/>
    <n v="3041.45"/>
    <n v="17129.29"/>
    <n v="17129.29"/>
    <n v="12"/>
    <n v="14.03"/>
    <n v="3"/>
    <n v="3"/>
    <n v="5.5"/>
    <n v="5.5"/>
    <n v="15"/>
    <n v="15"/>
    <s v="Performing"/>
    <s v="Performing"/>
    <x v="2"/>
    <n v="0.46932904809657683"/>
    <s v="High Stress"/>
    <s v="Good"/>
    <s v="Medium"/>
    <s v="Medium"/>
    <x v="0"/>
    <s v="Medium"/>
  </r>
  <r>
    <n v="20845"/>
    <n v="48"/>
    <s v="Salaried"/>
    <x v="2"/>
    <n v="3240.54"/>
    <n v="3240.54"/>
    <n v="19010.169999999998"/>
    <n v="19010.169999999998"/>
    <n v="6"/>
    <n v="18.04"/>
    <n v="0"/>
    <n v="0"/>
    <n v="10.8"/>
    <n v="10.8"/>
    <n v="15"/>
    <n v="15"/>
    <s v="Written Off"/>
    <s v="Written Off"/>
    <x v="3"/>
    <n v="0.97772644888403371"/>
    <s v="High Stress"/>
    <s v="Good"/>
    <s v="Medium"/>
    <s v="High"/>
    <x v="0"/>
    <s v="Medium"/>
  </r>
  <r>
    <n v="25956"/>
    <n v="37"/>
    <s v="Contract"/>
    <x v="1"/>
    <n v="7480.68"/>
    <n v="7480.68"/>
    <n v="460.9"/>
    <n v="460.9"/>
    <n v="6"/>
    <n v="10.24"/>
    <n v="1"/>
    <n v="1"/>
    <n v="10.3"/>
    <n v="10.3"/>
    <n v="60"/>
    <n v="60"/>
    <s v="Non-Performing"/>
    <s v="Non-Performing"/>
    <x v="2"/>
    <n v="1.0268674327289319E-2"/>
    <s v="Healthy"/>
    <s v="High Risk"/>
    <s v="Small"/>
    <s v="Low"/>
    <x v="0"/>
    <s v="Medium"/>
  </r>
  <r>
    <n v="24719"/>
    <n v="61"/>
    <s v="Salaried "/>
    <x v="2"/>
    <n v="4984.04"/>
    <n v="4984.04"/>
    <n v="12268.47"/>
    <n v="12268.47"/>
    <n v="36"/>
    <n v="17.690000000000001"/>
    <n v="1"/>
    <n v="1"/>
    <n v="7.4"/>
    <n v="7.4"/>
    <n v="90"/>
    <n v="90"/>
    <s v="Non-Performing"/>
    <s v="Non-Performing"/>
    <x v="0"/>
    <n v="6.8376424212753778E-2"/>
    <s v="Healthy"/>
    <s v="High Risk"/>
    <s v="Medium"/>
    <s v="High"/>
    <x v="0"/>
    <s v="Medium"/>
  </r>
  <r>
    <n v="24751"/>
    <n v="33"/>
    <s v="Contract"/>
    <x v="1"/>
    <n v="5506.43"/>
    <n v="5506.43"/>
    <n v="25934.36"/>
    <n v="25934.36"/>
    <n v="18"/>
    <n v="20.52"/>
    <n v="4"/>
    <n v="4"/>
    <n v="4.7"/>
    <n v="4.7"/>
    <m/>
    <s v="NULL"/>
    <s v="Performing"/>
    <s v="Performing"/>
    <x v="3"/>
    <n v="0.26165733111612743"/>
    <s v="Healthy"/>
    <s v="NULL"/>
    <s v="Medium"/>
    <s v="Low"/>
    <x v="0"/>
    <s v="Medium"/>
  </r>
  <r>
    <n v="24733"/>
    <n v="37"/>
    <s v="Salaried "/>
    <x v="2"/>
    <n v="847.56"/>
    <n v="847.56"/>
    <n v="-1966.89"/>
    <n v="1966.89"/>
    <n v="12"/>
    <n v="22.6"/>
    <n v="1"/>
    <n v="1"/>
    <n v="4.8"/>
    <n v="4.8"/>
    <n v="30"/>
    <n v="30"/>
    <s v="Non-Performing"/>
    <s v="Non-Performing"/>
    <x v="3"/>
    <n v="0.19338748879135403"/>
    <s v="Healthy"/>
    <s v="At Risk"/>
    <s v="Small"/>
    <s v="High"/>
    <x v="0"/>
    <s v="Low"/>
  </r>
  <r>
    <n v="24373"/>
    <n v="28"/>
    <s v="Salaried "/>
    <x v="2"/>
    <n v="4583.38"/>
    <n v="4583.38"/>
    <n v="15513.88"/>
    <n v="15513.88"/>
    <n v="36"/>
    <n v="32.14"/>
    <n v="3"/>
    <n v="3"/>
    <n v="3.7"/>
    <n v="3.7"/>
    <m/>
    <s v="NULL"/>
    <s v="Performing"/>
    <s v="Performing"/>
    <x v="4"/>
    <n v="9.402255783092632E-2"/>
    <s v="Healthy"/>
    <s v="NULL"/>
    <s v="Medium"/>
    <s v="High"/>
    <x v="0"/>
    <s v="Medium"/>
  </r>
  <r>
    <n v="24406"/>
    <n v="58"/>
    <s v="Self-Employed"/>
    <x v="0"/>
    <n v="9100.3799999999992"/>
    <n v="9100.3799999999992"/>
    <n v="16015.8"/>
    <n v="16015.8"/>
    <n v="6"/>
    <n v="22.82"/>
    <n v="2"/>
    <n v="2"/>
    <n v="5"/>
    <n v="5"/>
    <n v="30"/>
    <n v="30"/>
    <s v="Performing"/>
    <s v="Performing"/>
    <x v="0"/>
    <n v="0.29331742190985433"/>
    <s v="Healthy"/>
    <s v="At Risk"/>
    <s v="Medium"/>
    <s v="Medium"/>
    <x v="0"/>
    <s v="High"/>
  </r>
  <r>
    <n v="22045"/>
    <n v="28"/>
    <s v="Self employed"/>
    <x v="0"/>
    <n v="-1500"/>
    <n v="1500"/>
    <n v="31032.75"/>
    <n v="31032.75"/>
    <n v="12"/>
    <n v="19.510000000000002"/>
    <n v="3"/>
    <n v="3"/>
    <n v="9.9"/>
    <n v="9.9"/>
    <n v="120"/>
    <n v="120"/>
    <s v="Performing"/>
    <s v="Performing"/>
    <x v="0"/>
    <n v="1.7240416666666667"/>
    <s v="High Stress"/>
    <s v="High Risk"/>
    <s v="High"/>
    <s v="Medium"/>
    <x v="0"/>
    <s v="Low"/>
  </r>
  <r>
    <n v="24924"/>
    <n v="34"/>
    <s v="Salaried "/>
    <x v="2"/>
    <n v="5472.62"/>
    <n v="5472.62"/>
    <n v="24076.880000000001"/>
    <n v="24076.880000000001"/>
    <n v="60"/>
    <n v="16.16"/>
    <n v="2"/>
    <n v="2"/>
    <n v="12.7"/>
    <n v="12.7"/>
    <n v="0"/>
    <n v="0"/>
    <s v="Performing"/>
    <s v="Performing"/>
    <x v="1"/>
    <n v="7.332526894491731E-2"/>
    <s v="Healthy"/>
    <s v="Good"/>
    <s v="Medium"/>
    <s v="High"/>
    <x v="1"/>
    <s v="Medium"/>
  </r>
  <r>
    <n v="21841"/>
    <n v="32"/>
    <s v="Unemployed"/>
    <x v="3"/>
    <n v="2355.0700000000002"/>
    <n v="2355.0700000000002"/>
    <n v="14586.28"/>
    <n v="14586.28"/>
    <n v="6"/>
    <n v="55"/>
    <n v="2"/>
    <n v="2"/>
    <n v="10.6"/>
    <n v="10.6"/>
    <n v="0"/>
    <n v="0"/>
    <s v="Non-Performing"/>
    <s v="Non-Performing"/>
    <x v="0"/>
    <n v="1.0322608952883212"/>
    <s v="High Stress"/>
    <s v="Good"/>
    <s v="Medium"/>
    <s v="Low"/>
    <x v="0"/>
    <s v="Medium"/>
  </r>
  <r>
    <n v="22309"/>
    <n v="39"/>
    <s v="Self employed"/>
    <x v="0"/>
    <n v="5628.26"/>
    <n v="5628.26"/>
    <n v="23886.78"/>
    <n v="23886.78"/>
    <n v="60"/>
    <n v="24.42"/>
    <n v="1"/>
    <n v="1"/>
    <n v="13"/>
    <n v="13"/>
    <n v="90"/>
    <n v="90"/>
    <s v="Performing "/>
    <s v="Performing "/>
    <x v="4"/>
    <n v="7.0734649785191145E-2"/>
    <s v="Healthy"/>
    <s v="High Risk"/>
    <s v="Medium"/>
    <s v="Medium"/>
    <x v="0"/>
    <s v="Medium"/>
  </r>
  <r>
    <n v="21836"/>
    <n v="30"/>
    <s v="Salaried"/>
    <x v="2"/>
    <n v="5906.17"/>
    <n v="5906.17"/>
    <n v="15940.37"/>
    <n v="15940.37"/>
    <n v="6"/>
    <n v="15.48"/>
    <n v="0"/>
    <n v="0"/>
    <n v="5.3"/>
    <n v="5.3"/>
    <n v="0"/>
    <n v="0"/>
    <s v="Performing"/>
    <s v="Performing"/>
    <x v="1"/>
    <n v="0.4498225302240425"/>
    <s v="Stretched"/>
    <s v="Good"/>
    <s v="Medium"/>
    <s v="High"/>
    <x v="0"/>
    <s v="Medium"/>
  </r>
  <r>
    <n v="25595"/>
    <n v="18"/>
    <s v="Self employed"/>
    <x v="0"/>
    <n v="8099.59"/>
    <n v="8099.59"/>
    <n v="25528.15"/>
    <n v="25528.15"/>
    <n v="36"/>
    <n v="24.16"/>
    <n v="0"/>
    <n v="0"/>
    <n v="6.1"/>
    <n v="6.1"/>
    <n v="15"/>
    <n v="15"/>
    <s v="Non performing"/>
    <s v="Non-Performing"/>
    <x v="3"/>
    <n v="8.7549527541243177E-2"/>
    <s v="Healthy"/>
    <s v="Good"/>
    <s v="Medium"/>
    <s v="Medium"/>
    <x v="1"/>
    <s v="High"/>
  </r>
  <r>
    <n v="25883"/>
    <n v="30"/>
    <s v="Unemployed"/>
    <x v="3"/>
    <n v="6732.65"/>
    <n v="6732.65"/>
    <n v="15047.75"/>
    <n v="15047.75"/>
    <n v="18"/>
    <n v="22.32"/>
    <n v="2"/>
    <n v="2"/>
    <n v="7.9"/>
    <n v="7.9"/>
    <n v="0"/>
    <n v="0"/>
    <s v="Performing"/>
    <s v="Performing"/>
    <x v="1"/>
    <n v="0.12416895444009582"/>
    <s v="Healthy"/>
    <s v="Good"/>
    <s v="Medium"/>
    <s v="Low"/>
    <x v="0"/>
    <s v="Medium"/>
  </r>
  <r>
    <n v="23639"/>
    <n v="23"/>
    <s v="Salaried "/>
    <x v="2"/>
    <n v="3727.21"/>
    <n v="3727.21"/>
    <n v="31038.27"/>
    <n v="31038.27"/>
    <n v="18"/>
    <n v="19.920000000000002"/>
    <n v="3"/>
    <n v="3"/>
    <n v="13.3"/>
    <n v="13.3"/>
    <n v="30"/>
    <n v="30"/>
    <s v="Non performing"/>
    <s v="Non-Performing"/>
    <x v="4"/>
    <n v="0.46263782650651114"/>
    <s v="High Stress"/>
    <s v="At Risk"/>
    <s v="High"/>
    <s v="High"/>
    <x v="0"/>
    <s v="Medium"/>
  </r>
  <r>
    <n v="23628"/>
    <n v="54"/>
    <s v="Contract"/>
    <x v="1"/>
    <n v="3257.2"/>
    <n v="3257.2"/>
    <n v="33357.47"/>
    <n v="33357.47"/>
    <n v="24"/>
    <n v="20.07"/>
    <n v="3"/>
    <n v="3"/>
    <n v="12.8"/>
    <n v="12.8"/>
    <n v="15"/>
    <n v="15"/>
    <s v="Performing "/>
    <s v="Performing "/>
    <x v="4"/>
    <n v="0.42671453497891859"/>
    <s v="Stretched"/>
    <s v="Good"/>
    <s v="High"/>
    <s v="Low"/>
    <x v="0"/>
    <s v="Medium"/>
  </r>
  <r>
    <n v="23288"/>
    <n v="25"/>
    <s v="Contract"/>
    <x v="1"/>
    <n v="4454.2700000000004"/>
    <n v="4454.2700000000004"/>
    <n v="21227.79"/>
    <n v="21227.79"/>
    <n v="60"/>
    <n v="22.84"/>
    <n v="2"/>
    <n v="2"/>
    <n v="4.2"/>
    <n v="4.2"/>
    <n v="120"/>
    <n v="120"/>
    <s v="Non-Performing"/>
    <s v="Non-Performing"/>
    <x v="2"/>
    <n v="7.9428615687868048E-2"/>
    <s v="Healthy"/>
    <s v="High Risk"/>
    <s v="Medium"/>
    <s v="Low"/>
    <x v="0"/>
    <s v="Medium"/>
  </r>
  <r>
    <n v="20974"/>
    <n v="23"/>
    <s v="Contract"/>
    <x v="1"/>
    <n v="-1500"/>
    <n v="1500"/>
    <n v="13147.44"/>
    <n v="13147.44"/>
    <n v="12"/>
    <n v="17.809999999999999"/>
    <n v="0"/>
    <n v="0"/>
    <n v="12.4"/>
    <n v="12.4"/>
    <n v="15"/>
    <n v="15"/>
    <s v="Non performing"/>
    <s v="Non-Performing"/>
    <x v="0"/>
    <n v="0.73041333333333336"/>
    <s v="High Stress"/>
    <s v="Good"/>
    <s v="Medium"/>
    <s v="Low"/>
    <x v="0"/>
    <s v="Low"/>
  </r>
  <r>
    <n v="24136"/>
    <n v="51"/>
    <s v="Salaried"/>
    <x v="2"/>
    <n v="6247.75"/>
    <n v="6247.75"/>
    <n v="18702.88"/>
    <n v="18702.88"/>
    <n v="24"/>
    <n v="19.82"/>
    <n v="3"/>
    <n v="3"/>
    <n v="15"/>
    <n v="15"/>
    <m/>
    <s v="NULL"/>
    <s v="Written Off"/>
    <s v="Written Off"/>
    <x v="2"/>
    <n v="0.12473076974377444"/>
    <s v="Healthy"/>
    <s v="NULL"/>
    <s v="Medium"/>
    <s v="High"/>
    <x v="0"/>
    <s v="Medium"/>
  </r>
  <r>
    <n v="21156"/>
    <n v="45"/>
    <s v="Salaried "/>
    <x v="2"/>
    <n v="6325.57"/>
    <n v="6325.57"/>
    <n v="41445.599999999999"/>
    <n v="41445.599999999999"/>
    <n v="18"/>
    <n v="12.72"/>
    <n v="1"/>
    <n v="1"/>
    <n v="9.3000000000000007"/>
    <n v="9.3000000000000007"/>
    <n v="0"/>
    <n v="0"/>
    <s v="Non-Performing"/>
    <s v="Non-Performing"/>
    <x v="1"/>
    <n v="0.36400408711520593"/>
    <s v="Stretched"/>
    <s v="Good"/>
    <s v="High"/>
    <s v="High"/>
    <x v="0"/>
    <s v="Medium"/>
  </r>
  <r>
    <n v="23486"/>
    <n v="26"/>
    <s v="Self-Employed"/>
    <x v="0"/>
    <n v="4325"/>
    <n v="4325"/>
    <n v="25483.99"/>
    <n v="25483.99"/>
    <n v="36"/>
    <n v="16.11"/>
    <n v="2"/>
    <n v="2"/>
    <n v="8.6"/>
    <n v="8.6"/>
    <n v="60"/>
    <n v="60"/>
    <s v="Non performing"/>
    <s v="Non-Performing"/>
    <x v="1"/>
    <n v="0.16367366730892743"/>
    <s v="Healthy"/>
    <s v="High Risk"/>
    <s v="Medium"/>
    <s v="Medium"/>
    <x v="0"/>
    <s v="Medium"/>
  </r>
  <r>
    <n v="24557"/>
    <n v="23"/>
    <s v="Self-Employed"/>
    <x v="0"/>
    <n v="3972.73"/>
    <n v="3972.73"/>
    <n v="25733.64"/>
    <n v="25733.64"/>
    <n v="6"/>
    <n v="19.84"/>
    <n v="0"/>
    <n v="0"/>
    <n v="5.5"/>
    <n v="5.5"/>
    <n v="90"/>
    <n v="90"/>
    <s v="Non performing"/>
    <s v="Non-Performing"/>
    <x v="1"/>
    <n v="1.0795951398660366"/>
    <s v="High Stress"/>
    <s v="High Risk"/>
    <s v="Medium"/>
    <s v="Medium"/>
    <x v="0"/>
    <s v="Medium"/>
  </r>
  <r>
    <n v="22896"/>
    <n v="29"/>
    <s v="Contract"/>
    <x v="1"/>
    <n v="4724.8100000000004"/>
    <n v="4724.8100000000004"/>
    <n v="13863.31"/>
    <n v="13863.31"/>
    <n v="24"/>
    <n v="14.3"/>
    <n v="3"/>
    <n v="3"/>
    <n v="5.4"/>
    <n v="5.4"/>
    <n v="60"/>
    <n v="60"/>
    <s v="Written Off"/>
    <s v="Written Off"/>
    <x v="3"/>
    <n v="0.12225632706218169"/>
    <s v="Healthy"/>
    <s v="High Risk"/>
    <s v="Medium"/>
    <s v="Low"/>
    <x v="0"/>
    <s v="Medium"/>
  </r>
  <r>
    <n v="23721"/>
    <n v="23"/>
    <s v="Unemployed"/>
    <x v="3"/>
    <n v="5304.77"/>
    <n v="5304.77"/>
    <n v="28647.14"/>
    <n v="28647.14"/>
    <n v="6"/>
    <n v="19.079999999999998"/>
    <n v="1"/>
    <n v="1"/>
    <n v="4.7"/>
    <n v="4.7"/>
    <n v="60"/>
    <n v="60"/>
    <s v="Performing "/>
    <s v="Performing "/>
    <x v="3"/>
    <n v="0.90004342004145943"/>
    <s v="High Stress"/>
    <s v="High Risk"/>
    <s v="Medium"/>
    <s v="Low"/>
    <x v="2"/>
    <s v="Medium"/>
  </r>
  <r>
    <n v="20567"/>
    <n v="45"/>
    <s v="Contract"/>
    <x v="1"/>
    <n v="3328.91"/>
    <n v="3328.91"/>
    <n v="23118.61"/>
    <n v="23118.61"/>
    <n v="48"/>
    <n v="18.37"/>
    <n v="0"/>
    <n v="0"/>
    <n v="6.6"/>
    <n v="6.6"/>
    <n v="60"/>
    <n v="60"/>
    <s v="Non performing"/>
    <s v="Non-Performing"/>
    <x v="2"/>
    <n v="0.14468330724871906"/>
    <s v="Healthy"/>
    <s v="High Risk"/>
    <s v="Medium"/>
    <s v="Low"/>
    <x v="0"/>
    <s v="Medium"/>
  </r>
  <r>
    <n v="24775"/>
    <n v="45"/>
    <s v="Unemployed"/>
    <x v="3"/>
    <n v="8517.17"/>
    <n v="8517.17"/>
    <n v="24400.5"/>
    <n v="24400.5"/>
    <n v="18"/>
    <n v="13.65"/>
    <m/>
    <s v="NULL"/>
    <n v="7.9"/>
    <n v="7.9"/>
    <n v="0"/>
    <n v="0"/>
    <s v="Non performing"/>
    <s v="Non-Performing"/>
    <x v="3"/>
    <n v="0.15915889119664553"/>
    <s v="Healthy"/>
    <s v="Good"/>
    <s v="Medium"/>
    <s v="Low"/>
    <x v="0"/>
    <s v="High"/>
  </r>
  <r>
    <n v="20374"/>
    <n v="120"/>
    <s v="Salaried"/>
    <x v="2"/>
    <n v="6143.01"/>
    <n v="6143.01"/>
    <m/>
    <s v="NULL"/>
    <n v="36"/>
    <n v="22.5"/>
    <n v="2"/>
    <n v="2"/>
    <n v="12.7"/>
    <n v="12.7"/>
    <n v="0"/>
    <n v="0"/>
    <s v="Non-Performing"/>
    <s v="Non-Performing"/>
    <x v="1"/>
    <s v="NULL"/>
    <s v="NULL"/>
    <s v="Good"/>
    <s v="High"/>
    <s v="High"/>
    <x v="3"/>
    <s v="Medium"/>
  </r>
  <r>
    <n v="22759"/>
    <n v="59"/>
    <s v="Self-Employed"/>
    <x v="0"/>
    <n v="-1500"/>
    <n v="1500"/>
    <n v="297.49"/>
    <n v="297.49"/>
    <n v="48"/>
    <n v="26.1"/>
    <m/>
    <s v="NULL"/>
    <n v="-0.7"/>
    <n v="0.7"/>
    <n v="90"/>
    <n v="90"/>
    <s v="Written Off"/>
    <s v="Written Off"/>
    <x v="1"/>
    <n v="4.1318055555555561E-3"/>
    <s v="Healthy"/>
    <s v="High Risk"/>
    <s v="Small"/>
    <s v="Medium"/>
    <x v="0"/>
    <s v="Low"/>
  </r>
  <r>
    <n v="23734"/>
    <n v="31"/>
    <s v="Self employed"/>
    <x v="0"/>
    <n v="4595.24"/>
    <n v="4595.24"/>
    <n v="31350.61"/>
    <n v="31350.61"/>
    <n v="48"/>
    <n v="27.01"/>
    <n v="0"/>
    <n v="0"/>
    <n v="9.6999999999999993"/>
    <n v="9.6999999999999993"/>
    <n v="0"/>
    <n v="0"/>
    <s v="Performing "/>
    <s v="Performing "/>
    <x v="2"/>
    <n v="0.14213353564413031"/>
    <s v="Healthy"/>
    <s v="Good"/>
    <s v="High"/>
    <s v="Medium"/>
    <x v="1"/>
    <s v="Medium"/>
  </r>
  <r>
    <n v="24141"/>
    <n v="46"/>
    <s v="Salaried"/>
    <x v="2"/>
    <n v="7616.98"/>
    <n v="7616.98"/>
    <n v="22317.71"/>
    <n v="22317.71"/>
    <n v="48"/>
    <n v="13.21"/>
    <n v="4"/>
    <n v="4"/>
    <n v="8"/>
    <n v="8"/>
    <n v="90"/>
    <n v="90"/>
    <s v="Non performing"/>
    <s v="Non-Performing"/>
    <x v="2"/>
    <n v="6.1041553432812833E-2"/>
    <s v="Healthy"/>
    <s v="High Risk"/>
    <s v="Medium"/>
    <s v="High"/>
    <x v="0"/>
    <s v="Medium"/>
  </r>
  <r>
    <n v="23036"/>
    <n v="28"/>
    <s v="Unemployed"/>
    <x v="3"/>
    <n v="7845.85"/>
    <n v="7845.85"/>
    <n v="17895.46"/>
    <n v="17895.46"/>
    <n v="36"/>
    <n v="20.76"/>
    <m/>
    <s v="NULL"/>
    <n v="4.2"/>
    <n v="4.2"/>
    <n v="0"/>
    <n v="0"/>
    <s v="Performing"/>
    <s v="Performing"/>
    <x v="1"/>
    <n v="6.3357840273662008E-2"/>
    <s v="Healthy"/>
    <s v="Good"/>
    <s v="Medium"/>
    <s v="Low"/>
    <x v="0"/>
    <s v="Medium"/>
  </r>
  <r>
    <n v="20648"/>
    <n v="44"/>
    <s v="Contract"/>
    <x v="1"/>
    <n v="4735.26"/>
    <n v="4735.26"/>
    <n v="27789.91"/>
    <n v="27789.91"/>
    <n v="18"/>
    <n v="15.95"/>
    <n v="0"/>
    <n v="0"/>
    <n v="8.6"/>
    <n v="8.6"/>
    <n v="0"/>
    <n v="0"/>
    <s v="Written Off"/>
    <s v="Written Off"/>
    <x v="2"/>
    <n v="0.32603994055002022"/>
    <s v="Stretched"/>
    <s v="Good"/>
    <s v="Medium"/>
    <s v="Low"/>
    <x v="0"/>
    <s v="Medium"/>
  </r>
  <r>
    <n v="23794"/>
    <n v="40"/>
    <s v="Self employed"/>
    <x v="0"/>
    <n v="1000.48"/>
    <n v="1000.48"/>
    <n v="15183.41"/>
    <n v="15183.41"/>
    <n v="12"/>
    <n v="16.8"/>
    <n v="3"/>
    <n v="3"/>
    <n v="7.8"/>
    <n v="7.8"/>
    <n v="0"/>
    <n v="0"/>
    <s v="Written Off"/>
    <s v="Written Off"/>
    <x v="3"/>
    <n v="1.2646771216482755"/>
    <s v="High Stress"/>
    <s v="Good"/>
    <s v="Medium"/>
    <s v="Medium"/>
    <x v="0"/>
    <s v="Low"/>
  </r>
  <r>
    <n v="24592"/>
    <n v="23"/>
    <s v="Self employed"/>
    <x v="0"/>
    <n v="4651.3999999999996"/>
    <n v="4651.3999999999996"/>
    <n v="17583.150000000001"/>
    <n v="17583.150000000001"/>
    <n v="18"/>
    <n v="14.09"/>
    <n v="4"/>
    <n v="4"/>
    <m/>
    <s v="NULL"/>
    <n v="0"/>
    <n v="0"/>
    <s v="Performing "/>
    <s v="Performing "/>
    <x v="0"/>
    <n v="0.21001024781069502"/>
    <s v="Healthy"/>
    <s v="Good"/>
    <s v="Medium"/>
    <s v="Medium"/>
    <x v="1"/>
    <s v="Medium"/>
  </r>
  <r>
    <n v="20198"/>
    <n v="30"/>
    <s v="Salaried "/>
    <x v="2"/>
    <n v="1433.39"/>
    <n v="1433.39"/>
    <n v="17809.189999999999"/>
    <n v="17809.189999999999"/>
    <n v="6"/>
    <n v="24.46"/>
    <m/>
    <s v="NULL"/>
    <n v="8.4"/>
    <n v="8.4"/>
    <n v="0"/>
    <n v="0"/>
    <s v="Non-Performing"/>
    <s v="Non-Performing"/>
    <x v="2"/>
    <n v="2.070754179485927"/>
    <s v="High Stress"/>
    <s v="Good"/>
    <s v="Medium"/>
    <s v="High"/>
    <x v="0"/>
    <s v="Low"/>
  </r>
  <r>
    <n v="22149"/>
    <n v="58"/>
    <s v="Salaried "/>
    <x v="2"/>
    <n v="9226.5300000000007"/>
    <n v="9226.5300000000007"/>
    <n v="10423.08"/>
    <n v="10423.08"/>
    <n v="60"/>
    <n v="11.96"/>
    <n v="0"/>
    <n v="0"/>
    <n v="1.2"/>
    <n v="1.2"/>
    <m/>
    <s v="NULL"/>
    <s v="Performing "/>
    <s v="Performing "/>
    <x v="3"/>
    <n v="1.8828096803456987E-2"/>
    <s v="Healthy"/>
    <s v="NULL"/>
    <s v="Medium"/>
    <s v="High"/>
    <x v="0"/>
    <s v="High"/>
  </r>
  <r>
    <n v="23253"/>
    <n v="64"/>
    <s v="Self-Employed"/>
    <x v="0"/>
    <n v="5836.71"/>
    <n v="5836.71"/>
    <n v="22263.35"/>
    <n v="22263.35"/>
    <n v="36"/>
    <n v="24"/>
    <m/>
    <s v="NULL"/>
    <n v="7.6"/>
    <n v="7.6"/>
    <n v="0"/>
    <n v="0"/>
    <s v="Performing "/>
    <s v="Performing "/>
    <x v="0"/>
    <n v="0.10595461979246679"/>
    <s v="Healthy"/>
    <s v="Good"/>
    <s v="Medium"/>
    <s v="Medium"/>
    <x v="1"/>
    <s v="Medium"/>
  </r>
  <r>
    <n v="21002"/>
    <n v="42"/>
    <s v="Self employed"/>
    <x v="0"/>
    <n v="3488.61"/>
    <n v="3488.61"/>
    <n v="19569.05"/>
    <n v="19569.05"/>
    <n v="12"/>
    <n v="27.42"/>
    <n v="3"/>
    <n v="3"/>
    <n v="10.3"/>
    <n v="10.3"/>
    <n v="30"/>
    <n v="30"/>
    <s v="Performing "/>
    <s v="Performing "/>
    <x v="4"/>
    <n v="0.46745098095421"/>
    <s v="High Stress"/>
    <s v="At Risk"/>
    <s v="Medium"/>
    <s v="Medium"/>
    <x v="0"/>
    <s v="Medium"/>
  </r>
  <r>
    <n v="20170"/>
    <n v="29"/>
    <s v="Salaried "/>
    <x v="2"/>
    <n v="3937.23"/>
    <n v="3937.23"/>
    <n v="24426.78"/>
    <n v="24426.78"/>
    <n v="18"/>
    <n v="17.68"/>
    <n v="4"/>
    <n v="4"/>
    <n v="4.7"/>
    <n v="4.7"/>
    <n v="0"/>
    <n v="0"/>
    <s v="Performing "/>
    <s v="Performing "/>
    <x v="2"/>
    <n v="0.3446695604100683"/>
    <s v="Stretched"/>
    <s v="Good"/>
    <s v="Medium"/>
    <s v="High"/>
    <x v="0"/>
    <s v="Medium"/>
  </r>
  <r>
    <n v="24126"/>
    <n v="52"/>
    <s v="Salaried"/>
    <x v="2"/>
    <n v="3101.62"/>
    <n v="3101.62"/>
    <n v="14529.85"/>
    <n v="14529.85"/>
    <n v="36"/>
    <n v="12.58"/>
    <m/>
    <s v="NULL"/>
    <n v="1.1000000000000001"/>
    <n v="1.1000000000000001"/>
    <n v="60"/>
    <n v="60"/>
    <s v="Performing"/>
    <s v="Performing"/>
    <x v="3"/>
    <n v="0.13012778626796465"/>
    <s v="Healthy"/>
    <s v="High Risk"/>
    <s v="Medium"/>
    <s v="High"/>
    <x v="0"/>
    <s v="Medium"/>
  </r>
  <r>
    <n v="22331"/>
    <n v="48"/>
    <s v="Salaried "/>
    <x v="2"/>
    <n v="5151.1899999999996"/>
    <n v="5151.1899999999996"/>
    <n v="26881.83"/>
    <n v="26881.83"/>
    <n v="24"/>
    <n v="27.31"/>
    <n v="1"/>
    <n v="1"/>
    <n v="9.6999999999999993"/>
    <n v="9.6999999999999993"/>
    <n v="60"/>
    <n v="60"/>
    <s v="Non-Performing"/>
    <s v="Non-Performing"/>
    <x v="0"/>
    <n v="0.21744029049598251"/>
    <s v="Healthy"/>
    <s v="High Risk"/>
    <s v="Medium"/>
    <s v="High"/>
    <x v="0"/>
    <s v="Medium"/>
  </r>
  <r>
    <n v="25953"/>
    <n v="23"/>
    <s v="Contract"/>
    <x v="1"/>
    <n v="10280.950000000001"/>
    <n v="10280.950000000001"/>
    <n v="16821.79"/>
    <n v="16821.79"/>
    <n v="24"/>
    <n v="20.27"/>
    <n v="0"/>
    <n v="0"/>
    <n v="5.8"/>
    <n v="5.8"/>
    <n v="0"/>
    <n v="0"/>
    <s v="Non performing"/>
    <s v="Non-Performing"/>
    <x v="1"/>
    <n v="6.8175403699722956E-2"/>
    <s v="Healthy"/>
    <s v="Good"/>
    <s v="Medium"/>
    <s v="Low"/>
    <x v="0"/>
    <s v="High"/>
  </r>
  <r>
    <n v="22239"/>
    <n v="42"/>
    <s v="Salaried "/>
    <x v="2"/>
    <n v="3008.66"/>
    <n v="3008.66"/>
    <n v="24075.38"/>
    <n v="24075.38"/>
    <n v="6"/>
    <n v="11.47"/>
    <n v="2"/>
    <n v="2"/>
    <n v="-1.8"/>
    <n v="1.8"/>
    <n v="60"/>
    <n v="60"/>
    <s v="Performing"/>
    <s v="Performing"/>
    <x v="0"/>
    <n v="1.3336712467787433"/>
    <s v="High Stress"/>
    <s v="High Risk"/>
    <s v="Medium"/>
    <s v="High"/>
    <x v="0"/>
    <s v="Medium"/>
  </r>
  <r>
    <n v="20727"/>
    <n v="45"/>
    <s v="Self-Employed"/>
    <x v="0"/>
    <n v="6466.6"/>
    <n v="6466.6"/>
    <n v="14994.27"/>
    <n v="14994.27"/>
    <n v="24"/>
    <n v="14.97"/>
    <n v="0"/>
    <n v="0"/>
    <n v="13.5"/>
    <n v="13.5"/>
    <n v="0"/>
    <n v="0"/>
    <s v="Written Off"/>
    <s v="Written Off"/>
    <x v="2"/>
    <n v="9.6613560449076777E-2"/>
    <s v="Healthy"/>
    <s v="Good"/>
    <s v="Medium"/>
    <s v="Medium"/>
    <x v="1"/>
    <s v="Medium"/>
  </r>
  <r>
    <n v="25859"/>
    <n v="24"/>
    <s v="Salaried"/>
    <x v="2"/>
    <n v="6796.88"/>
    <n v="6796.88"/>
    <n v="18407.38"/>
    <n v="18407.38"/>
    <n v="24"/>
    <n v="23.64"/>
    <n v="0"/>
    <n v="0"/>
    <n v="5.8"/>
    <n v="5.8"/>
    <n v="0"/>
    <n v="0"/>
    <s v="Performing "/>
    <s v="Performing "/>
    <x v="2"/>
    <n v="0.11284209323493526"/>
    <s v="Healthy"/>
    <s v="Good"/>
    <s v="Medium"/>
    <s v="High"/>
    <x v="1"/>
    <s v="Medium"/>
  </r>
  <r>
    <n v="24743"/>
    <n v="43"/>
    <s v="Contract"/>
    <x v="1"/>
    <n v="6912.44"/>
    <n v="6912.44"/>
    <n v="8347.06"/>
    <n v="8347.06"/>
    <n v="48"/>
    <n v="14.75"/>
    <m/>
    <s v="NULL"/>
    <n v="5.6"/>
    <n v="5.6"/>
    <n v="90"/>
    <n v="90"/>
    <s v="Non-Performing"/>
    <s v="Non-Performing"/>
    <x v="1"/>
    <n v="2.515712011002386E-2"/>
    <s v="Healthy"/>
    <s v="High Risk"/>
    <s v="Small"/>
    <s v="Low"/>
    <x v="0"/>
    <s v="Medium"/>
  </r>
  <r>
    <n v="21955"/>
    <n v="50"/>
    <s v="Self employed"/>
    <x v="0"/>
    <n v="4622.55"/>
    <n v="4622.55"/>
    <n v="17297.98"/>
    <n v="17297.98"/>
    <n v="6"/>
    <n v="22.66"/>
    <n v="4"/>
    <n v="4"/>
    <n v="12.1"/>
    <n v="12.1"/>
    <m/>
    <s v="NULL"/>
    <s v="Performing "/>
    <s v="Performing "/>
    <x v="2"/>
    <n v="0.62368101300508727"/>
    <s v="High Stress"/>
    <s v="NULL"/>
    <s v="Medium"/>
    <s v="Medium"/>
    <x v="0"/>
    <s v="Medium"/>
  </r>
  <r>
    <n v="20444"/>
    <n v="62"/>
    <s v="Salaried "/>
    <x v="2"/>
    <n v="5080.6499999999996"/>
    <n v="5080.6499999999996"/>
    <n v="29498.19"/>
    <n v="29498.19"/>
    <n v="48"/>
    <n v="15.51"/>
    <m/>
    <s v="NULL"/>
    <n v="1.7"/>
    <n v="1.7"/>
    <n v="30"/>
    <n v="30"/>
    <s v="Written Off"/>
    <s v="Written Off"/>
    <x v="4"/>
    <n v="0.12095807130977336"/>
    <s v="Healthy"/>
    <s v="At Risk"/>
    <s v="Medium"/>
    <s v="High"/>
    <x v="0"/>
    <s v="Medium"/>
  </r>
  <r>
    <n v="20107"/>
    <n v="56"/>
    <s v="Salaried"/>
    <x v="2"/>
    <n v="7515.53"/>
    <n v="7515.53"/>
    <n v="17844.21"/>
    <n v="17844.21"/>
    <n v="60"/>
    <n v="18.7"/>
    <n v="4"/>
    <n v="4"/>
    <n v="8.1999999999999993"/>
    <n v="8.1999999999999993"/>
    <n v="90"/>
    <n v="90"/>
    <s v="Performing"/>
    <s v="Performing"/>
    <x v="1"/>
    <n v="3.9571859868831605E-2"/>
    <s v="Healthy"/>
    <s v="High Risk"/>
    <s v="Medium"/>
    <s v="High"/>
    <x v="0"/>
    <s v="Medium"/>
  </r>
  <r>
    <n v="25470"/>
    <n v="46"/>
    <s v="Self-Employed"/>
    <x v="0"/>
    <n v="2497.1"/>
    <n v="2497.1"/>
    <n v="35991.49"/>
    <n v="35991.49"/>
    <n v="48"/>
    <n v="17.510000000000002"/>
    <n v="1"/>
    <n v="1"/>
    <n v="2.5"/>
    <n v="2.5"/>
    <m/>
    <s v="NULL"/>
    <s v="Written Off"/>
    <s v="Written Off"/>
    <x v="0"/>
    <n v="0.30027740512327633"/>
    <s v="Stretched"/>
    <s v="NULL"/>
    <s v="High"/>
    <s v="Medium"/>
    <x v="0"/>
    <s v="Medium"/>
  </r>
  <r>
    <n v="24583"/>
    <n v="51"/>
    <s v="Unemployed"/>
    <x v="3"/>
    <n v="5772.04"/>
    <n v="5772.04"/>
    <n v="20574.48"/>
    <n v="20574.48"/>
    <n v="18"/>
    <n v="24.04"/>
    <n v="2"/>
    <n v="2"/>
    <n v="5.9"/>
    <n v="5.9"/>
    <n v="0"/>
    <n v="0"/>
    <s v="Written Off"/>
    <s v="Written Off"/>
    <x v="1"/>
    <n v="0.19802819569279953"/>
    <s v="Healthy"/>
    <s v="Good"/>
    <s v="Medium"/>
    <s v="Low"/>
    <x v="0"/>
    <s v="Medium"/>
  </r>
  <r>
    <n v="25355"/>
    <n v="29"/>
    <s v="Self employed"/>
    <x v="0"/>
    <n v="8993.16"/>
    <n v="8993.16"/>
    <n v="16138.83"/>
    <n v="16138.83"/>
    <n v="48"/>
    <n v="15.84"/>
    <n v="4"/>
    <n v="4"/>
    <n v="8.8000000000000007"/>
    <n v="8.8000000000000007"/>
    <m/>
    <s v="NULL"/>
    <s v="Performing "/>
    <s v="Performing "/>
    <x v="3"/>
    <n v="3.7386816758514248E-2"/>
    <s v="Healthy"/>
    <s v="NULL"/>
    <s v="Medium"/>
    <s v="Medium"/>
    <x v="0"/>
    <s v="High"/>
  </r>
  <r>
    <n v="22896"/>
    <n v="43"/>
    <s v="Unemployed"/>
    <x v="3"/>
    <n v="6129.13"/>
    <n v="6129.13"/>
    <n v="35512.120000000003"/>
    <n v="35512.120000000003"/>
    <n v="48"/>
    <n v="10.11"/>
    <n v="2"/>
    <n v="2"/>
    <n v="5.7"/>
    <n v="5.7"/>
    <n v="30"/>
    <n v="30"/>
    <s v="Non-Performing"/>
    <s v="Non-Performing"/>
    <x v="3"/>
    <n v="0.1207081320404908"/>
    <s v="Healthy"/>
    <s v="At Risk"/>
    <s v="High"/>
    <s v="Low"/>
    <x v="0"/>
    <s v="Medium"/>
  </r>
  <r>
    <n v="20050"/>
    <n v="27"/>
    <s v="Self-Employed"/>
    <x v="0"/>
    <n v="5847.1"/>
    <n v="5847.1"/>
    <n v="24571.72"/>
    <n v="24571.72"/>
    <n v="18"/>
    <n v="26.82"/>
    <n v="4"/>
    <n v="4"/>
    <n v="10.9"/>
    <n v="10.9"/>
    <n v="60"/>
    <n v="60"/>
    <s v="Performing"/>
    <s v="Performing"/>
    <x v="1"/>
    <n v="0.23346540260223966"/>
    <s v="Healthy"/>
    <s v="High Risk"/>
    <s v="Medium"/>
    <s v="Medium"/>
    <x v="0"/>
    <s v="Medium"/>
  </r>
  <r>
    <n v="21463"/>
    <n v="26"/>
    <s v="Self-Employed"/>
    <x v="0"/>
    <n v="782.41"/>
    <n v="782.41"/>
    <n v="23063.42"/>
    <n v="23063.42"/>
    <n v="12"/>
    <n v="23.55"/>
    <n v="3"/>
    <n v="3"/>
    <n v="9.6"/>
    <n v="9.6"/>
    <n v="120"/>
    <n v="120"/>
    <s v="Non-Performing"/>
    <s v="Non-Performing"/>
    <x v="1"/>
    <n v="2.4564507951926311"/>
    <s v="High Stress"/>
    <s v="High Risk"/>
    <s v="Medium"/>
    <s v="Medium"/>
    <x v="0"/>
    <s v="Low"/>
  </r>
  <r>
    <n v="25453"/>
    <n v="44"/>
    <s v="Unemployed"/>
    <x v="3"/>
    <n v="3666.64"/>
    <n v="3666.64"/>
    <n v="39759.85"/>
    <n v="39759.85"/>
    <n v="12"/>
    <n v="18.809999999999999"/>
    <n v="4"/>
    <n v="4"/>
    <n v="3.6"/>
    <n v="3.6"/>
    <n v="60"/>
    <n v="60"/>
    <s v="Performing"/>
    <s v="Performing"/>
    <x v="2"/>
    <n v="0.90363952646928336"/>
    <s v="High Stress"/>
    <s v="High Risk"/>
    <s v="High"/>
    <s v="Low"/>
    <x v="2"/>
    <s v="Medium"/>
  </r>
  <r>
    <n v="25738"/>
    <n v="53"/>
    <s v="Contract"/>
    <x v="1"/>
    <n v="5606.42"/>
    <n v="5606.42"/>
    <n v="8025.93"/>
    <n v="8025.93"/>
    <n v="60"/>
    <n v="10.9"/>
    <m/>
    <s v="NULL"/>
    <n v="5.2"/>
    <n v="5.2"/>
    <n v="0"/>
    <n v="0"/>
    <s v="Performing"/>
    <s v="Performing"/>
    <x v="0"/>
    <n v="2.3859343395607181E-2"/>
    <s v="Healthy"/>
    <s v="Good"/>
    <s v="Small"/>
    <s v="Low"/>
    <x v="0"/>
    <s v="Medium"/>
  </r>
  <r>
    <n v="25097"/>
    <n v="64"/>
    <s v="Contract"/>
    <x v="1"/>
    <n v="9998.5"/>
    <n v="9998.5"/>
    <n v="16899.259999999998"/>
    <n v="16899.259999999998"/>
    <n v="60"/>
    <n v="28.95"/>
    <n v="2"/>
    <n v="2"/>
    <n v="10.5"/>
    <n v="10.5"/>
    <n v="120"/>
    <n v="120"/>
    <s v="Non performing"/>
    <s v="Non-Performing"/>
    <x v="0"/>
    <n v="2.8169658782150653E-2"/>
    <s v="Healthy"/>
    <s v="High Risk"/>
    <s v="Medium"/>
    <s v="Low"/>
    <x v="0"/>
    <s v="High"/>
  </r>
  <r>
    <n v="25085"/>
    <n v="75"/>
    <s v="Self employed"/>
    <x v="0"/>
    <n v="9321.27"/>
    <n v="9321.27"/>
    <m/>
    <s v="NULL"/>
    <n v="12"/>
    <n v="21.85"/>
    <n v="4"/>
    <n v="4"/>
    <n v="5.5"/>
    <n v="5.5"/>
    <n v="0"/>
    <n v="0"/>
    <s v="Performing"/>
    <s v="Performing"/>
    <x v="0"/>
    <s v="NULL"/>
    <s v="NULL"/>
    <s v="Good"/>
    <s v="High"/>
    <s v="Medium"/>
    <x v="0"/>
    <s v="High"/>
  </r>
  <r>
    <n v="20183"/>
    <n v="52"/>
    <s v="Self employed"/>
    <x v="0"/>
    <n v="762.03"/>
    <n v="762.03"/>
    <n v="33644.800000000003"/>
    <n v="33644.800000000003"/>
    <n v="12"/>
    <n v="19.54"/>
    <n v="2"/>
    <n v="2"/>
    <n v="0.8"/>
    <n v="0.8"/>
    <m/>
    <s v="NULL"/>
    <s v="Performing "/>
    <s v="Performing "/>
    <x v="0"/>
    <n v="3.679295215848895"/>
    <s v="High Stress"/>
    <s v="NULL"/>
    <s v="High"/>
    <s v="Medium"/>
    <x v="0"/>
    <s v="Low"/>
  </r>
  <r>
    <n v="21712"/>
    <n v="63"/>
    <s v="Self employed"/>
    <x v="0"/>
    <n v="6289.96"/>
    <n v="6289.96"/>
    <n v="20097.240000000002"/>
    <n v="20097.240000000002"/>
    <n v="36"/>
    <n v="10.57"/>
    <n v="1"/>
    <n v="1"/>
    <n v="13.2"/>
    <n v="13.2"/>
    <n v="60"/>
    <n v="60"/>
    <s v="Performing "/>
    <s v="Performing "/>
    <x v="2"/>
    <n v="8.8753611575696306E-2"/>
    <s v="Healthy"/>
    <s v="High Risk"/>
    <s v="Medium"/>
    <s v="Medium"/>
    <x v="0"/>
    <s v="Medium"/>
  </r>
  <r>
    <n v="24042"/>
    <n v="25"/>
    <s v="Salaried"/>
    <x v="2"/>
    <n v="2934.01"/>
    <n v="2934.01"/>
    <n v="26885.26"/>
    <n v="26885.26"/>
    <n v="60"/>
    <n v="18.350000000000001"/>
    <n v="0"/>
    <n v="0"/>
    <n v="1.5"/>
    <n v="1.5"/>
    <n v="0"/>
    <n v="0"/>
    <s v="Performing"/>
    <s v="Performing"/>
    <x v="3"/>
    <n v="0.1527219289186699"/>
    <s v="Healthy"/>
    <s v="Good"/>
    <s v="Medium"/>
    <s v="High"/>
    <x v="1"/>
    <s v="Medium"/>
  </r>
  <r>
    <n v="22648"/>
    <n v="37"/>
    <s v="Salaried"/>
    <x v="2"/>
    <n v="3977.31"/>
    <n v="3977.31"/>
    <n v="12095.26"/>
    <n v="12095.26"/>
    <n v="48"/>
    <n v="18.48"/>
    <n v="0"/>
    <n v="0"/>
    <n v="6.6"/>
    <n v="6.6"/>
    <n v="0"/>
    <n v="0"/>
    <s v="Performing "/>
    <s v="Performing "/>
    <x v="2"/>
    <n v="6.3355530077699077E-2"/>
    <s v="Healthy"/>
    <s v="Good"/>
    <s v="Medium"/>
    <s v="High"/>
    <x v="1"/>
    <s v="Medium"/>
  </r>
  <r>
    <n v="25782"/>
    <n v="23"/>
    <s v="Salaried"/>
    <x v="2"/>
    <n v="4679.62"/>
    <n v="4679.62"/>
    <n v="32608.91"/>
    <n v="32608.91"/>
    <n v="6"/>
    <n v="20.13"/>
    <n v="0"/>
    <n v="0"/>
    <n v="10.7"/>
    <n v="10.7"/>
    <m/>
    <s v="NULL"/>
    <s v="Non-Performing"/>
    <s v="Non-Performing"/>
    <x v="1"/>
    <n v="1.1613802687682617"/>
    <s v="High Stress"/>
    <s v="NULL"/>
    <s v="High"/>
    <s v="High"/>
    <x v="0"/>
    <s v="Medium"/>
  </r>
  <r>
    <n v="23333"/>
    <n v="26"/>
    <s v="Contract"/>
    <x v="1"/>
    <n v="3039.34"/>
    <n v="3039.34"/>
    <n v="20564.12"/>
    <n v="20564.12"/>
    <n v="12"/>
    <n v="23.37"/>
    <n v="3"/>
    <n v="3"/>
    <n v="7.8"/>
    <n v="7.8"/>
    <n v="15"/>
    <n v="15"/>
    <s v="Written Off"/>
    <s v="Written Off"/>
    <x v="4"/>
    <n v="0.56383184068471004"/>
    <s v="High Stress"/>
    <s v="Good"/>
    <s v="Medium"/>
    <s v="Low"/>
    <x v="0"/>
    <s v="Medium"/>
  </r>
  <r>
    <n v="20234"/>
    <n v="43"/>
    <s v="Contract"/>
    <x v="1"/>
    <n v="-1500"/>
    <n v="1500"/>
    <n v="12120.31"/>
    <n v="12120.31"/>
    <n v="12"/>
    <n v="12.69"/>
    <n v="1"/>
    <n v="1"/>
    <n v="-2.2999999999999998"/>
    <n v="2.2999999999999998"/>
    <n v="0"/>
    <n v="0"/>
    <s v="Non-Performing"/>
    <s v="Non-Performing"/>
    <x v="1"/>
    <n v="0.67335055555555556"/>
    <s v="High Stress"/>
    <s v="Good"/>
    <s v="Medium"/>
    <s v="Low"/>
    <x v="0"/>
    <s v="Low"/>
  </r>
  <r>
    <n v="23961"/>
    <n v="50"/>
    <s v="Self employed"/>
    <x v="0"/>
    <n v="5042.33"/>
    <n v="5042.33"/>
    <n v="10572.87"/>
    <n v="10572.87"/>
    <n v="48"/>
    <n v="12.97"/>
    <n v="1"/>
    <n v="1"/>
    <n v="8.6"/>
    <n v="8.6"/>
    <n v="60"/>
    <n v="60"/>
    <s v="Non-Performing"/>
    <s v="Non-Performing"/>
    <x v="2"/>
    <n v="4.3683797966416325E-2"/>
    <s v="Healthy"/>
    <s v="High Risk"/>
    <s v="Medium"/>
    <s v="Medium"/>
    <x v="0"/>
    <s v="Medium"/>
  </r>
  <r>
    <n v="24566"/>
    <n v="45"/>
    <s v="Unemployed"/>
    <x v="3"/>
    <n v="2493.87"/>
    <n v="2493.87"/>
    <n v="17393.02"/>
    <n v="17393.02"/>
    <n v="60"/>
    <n v="21.89"/>
    <n v="2"/>
    <n v="2"/>
    <n v="5.0999999999999996"/>
    <n v="5.0999999999999996"/>
    <n v="15"/>
    <n v="15"/>
    <s v="Performing"/>
    <s v="Performing"/>
    <x v="2"/>
    <n v="0.11623848342803222"/>
    <s v="Healthy"/>
    <s v="Good"/>
    <s v="Medium"/>
    <s v="Low"/>
    <x v="0"/>
    <s v="Medium"/>
  </r>
  <r>
    <n v="24182"/>
    <n v="41"/>
    <s v="Unemployed"/>
    <x v="3"/>
    <n v="6970.45"/>
    <n v="6970.45"/>
    <n v="4889.07"/>
    <n v="4889.07"/>
    <n v="12"/>
    <n v="21.03"/>
    <n v="4"/>
    <n v="4"/>
    <n v="7.4"/>
    <n v="7.4"/>
    <n v="15"/>
    <n v="15"/>
    <s v="Written Off"/>
    <s v="Written Off"/>
    <x v="1"/>
    <n v="5.8449956602514903E-2"/>
    <s v="Healthy"/>
    <s v="Good"/>
    <s v="Small"/>
    <s v="Low"/>
    <x v="0"/>
    <s v="Medium"/>
  </r>
  <r>
    <n v="21695"/>
    <n v="41"/>
    <s v="Contract"/>
    <x v="1"/>
    <n v="5388.41"/>
    <n v="5388.41"/>
    <n v="18719.689999999999"/>
    <n v="18719.689999999999"/>
    <n v="48"/>
    <n v="22.46"/>
    <n v="0"/>
    <n v="0"/>
    <n v="8.1999999999999993"/>
    <n v="8.1999999999999993"/>
    <n v="15"/>
    <n v="15"/>
    <s v="Non performing"/>
    <s v="Non-Performing"/>
    <x v="0"/>
    <n v="7.2376367363780156E-2"/>
    <s v="Healthy"/>
    <s v="Good"/>
    <s v="Medium"/>
    <s v="Low"/>
    <x v="0"/>
    <s v="Medium"/>
  </r>
  <r>
    <n v="23948"/>
    <n v="39"/>
    <s v="Salaried "/>
    <x v="2"/>
    <n v="2829.45"/>
    <n v="2829.45"/>
    <n v="7556.55"/>
    <n v="7556.55"/>
    <n v="48"/>
    <n v="12.95"/>
    <m/>
    <s v="NULL"/>
    <n v="1.4"/>
    <n v="1.4"/>
    <n v="30"/>
    <n v="30"/>
    <s v="Non performing"/>
    <s v="Non-Performing"/>
    <x v="1"/>
    <n v="5.5639125978547081E-2"/>
    <s v="Healthy"/>
    <s v="At Risk"/>
    <s v="Small"/>
    <s v="High"/>
    <x v="0"/>
    <s v="Medium"/>
  </r>
  <r>
    <n v="22525"/>
    <n v="22"/>
    <s v="Salaried"/>
    <x v="2"/>
    <n v="4406.3100000000004"/>
    <n v="4406.3100000000004"/>
    <n v="4778.13"/>
    <n v="4778.13"/>
    <n v="24"/>
    <n v="20.93"/>
    <m/>
    <s v="NULL"/>
    <n v="15.4"/>
    <n v="15.4"/>
    <n v="0"/>
    <n v="0"/>
    <s v="Written Off"/>
    <s v="Written Off"/>
    <x v="1"/>
    <n v="4.5182647158279833E-2"/>
    <s v="Healthy"/>
    <s v="Good"/>
    <s v="Small"/>
    <s v="High"/>
    <x v="1"/>
    <s v="Medium"/>
  </r>
  <r>
    <n v="21849"/>
    <n v="35"/>
    <s v="Salaried "/>
    <x v="2"/>
    <n v="3189.71"/>
    <n v="3189.71"/>
    <m/>
    <s v="NULL"/>
    <n v="36"/>
    <n v="18.559999999999999"/>
    <m/>
    <s v="NULL"/>
    <n v="9.1999999999999993"/>
    <n v="9.1999999999999993"/>
    <n v="60"/>
    <n v="60"/>
    <s v="Non-Performing"/>
    <s v="Non-Performing"/>
    <x v="2"/>
    <s v="NULL"/>
    <s v="NULL"/>
    <s v="High Risk"/>
    <s v="High"/>
    <s v="High"/>
    <x v="0"/>
    <s v="Medium"/>
  </r>
  <r>
    <n v="21844"/>
    <n v="45"/>
    <s v="Contract"/>
    <x v="1"/>
    <n v="5099.62"/>
    <n v="5099.62"/>
    <n v="4164.1499999999996"/>
    <n v="4164.1499999999996"/>
    <n v="18"/>
    <n v="20.79"/>
    <n v="4"/>
    <n v="4"/>
    <n v="5.7"/>
    <n v="5.7"/>
    <n v="60"/>
    <n v="60"/>
    <s v="Written Off"/>
    <s v="Written Off"/>
    <x v="4"/>
    <n v="4.5364491210456201E-2"/>
    <s v="Healthy"/>
    <s v="High Risk"/>
    <s v="Small"/>
    <s v="Low"/>
    <x v="0"/>
    <s v="Medium"/>
  </r>
  <r>
    <n v="21208"/>
    <n v="26"/>
    <s v="Contract"/>
    <x v="1"/>
    <n v="6138.25"/>
    <n v="6138.25"/>
    <n v="19130"/>
    <n v="19130"/>
    <n v="36"/>
    <n v="12.55"/>
    <m/>
    <s v="NULL"/>
    <n v="-2.6"/>
    <n v="2.6"/>
    <n v="0"/>
    <n v="0"/>
    <s v="Performing "/>
    <s v="Performing "/>
    <x v="3"/>
    <n v="8.6570095530304064E-2"/>
    <s v="Healthy"/>
    <s v="Good"/>
    <s v="Medium"/>
    <s v="Low"/>
    <x v="0"/>
    <s v="Medium"/>
  </r>
  <r>
    <n v="21101"/>
    <n v="62"/>
    <s v="Salaried"/>
    <x v="2"/>
    <n v="6203.51"/>
    <n v="6203.51"/>
    <n v="11580.58"/>
    <n v="11580.58"/>
    <n v="12"/>
    <n v="23.46"/>
    <n v="3"/>
    <n v="3"/>
    <n v="3.5"/>
    <n v="3.5"/>
    <n v="120"/>
    <n v="120"/>
    <s v="Written Off"/>
    <s v="Written Off"/>
    <x v="2"/>
    <n v="0.155564887190209"/>
    <s v="Healthy"/>
    <s v="High Risk"/>
    <s v="Medium"/>
    <s v="High"/>
    <x v="0"/>
    <s v="Medium"/>
  </r>
  <r>
    <n v="23950"/>
    <n v="53"/>
    <s v="Salaried "/>
    <x v="2"/>
    <n v="5746.53"/>
    <n v="5746.53"/>
    <n v="21476.84"/>
    <n v="21476.84"/>
    <n v="48"/>
    <n v="20.34"/>
    <m/>
    <s v="NULL"/>
    <n v="13.5"/>
    <n v="13.5"/>
    <n v="90"/>
    <n v="90"/>
    <s v="Written Off"/>
    <s v="Written Off"/>
    <x v="2"/>
    <n v="7.7861625479492255E-2"/>
    <s v="Healthy"/>
    <s v="High Risk"/>
    <s v="Medium"/>
    <s v="High"/>
    <x v="0"/>
    <s v="Medium"/>
  </r>
  <r>
    <n v="25029"/>
    <n v="25"/>
    <s v="Self employed"/>
    <x v="0"/>
    <n v="6916.8"/>
    <n v="6916.8"/>
    <n v="31854.06"/>
    <n v="31854.06"/>
    <n v="36"/>
    <n v="19.79"/>
    <n v="4"/>
    <n v="4"/>
    <n v="7.1"/>
    <n v="7.1"/>
    <n v="30"/>
    <n v="30"/>
    <s v="Non performing"/>
    <s v="Non-Performing"/>
    <x v="0"/>
    <n v="0.12792548577376822"/>
    <s v="Healthy"/>
    <s v="At Risk"/>
    <s v="High"/>
    <s v="Medium"/>
    <x v="0"/>
    <s v="Medium"/>
  </r>
  <r>
    <n v="25832"/>
    <n v="41"/>
    <s v="Self-Employed"/>
    <x v="0"/>
    <n v="8295.9599999999991"/>
    <n v="8295.9599999999991"/>
    <n v="22776.04"/>
    <n v="22776.04"/>
    <n v="18"/>
    <n v="21.03"/>
    <n v="3"/>
    <n v="3"/>
    <n v="3.7"/>
    <n v="3.7"/>
    <n v="0"/>
    <n v="0"/>
    <s v="Non-Performing"/>
    <s v="Non-Performing"/>
    <x v="3"/>
    <n v="0.15252430768175784"/>
    <s v="Healthy"/>
    <s v="Good"/>
    <s v="Medium"/>
    <s v="Medium"/>
    <x v="1"/>
    <s v="High"/>
  </r>
  <r>
    <n v="21723"/>
    <n v="52"/>
    <s v="Salaried "/>
    <x v="2"/>
    <n v="3631.67"/>
    <n v="3631.67"/>
    <n v="34185.53"/>
    <n v="34185.53"/>
    <n v="48"/>
    <n v="21.78"/>
    <n v="2"/>
    <n v="2"/>
    <n v="4.5999999999999996"/>
    <n v="4.5999999999999996"/>
    <n v="120"/>
    <n v="120"/>
    <s v="Performing"/>
    <s v="Performing"/>
    <x v="0"/>
    <n v="0.19610772500438273"/>
    <s v="Healthy"/>
    <s v="High Risk"/>
    <s v="High"/>
    <s v="High"/>
    <x v="0"/>
    <s v="Medium"/>
  </r>
  <r>
    <n v="25930"/>
    <n v="18"/>
    <s v="Unemployed"/>
    <x v="3"/>
    <n v="2868.75"/>
    <n v="2868.75"/>
    <n v="18558.91"/>
    <n v="18558.91"/>
    <n v="6"/>
    <n v="18.649999999999999"/>
    <n v="4"/>
    <n v="4"/>
    <n v="15.9"/>
    <n v="15.9"/>
    <n v="60"/>
    <n v="60"/>
    <s v="Written Off"/>
    <s v="Written Off"/>
    <x v="2"/>
    <n v="1.0782228031953522"/>
    <s v="High Stress"/>
    <s v="High Risk"/>
    <s v="Medium"/>
    <s v="Low"/>
    <x v="2"/>
    <s v="Medium"/>
  </r>
  <r>
    <n v="25351"/>
    <n v="120"/>
    <s v="Salaried "/>
    <x v="2"/>
    <n v="4335.07"/>
    <n v="4335.07"/>
    <n v="8245.7800000000007"/>
    <n v="8245.7800000000007"/>
    <n v="12"/>
    <n v="32.39"/>
    <n v="2"/>
    <n v="2"/>
    <n v="5.0999999999999996"/>
    <n v="5.0999999999999996"/>
    <n v="15"/>
    <n v="15"/>
    <s v="Non-Performing"/>
    <s v="Non-Performing"/>
    <x v="1"/>
    <n v="0.15850916671087975"/>
    <s v="Healthy"/>
    <s v="Good"/>
    <s v="Small"/>
    <s v="High"/>
    <x v="3"/>
    <s v="Medium"/>
  </r>
  <r>
    <n v="25008"/>
    <n v="53"/>
    <s v="Salaried"/>
    <x v="2"/>
    <n v="4445.04"/>
    <n v="4445.04"/>
    <m/>
    <s v="NULL"/>
    <n v="24"/>
    <n v="25.18"/>
    <n v="0"/>
    <n v="0"/>
    <n v="5.5"/>
    <n v="5.5"/>
    <n v="15"/>
    <n v="15"/>
    <s v="Non performing"/>
    <s v="Non-Performing"/>
    <x v="4"/>
    <s v="NULL"/>
    <s v="NULL"/>
    <s v="Good"/>
    <s v="High"/>
    <s v="High"/>
    <x v="0"/>
    <s v="Medium"/>
  </r>
  <r>
    <n v="23884"/>
    <n v="50"/>
    <s v="Self employed"/>
    <x v="0"/>
    <n v="-1500"/>
    <n v="1500"/>
    <n v="15400.33"/>
    <n v="15400.33"/>
    <n v="60"/>
    <n v="23.38"/>
    <n v="1"/>
    <n v="1"/>
    <n v="7.3"/>
    <n v="7.3"/>
    <n v="0"/>
    <n v="0"/>
    <s v="Written Off"/>
    <s v="Written Off"/>
    <x v="2"/>
    <n v="0.17111477777777778"/>
    <s v="Healthy"/>
    <s v="Good"/>
    <s v="Medium"/>
    <s v="Medium"/>
    <x v="1"/>
    <s v="Low"/>
  </r>
  <r>
    <n v="20851"/>
    <n v="31"/>
    <s v="Salaried"/>
    <x v="2"/>
    <n v="2399.31"/>
    <n v="2399.31"/>
    <n v="22681.19"/>
    <n v="22681.19"/>
    <n v="60"/>
    <n v="11.5"/>
    <n v="3"/>
    <n v="3"/>
    <n v="5.7"/>
    <n v="5.7"/>
    <n v="0"/>
    <n v="0"/>
    <s v="Written Off"/>
    <s v="Written Off"/>
    <x v="0"/>
    <n v="0.15755356053754341"/>
    <s v="Healthy"/>
    <s v="Good"/>
    <s v="Medium"/>
    <s v="High"/>
    <x v="1"/>
    <s v="Medium"/>
  </r>
  <r>
    <n v="20576"/>
    <n v="48"/>
    <s v="Self-Employed"/>
    <x v="0"/>
    <n v="-32.92"/>
    <n v="32.92"/>
    <n v="19855.810000000001"/>
    <n v="19855.810000000001"/>
    <n v="6"/>
    <n v="16.29"/>
    <m/>
    <s v="NULL"/>
    <n v="6.6"/>
    <n v="6.6"/>
    <n v="90"/>
    <n v="90"/>
    <s v="Performing "/>
    <s v="Performing "/>
    <x v="2"/>
    <n v="100.52556703118671"/>
    <s v="High Stress"/>
    <s v="High Risk"/>
    <s v="Medium"/>
    <s v="Medium"/>
    <x v="0"/>
    <s v="Low"/>
  </r>
  <r>
    <n v="22449"/>
    <n v="44"/>
    <s v="Self employed"/>
    <x v="0"/>
    <n v="5622.02"/>
    <n v="5622.02"/>
    <n v="11024.24"/>
    <n v="11024.24"/>
    <n v="48"/>
    <n v="18.399999999999999"/>
    <n v="1"/>
    <n v="1"/>
    <n v="-0.7"/>
    <n v="0.7"/>
    <n v="0"/>
    <n v="0"/>
    <s v="Performing"/>
    <s v="Performing"/>
    <x v="0"/>
    <n v="4.0852161085635885E-2"/>
    <s v="Healthy"/>
    <s v="Good"/>
    <s v="Medium"/>
    <s v="Medium"/>
    <x v="1"/>
    <s v="Medium"/>
  </r>
  <r>
    <n v="23108"/>
    <n v="31"/>
    <s v="Unemployed"/>
    <x v="3"/>
    <n v="7506.49"/>
    <n v="7506.49"/>
    <n v="15460.64"/>
    <n v="15460.64"/>
    <n v="6"/>
    <n v="18.399999999999999"/>
    <m/>
    <s v="NULL"/>
    <n v="11"/>
    <n v="11"/>
    <m/>
    <s v="NULL"/>
    <s v="Non-Performing"/>
    <s v="Non-Performing"/>
    <x v="1"/>
    <n v="0.34327273243997303"/>
    <s v="Stretched"/>
    <s v="NULL"/>
    <s v="Medium"/>
    <s v="Low"/>
    <x v="0"/>
    <s v="Medium"/>
  </r>
  <r>
    <n v="20289"/>
    <n v="38"/>
    <s v="Self-Employed"/>
    <x v="0"/>
    <n v="5173.6499999999996"/>
    <n v="5173.6499999999996"/>
    <n v="17481.349999999999"/>
    <n v="17481.349999999999"/>
    <n v="60"/>
    <n v="20.07"/>
    <n v="2"/>
    <n v="2"/>
    <n v="3.7"/>
    <n v="3.7"/>
    <n v="15"/>
    <n v="15"/>
    <s v="Written Off"/>
    <s v="Written Off"/>
    <x v="3"/>
    <n v="5.6315335079360471E-2"/>
    <s v="Healthy"/>
    <s v="Good"/>
    <s v="Medium"/>
    <s v="Medium"/>
    <x v="1"/>
    <s v="Medium"/>
  </r>
  <r>
    <n v="22678"/>
    <n v="61"/>
    <s v="Contract"/>
    <x v="1"/>
    <n v="2801.02"/>
    <n v="2801.02"/>
    <n v="21071.66"/>
    <n v="21071.66"/>
    <n v="24"/>
    <n v="19.87"/>
    <n v="3"/>
    <n v="3"/>
    <n v="15.7"/>
    <n v="15.7"/>
    <n v="0"/>
    <n v="0"/>
    <s v="Performing "/>
    <s v="Performing "/>
    <x v="0"/>
    <n v="0.31345218289527865"/>
    <s v="Stretched"/>
    <s v="Good"/>
    <s v="Medium"/>
    <s v="Low"/>
    <x v="0"/>
    <s v="Medium"/>
  </r>
  <r>
    <n v="23040"/>
    <n v="42"/>
    <s v="Contract"/>
    <x v="1"/>
    <n v="3123.16"/>
    <n v="3123.16"/>
    <n v="25374.09"/>
    <n v="25374.09"/>
    <n v="6"/>
    <n v="15.02"/>
    <n v="0"/>
    <n v="0"/>
    <n v="8.9"/>
    <n v="8.9"/>
    <n v="0"/>
    <n v="0"/>
    <s v="Performing "/>
    <s v="Performing "/>
    <x v="0"/>
    <n v="1.354082083530783"/>
    <s v="High Stress"/>
    <s v="Good"/>
    <s v="Medium"/>
    <s v="Low"/>
    <x v="0"/>
    <s v="Medium"/>
  </r>
  <r>
    <n v="24258"/>
    <n v="59"/>
    <s v="Contract"/>
    <x v="1"/>
    <n v="3475.25"/>
    <n v="3475.25"/>
    <m/>
    <s v="NULL"/>
    <n v="36"/>
    <n v="26.74"/>
    <n v="3"/>
    <n v="3"/>
    <n v="13.4"/>
    <n v="13.4"/>
    <n v="90"/>
    <n v="90"/>
    <s v="Performing"/>
    <s v="Performing"/>
    <x v="2"/>
    <s v="NULL"/>
    <s v="NULL"/>
    <s v="High Risk"/>
    <s v="High"/>
    <s v="Low"/>
    <x v="0"/>
    <s v="Medium"/>
  </r>
  <r>
    <n v="24142"/>
    <n v="29"/>
    <s v="Self employed"/>
    <x v="0"/>
    <n v="-1500"/>
    <n v="1500"/>
    <n v="8278.07"/>
    <n v="8278.07"/>
    <n v="24"/>
    <n v="16.920000000000002"/>
    <n v="3"/>
    <n v="3"/>
    <n v="12"/>
    <n v="12"/>
    <n v="30"/>
    <n v="30"/>
    <s v="Written Off"/>
    <s v="Written Off"/>
    <x v="3"/>
    <n v="0.22994638888888888"/>
    <s v="Healthy"/>
    <s v="At Risk"/>
    <s v="Small"/>
    <s v="Medium"/>
    <x v="0"/>
    <s v="Low"/>
  </r>
  <r>
    <n v="21653"/>
    <n v="31"/>
    <s v="Salaried"/>
    <x v="2"/>
    <n v="7084.22"/>
    <n v="7084.22"/>
    <n v="15466.32"/>
    <n v="15466.32"/>
    <n v="36"/>
    <n v="18.72"/>
    <n v="2"/>
    <n v="2"/>
    <n v="2.4"/>
    <n v="2.4"/>
    <n v="60"/>
    <n v="60"/>
    <s v="Non-Performing"/>
    <s v="Non-Performing"/>
    <x v="1"/>
    <n v="6.0644644011620188E-2"/>
    <s v="Healthy"/>
    <s v="High Risk"/>
    <s v="Medium"/>
    <s v="High"/>
    <x v="0"/>
    <s v="Medium"/>
  </r>
  <r>
    <n v="24572"/>
    <n v="24"/>
    <s v="Contract"/>
    <x v="1"/>
    <n v="8724.23"/>
    <n v="8724.23"/>
    <n v="28931.82"/>
    <n v="28931.82"/>
    <n v="18"/>
    <n v="10.029999999999999"/>
    <n v="4"/>
    <n v="4"/>
    <n v="10.199999999999999"/>
    <n v="10.199999999999999"/>
    <m/>
    <s v="NULL"/>
    <s v="Written Off"/>
    <s v="Written Off"/>
    <x v="0"/>
    <n v="0.184236698635104"/>
    <s v="Healthy"/>
    <s v="NULL"/>
    <s v="Medium"/>
    <s v="Low"/>
    <x v="0"/>
    <s v="High"/>
  </r>
  <r>
    <n v="22094"/>
    <n v="51"/>
    <s v="Self-Employed"/>
    <x v="0"/>
    <n v="4314.8900000000003"/>
    <n v="4314.8900000000003"/>
    <n v="21583.439999999999"/>
    <n v="21583.439999999999"/>
    <n v="18"/>
    <n v="17.649999999999999"/>
    <n v="2"/>
    <n v="2"/>
    <n v="5.8"/>
    <n v="5.8"/>
    <m/>
    <s v="NULL"/>
    <s v="Non-Performing"/>
    <s v="Non-Performing"/>
    <x v="4"/>
    <n v="0.27789352683382423"/>
    <s v="Healthy"/>
    <s v="NULL"/>
    <s v="Medium"/>
    <s v="Medium"/>
    <x v="0"/>
    <s v="Medium"/>
  </r>
  <r>
    <n v="24970"/>
    <n v="23"/>
    <s v="Self-Employed"/>
    <x v="0"/>
    <n v="4368.71"/>
    <n v="4368.71"/>
    <n v="6090.29"/>
    <n v="6090.29"/>
    <n v="60"/>
    <n v="21.45"/>
    <n v="3"/>
    <n v="3"/>
    <n v="9.5"/>
    <n v="9.5"/>
    <n v="60"/>
    <n v="60"/>
    <s v="Performing "/>
    <s v="Performing "/>
    <x v="0"/>
    <n v="2.3234509347915822E-2"/>
    <s v="Healthy"/>
    <s v="High Risk"/>
    <s v="Small"/>
    <s v="Medium"/>
    <x v="0"/>
    <s v="Medium"/>
  </r>
  <r>
    <n v="22913"/>
    <n v="21"/>
    <s v="Unemployed"/>
    <x v="3"/>
    <n v="6197.98"/>
    <n v="6197.98"/>
    <n v="15244.35"/>
    <n v="15244.35"/>
    <n v="12"/>
    <n v="14.6"/>
    <m/>
    <s v="NULL"/>
    <n v="8.4"/>
    <n v="8.4"/>
    <n v="0"/>
    <n v="0"/>
    <s v="Non-Performing"/>
    <s v="Non-Performing"/>
    <x v="2"/>
    <n v="0.20496395599856729"/>
    <s v="Healthy"/>
    <s v="Good"/>
    <s v="Medium"/>
    <s v="Low"/>
    <x v="0"/>
    <s v="Medium"/>
  </r>
  <r>
    <n v="20291"/>
    <n v="58"/>
    <s v="Salaried"/>
    <x v="2"/>
    <n v="7089.61"/>
    <n v="7089.61"/>
    <n v="12304.17"/>
    <n v="12304.17"/>
    <n v="48"/>
    <n v="14.56"/>
    <n v="2"/>
    <n v="2"/>
    <n v="5.5"/>
    <n v="5.5"/>
    <n v="30"/>
    <n v="30"/>
    <s v="Non-Performing"/>
    <s v="Non-Performing"/>
    <x v="3"/>
    <n v="3.61566962075488E-2"/>
    <s v="Healthy"/>
    <s v="At Risk"/>
    <s v="Medium"/>
    <s v="High"/>
    <x v="0"/>
    <s v="Medium"/>
  </r>
  <r>
    <n v="22232"/>
    <n v="59"/>
    <s v="Self employed"/>
    <x v="0"/>
    <n v="4813.33"/>
    <n v="4813.33"/>
    <n v="28119.37"/>
    <n v="28119.37"/>
    <n v="24"/>
    <n v="23.52"/>
    <n v="1"/>
    <n v="1"/>
    <n v="13.1"/>
    <n v="13.1"/>
    <n v="60"/>
    <n v="60"/>
    <s v="Performing"/>
    <s v="Performing"/>
    <x v="3"/>
    <n v="0.24341576760094707"/>
    <s v="Healthy"/>
    <s v="High Risk"/>
    <s v="Medium"/>
    <s v="Medium"/>
    <x v="0"/>
    <s v="Medium"/>
  </r>
  <r>
    <n v="22279"/>
    <n v="57"/>
    <s v="Salaried"/>
    <x v="2"/>
    <n v="6727.54"/>
    <n v="6727.54"/>
    <n v="23245.79"/>
    <n v="23245.79"/>
    <n v="18"/>
    <n v="18.07"/>
    <n v="3"/>
    <n v="3"/>
    <n v="5.6"/>
    <n v="5.6"/>
    <n v="60"/>
    <n v="60"/>
    <s v="Performing "/>
    <s v="Performing "/>
    <x v="2"/>
    <n v="0.19196211063446339"/>
    <s v="Healthy"/>
    <s v="High Risk"/>
    <s v="Medium"/>
    <s v="High"/>
    <x v="0"/>
    <s v="Medium"/>
  </r>
  <r>
    <n v="20915"/>
    <n v="42"/>
    <s v="Salaried "/>
    <x v="2"/>
    <n v="6666.59"/>
    <n v="6666.59"/>
    <n v="23502.99"/>
    <n v="23502.99"/>
    <n v="18"/>
    <n v="10.99"/>
    <n v="0"/>
    <n v="0"/>
    <n v="5.5"/>
    <n v="5.5"/>
    <n v="90"/>
    <n v="90"/>
    <s v="Non-Performing"/>
    <s v="Non-Performing"/>
    <x v="0"/>
    <n v="0.19586050239577757"/>
    <s v="Healthy"/>
    <s v="High Risk"/>
    <s v="Medium"/>
    <s v="High"/>
    <x v="0"/>
    <s v="Medium"/>
  </r>
  <r>
    <n v="20266"/>
    <n v="54"/>
    <s v="Contract"/>
    <x v="1"/>
    <n v="5541.24"/>
    <n v="5541.24"/>
    <n v="19939.43"/>
    <n v="19939.43"/>
    <n v="36"/>
    <n v="55"/>
    <n v="2"/>
    <n v="2"/>
    <n v="1.8"/>
    <n v="1.8"/>
    <n v="15"/>
    <n v="15"/>
    <s v="Performing "/>
    <s v="Performing "/>
    <x v="1"/>
    <n v="9.9954713305244969E-2"/>
    <s v="Healthy"/>
    <s v="Good"/>
    <s v="Medium"/>
    <s v="Low"/>
    <x v="0"/>
    <s v="Medium"/>
  </r>
  <r>
    <n v="21994"/>
    <n v="44"/>
    <s v="Salaried "/>
    <x v="2"/>
    <n v="3315.98"/>
    <n v="3315.98"/>
    <n v="30730.62"/>
    <n v="30730.62"/>
    <n v="48"/>
    <n v="23.07"/>
    <n v="2"/>
    <n v="2"/>
    <n v="6.1"/>
    <n v="6.1"/>
    <n v="60"/>
    <n v="60"/>
    <s v="Performing "/>
    <s v="Performing "/>
    <x v="4"/>
    <n v="0.19307150525636463"/>
    <s v="Healthy"/>
    <s v="High Risk"/>
    <s v="High"/>
    <s v="High"/>
    <x v="0"/>
    <s v="Medium"/>
  </r>
  <r>
    <n v="20270"/>
    <n v="26"/>
    <s v="Self employed"/>
    <x v="0"/>
    <n v="3243.66"/>
    <n v="3243.66"/>
    <n v="27060.720000000001"/>
    <n v="27060.720000000001"/>
    <n v="18"/>
    <n v="15.34"/>
    <n v="0"/>
    <n v="0"/>
    <n v="9.1999999999999993"/>
    <n v="9.1999999999999993"/>
    <n v="90"/>
    <n v="90"/>
    <s v="Performing "/>
    <s v="Performing "/>
    <x v="4"/>
    <n v="0.46348055385994014"/>
    <s v="High Stress"/>
    <s v="High Risk"/>
    <s v="Medium"/>
    <s v="Medium"/>
    <x v="0"/>
    <s v="Medium"/>
  </r>
  <r>
    <n v="24012"/>
    <n v="40"/>
    <s v="Salaried"/>
    <x v="2"/>
    <n v="7138.98"/>
    <n v="7138.98"/>
    <n v="31249.08"/>
    <n v="31249.08"/>
    <n v="6"/>
    <n v="20.57"/>
    <n v="4"/>
    <n v="4"/>
    <n v="6.8"/>
    <n v="6.8"/>
    <n v="15"/>
    <n v="15"/>
    <s v="Non-Performing"/>
    <s v="Non-Performing"/>
    <x v="1"/>
    <n v="0.72954119496062475"/>
    <s v="High Stress"/>
    <s v="Good"/>
    <s v="High"/>
    <s v="High"/>
    <x v="0"/>
    <s v="Medium"/>
  </r>
  <r>
    <n v="22050"/>
    <n v="61"/>
    <s v="Self-Employed"/>
    <x v="0"/>
    <n v="3522.31"/>
    <n v="3522.31"/>
    <n v="11906.09"/>
    <n v="11906.09"/>
    <n v="18"/>
    <n v="20.04"/>
    <n v="1"/>
    <n v="1"/>
    <n v="9.6"/>
    <n v="9.6"/>
    <n v="120"/>
    <n v="120"/>
    <s v="Written Off"/>
    <s v="Written Off"/>
    <x v="2"/>
    <n v="0.18778853776199267"/>
    <s v="Healthy"/>
    <s v="High Risk"/>
    <s v="Medium"/>
    <s v="Medium"/>
    <x v="0"/>
    <s v="Medium"/>
  </r>
  <r>
    <n v="25408"/>
    <n v="23"/>
    <s v="Self-Employed"/>
    <x v="0"/>
    <n v="3759.95"/>
    <n v="3759.95"/>
    <n v="8178.99"/>
    <n v="8178.99"/>
    <n v="24"/>
    <n v="19.579999999999998"/>
    <m/>
    <s v="NULL"/>
    <n v="4.5"/>
    <n v="4.5"/>
    <m/>
    <s v="NULL"/>
    <s v="Non performing"/>
    <s v="Non-Performing"/>
    <x v="2"/>
    <n v="9.0637176026276953E-2"/>
    <s v="Healthy"/>
    <s v="NULL"/>
    <s v="Small"/>
    <s v="Medium"/>
    <x v="0"/>
    <s v="Medium"/>
  </r>
  <r>
    <n v="25007"/>
    <n v="47"/>
    <s v="Unemployed"/>
    <x v="3"/>
    <n v="5789.54"/>
    <n v="5789.54"/>
    <n v="16580.48"/>
    <n v="16580.48"/>
    <n v="12"/>
    <n v="15.27"/>
    <m/>
    <s v="NULL"/>
    <n v="3.6"/>
    <n v="3.6"/>
    <n v="0"/>
    <n v="0"/>
    <s v="Performing"/>
    <s v="Performing"/>
    <x v="1"/>
    <n v="0.23865569054996885"/>
    <s v="Healthy"/>
    <s v="Good"/>
    <s v="Medium"/>
    <s v="Low"/>
    <x v="0"/>
    <s v="Medium"/>
  </r>
  <r>
    <n v="24657"/>
    <n v="26"/>
    <s v="Salaried"/>
    <x v="2"/>
    <n v="9671.33"/>
    <n v="9671.33"/>
    <n v="18629.29"/>
    <n v="18629.29"/>
    <n v="6"/>
    <n v="19.3"/>
    <n v="2"/>
    <n v="2"/>
    <n v="4.2"/>
    <n v="4.2"/>
    <m/>
    <s v="NULL"/>
    <s v="Performing "/>
    <s v="Performing "/>
    <x v="2"/>
    <n v="0.32103978115385029"/>
    <s v="Stretched"/>
    <s v="NULL"/>
    <s v="Medium"/>
    <s v="High"/>
    <x v="0"/>
    <s v="High"/>
  </r>
  <r>
    <n v="23738"/>
    <n v="32"/>
    <s v="Self-Employed"/>
    <x v="0"/>
    <n v="6261.62"/>
    <n v="6261.62"/>
    <n v="14496.52"/>
    <n v="14496.52"/>
    <n v="18"/>
    <n v="22.73"/>
    <n v="3"/>
    <n v="3"/>
    <n v="8.9"/>
    <n v="8.9"/>
    <n v="90"/>
    <n v="90"/>
    <s v="Performing "/>
    <s v="Performing "/>
    <x v="3"/>
    <n v="0.12861882743159472"/>
    <s v="Healthy"/>
    <s v="High Risk"/>
    <s v="Medium"/>
    <s v="Medium"/>
    <x v="0"/>
    <s v="Medium"/>
  </r>
  <r>
    <n v="23570"/>
    <n v="59"/>
    <s v="Unemployed"/>
    <x v="3"/>
    <n v="7038.34"/>
    <n v="7038.34"/>
    <n v="22242.34"/>
    <n v="22242.34"/>
    <n v="24"/>
    <n v="20.91"/>
    <n v="3"/>
    <n v="3"/>
    <n v="12.3"/>
    <n v="12.3"/>
    <n v="90"/>
    <n v="90"/>
    <s v="Written Off"/>
    <s v="Written Off"/>
    <x v="1"/>
    <n v="0.13167368536709886"/>
    <s v="Healthy"/>
    <s v="High Risk"/>
    <s v="Medium"/>
    <s v="Low"/>
    <x v="0"/>
    <s v="Medium"/>
  </r>
  <r>
    <n v="21007"/>
    <n v="54"/>
    <s v="Contract"/>
    <x v="1"/>
    <n v="2205.62"/>
    <n v="2205.62"/>
    <n v="9662.2800000000007"/>
    <n v="9662.2800000000007"/>
    <n v="48"/>
    <n v="18.739999999999998"/>
    <n v="3"/>
    <n v="3"/>
    <n v="12.4"/>
    <n v="12.4"/>
    <n v="30"/>
    <n v="30"/>
    <s v="Written Off"/>
    <s v="Written Off"/>
    <x v="4"/>
    <n v="9.1265721203108427E-2"/>
    <s v="Healthy"/>
    <s v="At Risk"/>
    <s v="Small"/>
    <s v="Low"/>
    <x v="0"/>
    <s v="Medium"/>
  </r>
  <r>
    <n v="21186"/>
    <n v="120"/>
    <s v="Salaried "/>
    <x v="2"/>
    <n v="5992.96"/>
    <n v="5992.96"/>
    <n v="21467.82"/>
    <n v="21467.82"/>
    <n v="6"/>
    <n v="21.63"/>
    <n v="1"/>
    <n v="1"/>
    <n v="14.8"/>
    <n v="14.8"/>
    <n v="15"/>
    <n v="15"/>
    <s v="Written Off"/>
    <s v="Written Off"/>
    <x v="3"/>
    <n v="0.59702884718069194"/>
    <s v="High Stress"/>
    <s v="Good"/>
    <s v="Medium"/>
    <s v="High"/>
    <x v="3"/>
    <s v="Medium"/>
  </r>
  <r>
    <n v="23411"/>
    <n v="41"/>
    <s v="Contract"/>
    <x v="1"/>
    <n v="463.97"/>
    <n v="463.97"/>
    <n v="22829.01"/>
    <n v="22829.01"/>
    <n v="12"/>
    <n v="21.58"/>
    <n v="3"/>
    <n v="3"/>
    <n v="-3.9"/>
    <n v="3.9"/>
    <n v="0"/>
    <n v="0"/>
    <s v="Performing "/>
    <s v="Performing "/>
    <x v="1"/>
    <n v="4.1003028213031012"/>
    <s v="High Stress"/>
    <s v="Good"/>
    <s v="Medium"/>
    <s v="Low"/>
    <x v="0"/>
    <s v="Low"/>
  </r>
  <r>
    <n v="22625"/>
    <n v="24"/>
    <s v="Salaried "/>
    <x v="2"/>
    <n v="3285.13"/>
    <n v="3285.13"/>
    <n v="29528.66"/>
    <n v="29528.66"/>
    <n v="48"/>
    <n v="24.47"/>
    <n v="2"/>
    <n v="2"/>
    <n v="13.8"/>
    <n v="13.8"/>
    <n v="90"/>
    <n v="90"/>
    <s v="Performing "/>
    <s v="Performing "/>
    <x v="0"/>
    <n v="0.18726212255425712"/>
    <s v="Healthy"/>
    <s v="High Risk"/>
    <s v="Medium"/>
    <s v="High"/>
    <x v="0"/>
    <s v="Medium"/>
  </r>
  <r>
    <n v="25947"/>
    <n v="25"/>
    <s v="Self employed"/>
    <x v="0"/>
    <n v="2105.96"/>
    <n v="2105.96"/>
    <n v="21842.080000000002"/>
    <n v="21842.080000000002"/>
    <n v="36"/>
    <n v="27.95"/>
    <n v="2"/>
    <n v="2"/>
    <n v="5"/>
    <n v="5"/>
    <n v="120"/>
    <n v="120"/>
    <s v="Non-Performing"/>
    <s v="Non-Performing"/>
    <x v="2"/>
    <n v="0.28809875042472055"/>
    <s v="Healthy"/>
    <s v="High Risk"/>
    <s v="Medium"/>
    <s v="Medium"/>
    <x v="0"/>
    <s v="Medium"/>
  </r>
  <r>
    <n v="22047"/>
    <n v="27"/>
    <s v="Self employed"/>
    <x v="0"/>
    <n v="4571.7700000000004"/>
    <n v="4571.7700000000004"/>
    <n v="15403.42"/>
    <n v="15403.42"/>
    <n v="60"/>
    <n v="25.69"/>
    <n v="4"/>
    <n v="4"/>
    <n v="10.5"/>
    <n v="10.5"/>
    <n v="60"/>
    <n v="60"/>
    <s v="Non-Performing"/>
    <s v="Non-Performing"/>
    <x v="1"/>
    <n v="5.6154108073386604E-2"/>
    <s v="Healthy"/>
    <s v="High Risk"/>
    <s v="Medium"/>
    <s v="Medium"/>
    <x v="0"/>
    <s v="Medium"/>
  </r>
  <r>
    <n v="25557"/>
    <n v="44"/>
    <s v="Self-Employed"/>
    <x v="0"/>
    <n v="5766.57"/>
    <n v="5766.57"/>
    <n v="17223.11"/>
    <n v="17223.11"/>
    <n v="18"/>
    <n v="21.23"/>
    <n v="0"/>
    <n v="0"/>
    <n v="4.4000000000000004"/>
    <n v="4.4000000000000004"/>
    <n v="0"/>
    <n v="0"/>
    <s v="Non-Performing"/>
    <s v="Non-Performing"/>
    <x v="1"/>
    <n v="0.16592869668528162"/>
    <s v="Healthy"/>
    <s v="Good"/>
    <s v="Medium"/>
    <s v="Medium"/>
    <x v="1"/>
    <s v="Medium"/>
  </r>
  <r>
    <n v="23579"/>
    <n v="36"/>
    <s v="Unemployed"/>
    <x v="3"/>
    <n v="6382.13"/>
    <n v="6382.13"/>
    <n v="39732.9"/>
    <n v="39732.9"/>
    <n v="48"/>
    <n v="21.38"/>
    <n v="3"/>
    <n v="3"/>
    <n v="13.4"/>
    <n v="13.4"/>
    <n v="0"/>
    <n v="0"/>
    <s v="Performing"/>
    <s v="Performing"/>
    <x v="3"/>
    <n v="0.12970101674519321"/>
    <s v="Healthy"/>
    <s v="Good"/>
    <s v="High"/>
    <s v="Low"/>
    <x v="0"/>
    <s v="Medium"/>
  </r>
  <r>
    <n v="24253"/>
    <n v="50"/>
    <s v="Contract"/>
    <x v="1"/>
    <n v="1221.29"/>
    <n v="1221.29"/>
    <n v="34560.42"/>
    <n v="34560.42"/>
    <n v="36"/>
    <n v="24.33"/>
    <n v="2"/>
    <n v="2"/>
    <n v="7.1"/>
    <n v="7.1"/>
    <n v="30"/>
    <n v="30"/>
    <s v="Written Off"/>
    <s v="Written Off"/>
    <x v="3"/>
    <n v="0.78606364308777321"/>
    <s v="High Stress"/>
    <s v="At Risk"/>
    <s v="High"/>
    <s v="Low"/>
    <x v="0"/>
    <s v="Low"/>
  </r>
  <r>
    <n v="22661"/>
    <n v="57"/>
    <s v="Self employed"/>
    <x v="0"/>
    <n v="7782.48"/>
    <n v="7782.48"/>
    <m/>
    <s v="NULL"/>
    <n v="18"/>
    <n v="21.26"/>
    <n v="2"/>
    <n v="2"/>
    <n v="9.1"/>
    <n v="9.1"/>
    <n v="0"/>
    <n v="0"/>
    <s v="Written Off"/>
    <s v="Written Off"/>
    <x v="4"/>
    <s v="NULL"/>
    <s v="NULL"/>
    <s v="Good"/>
    <s v="High"/>
    <s v="Medium"/>
    <x v="0"/>
    <s v="Medium"/>
  </r>
  <r>
    <n v="25887"/>
    <n v="28"/>
    <s v="Contract"/>
    <x v="1"/>
    <n v="3868.69"/>
    <n v="3868.69"/>
    <n v="10365.92"/>
    <n v="10365.92"/>
    <n v="36"/>
    <n v="10.81"/>
    <n v="2"/>
    <n v="2"/>
    <n v="6"/>
    <n v="6"/>
    <n v="90"/>
    <n v="90"/>
    <s v="Performing"/>
    <s v="Performing"/>
    <x v="3"/>
    <n v="7.4428869261228534E-2"/>
    <s v="Healthy"/>
    <s v="High Risk"/>
    <s v="Medium"/>
    <s v="Low"/>
    <x v="0"/>
    <s v="Medium"/>
  </r>
  <r>
    <n v="23371"/>
    <n v="59"/>
    <s v="Self-Employed"/>
    <x v="0"/>
    <n v="4558.28"/>
    <n v="4558.28"/>
    <n v="19710.009999999998"/>
    <n v="19710.009999999998"/>
    <n v="36"/>
    <n v="18.66"/>
    <m/>
    <s v="NULL"/>
    <n v="6.4"/>
    <n v="6.4"/>
    <n v="30"/>
    <n v="30"/>
    <s v="Performing"/>
    <s v="Performing"/>
    <x v="2"/>
    <n v="0.12011115547482334"/>
    <s v="Healthy"/>
    <s v="At Risk"/>
    <s v="Medium"/>
    <s v="Medium"/>
    <x v="0"/>
    <s v="Medium"/>
  </r>
  <r>
    <n v="21373"/>
    <n v="75"/>
    <s v="Unemployed"/>
    <x v="3"/>
    <n v="2499.42"/>
    <n v="2499.42"/>
    <n v="30769.51"/>
    <n v="30769.51"/>
    <n v="36"/>
    <n v="15.47"/>
    <n v="0"/>
    <n v="0"/>
    <n v="-1"/>
    <n v="1"/>
    <n v="0"/>
    <n v="0"/>
    <s v="Performing"/>
    <s v="Performing"/>
    <x v="3"/>
    <n v="0.34196277980936024"/>
    <s v="Stretched"/>
    <s v="Good"/>
    <s v="High"/>
    <s v="Low"/>
    <x v="0"/>
    <s v="Medium"/>
  </r>
  <r>
    <n v="22192"/>
    <n v="64"/>
    <s v="Salaried "/>
    <x v="2"/>
    <n v="722.06"/>
    <n v="722.06"/>
    <n v="11348.98"/>
    <n v="11348.98"/>
    <n v="36"/>
    <n v="28.53"/>
    <n v="3"/>
    <n v="3"/>
    <n v="7.1"/>
    <n v="7.1"/>
    <n v="15"/>
    <n v="15"/>
    <s v="Non-Performing"/>
    <s v="Non-Performing"/>
    <x v="1"/>
    <n v="0.4365972972390722"/>
    <s v="Stretched"/>
    <s v="Good"/>
    <s v="Medium"/>
    <s v="High"/>
    <x v="0"/>
    <s v="Low"/>
  </r>
  <r>
    <n v="21665"/>
    <n v="27"/>
    <s v="Unemployed"/>
    <x v="3"/>
    <n v="6479.82"/>
    <n v="6479.82"/>
    <n v="15184.93"/>
    <n v="15184.93"/>
    <n v="36"/>
    <n v="23"/>
    <n v="1"/>
    <n v="1"/>
    <n v="8.5"/>
    <n v="8.5"/>
    <n v="15"/>
    <n v="15"/>
    <s v="Performing "/>
    <s v="Performing "/>
    <x v="2"/>
    <n v="6.5094958056105129E-2"/>
    <s v="Healthy"/>
    <s v="Good"/>
    <s v="Medium"/>
    <s v="Low"/>
    <x v="0"/>
    <s v="Medium"/>
  </r>
  <r>
    <n v="23283"/>
    <n v="32"/>
    <s v="Salaried"/>
    <x v="2"/>
    <n v="4397.07"/>
    <n v="4397.07"/>
    <n v="23132.75"/>
    <n v="23132.75"/>
    <n v="48"/>
    <n v="18.77"/>
    <n v="0"/>
    <n v="0"/>
    <n v="1.8"/>
    <n v="1.8"/>
    <m/>
    <s v="NULL"/>
    <s v="Performing "/>
    <s v="Performing "/>
    <x v="2"/>
    <n v="0.10960305195656805"/>
    <s v="Healthy"/>
    <s v="NULL"/>
    <s v="Medium"/>
    <s v="High"/>
    <x v="0"/>
    <s v="Medium"/>
  </r>
  <r>
    <n v="25352"/>
    <n v="26"/>
    <s v="Self employed"/>
    <x v="0"/>
    <n v="5414.53"/>
    <n v="5414.53"/>
    <n v="17416.810000000001"/>
    <n v="17416.810000000001"/>
    <n v="36"/>
    <n v="19.18"/>
    <n v="4"/>
    <n v="4"/>
    <n v="3.9"/>
    <n v="3.9"/>
    <n v="0"/>
    <n v="0"/>
    <s v="Non-Performing"/>
    <s v="Non-Performing"/>
    <x v="1"/>
    <n v="8.9352220373287772E-2"/>
    <s v="Healthy"/>
    <s v="Good"/>
    <s v="Medium"/>
    <s v="Medium"/>
    <x v="1"/>
    <s v="Medium"/>
  </r>
  <r>
    <n v="23761"/>
    <n v="45"/>
    <s v="Self employed"/>
    <x v="0"/>
    <n v="-387.79"/>
    <n v="387.79"/>
    <n v="12683.11"/>
    <n v="12683.11"/>
    <n v="12"/>
    <n v="14.86"/>
    <n v="2"/>
    <n v="2"/>
    <n v="11.5"/>
    <n v="11.5"/>
    <n v="0"/>
    <n v="0"/>
    <s v="Non performing"/>
    <s v="Non-Performing"/>
    <x v="2"/>
    <n v="2.725510800519181"/>
    <s v="High Stress"/>
    <s v="Good"/>
    <s v="Medium"/>
    <s v="Medium"/>
    <x v="0"/>
    <s v="Low"/>
  </r>
  <r>
    <n v="23521"/>
    <n v="50"/>
    <s v="Contract"/>
    <x v="1"/>
    <n v="3199.08"/>
    <n v="3199.08"/>
    <n v="15105.95"/>
    <n v="15105.95"/>
    <n v="18"/>
    <n v="28.57"/>
    <n v="0"/>
    <n v="0"/>
    <n v="11.7"/>
    <n v="11.7"/>
    <n v="15"/>
    <n v="15"/>
    <s v="Non-Performing"/>
    <s v="Non-Performing"/>
    <x v="1"/>
    <n v="0.26233149669418848"/>
    <s v="Healthy"/>
    <s v="Good"/>
    <s v="Medium"/>
    <s v="Low"/>
    <x v="0"/>
    <s v="Medium"/>
  </r>
  <r>
    <n v="22570"/>
    <n v="31"/>
    <s v="Self-Employed"/>
    <x v="0"/>
    <n v="4072.03"/>
    <n v="4072.03"/>
    <m/>
    <s v="NULL"/>
    <n v="18"/>
    <n v="27.82"/>
    <n v="0"/>
    <n v="0"/>
    <n v="1.3"/>
    <n v="1.3"/>
    <n v="0"/>
    <n v="0"/>
    <s v="Non performing"/>
    <s v="Non-Performing"/>
    <x v="1"/>
    <s v="NULL"/>
    <s v="NULL"/>
    <s v="Good"/>
    <s v="High"/>
    <s v="Medium"/>
    <x v="0"/>
    <s v="Medium"/>
  </r>
  <r>
    <n v="23887"/>
    <n v="50"/>
    <s v="Self-Employed"/>
    <x v="0"/>
    <n v="3795.56"/>
    <n v="3795.56"/>
    <n v="25439.599999999999"/>
    <n v="25439.599999999999"/>
    <n v="6"/>
    <n v="14.85"/>
    <n v="1"/>
    <n v="1"/>
    <n v="5.5"/>
    <n v="5.5"/>
    <n v="0"/>
    <n v="0"/>
    <s v="Non performing"/>
    <s v="Non-Performing"/>
    <x v="3"/>
    <n v="1.117077146279688"/>
    <s v="High Stress"/>
    <s v="Good"/>
    <s v="Medium"/>
    <s v="Medium"/>
    <x v="0"/>
    <s v="Medium"/>
  </r>
  <r>
    <n v="22489"/>
    <n v="63"/>
    <s v="Self-Employed"/>
    <x v="0"/>
    <n v="7051.35"/>
    <n v="7051.35"/>
    <n v="15774.12"/>
    <n v="15774.12"/>
    <n v="48"/>
    <n v="21.67"/>
    <n v="1"/>
    <n v="1"/>
    <n v="12.8"/>
    <n v="12.8"/>
    <n v="15"/>
    <n v="15"/>
    <s v="Written Off"/>
    <s v="Written Off"/>
    <x v="4"/>
    <n v="4.6604905443638447E-2"/>
    <s v="Healthy"/>
    <s v="Good"/>
    <s v="Medium"/>
    <s v="Medium"/>
    <x v="1"/>
    <s v="Medium"/>
  </r>
  <r>
    <n v="25091"/>
    <n v="57"/>
    <s v="Salaried"/>
    <x v="2"/>
    <n v="1076.75"/>
    <n v="1076.75"/>
    <n v="20362.72"/>
    <n v="20362.72"/>
    <n v="6"/>
    <n v="22.7"/>
    <n v="3"/>
    <n v="3"/>
    <n v="9.3000000000000007"/>
    <n v="9.3000000000000007"/>
    <n v="60"/>
    <n v="60"/>
    <s v="Non-Performing"/>
    <s v="Non-Performing"/>
    <x v="1"/>
    <n v="3.1518798854577823"/>
    <s v="High Stress"/>
    <s v="High Risk"/>
    <s v="Medium"/>
    <s v="High"/>
    <x v="0"/>
    <s v="Low"/>
  </r>
  <r>
    <n v="20177"/>
    <n v="46"/>
    <s v="Unemployed"/>
    <x v="3"/>
    <n v="640.36"/>
    <n v="640.36"/>
    <n v="12893.69"/>
    <n v="12893.69"/>
    <n v="6"/>
    <n v="17.600000000000001"/>
    <n v="4"/>
    <n v="4"/>
    <m/>
    <s v="NULL"/>
    <n v="0"/>
    <n v="0"/>
    <s v="Non-Performing"/>
    <s v="Non-Performing"/>
    <x v="3"/>
    <n v="3.3558441085222896"/>
    <s v="High Stress"/>
    <s v="Good"/>
    <s v="Medium"/>
    <s v="Low"/>
    <x v="0"/>
    <s v="Low"/>
  </r>
  <r>
    <n v="25548"/>
    <n v="31"/>
    <s v="Contract"/>
    <x v="1"/>
    <n v="3537.56"/>
    <n v="3537.56"/>
    <n v="15775.36"/>
    <n v="15775.36"/>
    <n v="12"/>
    <n v="23.41"/>
    <n v="2"/>
    <n v="2"/>
    <n v="11.4"/>
    <n v="11.4"/>
    <n v="120"/>
    <n v="120"/>
    <s v="Performing "/>
    <s v="Performing "/>
    <x v="0"/>
    <n v="0.37161584067360931"/>
    <s v="Stretched"/>
    <s v="High Risk"/>
    <s v="Medium"/>
    <s v="Low"/>
    <x v="0"/>
    <s v="Medium"/>
  </r>
  <r>
    <n v="25014"/>
    <n v="43"/>
    <s v="Contract"/>
    <x v="1"/>
    <n v="4455.34"/>
    <n v="4455.34"/>
    <n v="8971.4"/>
    <n v="8971.4"/>
    <n v="60"/>
    <n v="16.850000000000001"/>
    <m/>
    <s v="NULL"/>
    <n v="8.5"/>
    <n v="8.5"/>
    <n v="0"/>
    <n v="0"/>
    <s v="Non-Performing"/>
    <s v="Non-Performing"/>
    <x v="4"/>
    <n v="3.3560476491880153E-2"/>
    <s v="Healthy"/>
    <s v="Good"/>
    <s v="Small"/>
    <s v="Low"/>
    <x v="0"/>
    <s v="Medium"/>
  </r>
  <r>
    <n v="22026"/>
    <n v="37"/>
    <s v="Self employed"/>
    <x v="0"/>
    <n v="8214.8700000000008"/>
    <n v="8214.8700000000008"/>
    <n v="19321.830000000002"/>
    <n v="19321.830000000002"/>
    <n v="6"/>
    <n v="11.05"/>
    <n v="1"/>
    <n v="1"/>
    <n v="9.3000000000000007"/>
    <n v="9.3000000000000007"/>
    <n v="90"/>
    <n v="90"/>
    <s v="Performing "/>
    <s v="Performing "/>
    <x v="3"/>
    <n v="0.39200924664662984"/>
    <s v="Stretched"/>
    <s v="High Risk"/>
    <s v="Medium"/>
    <s v="Medium"/>
    <x v="0"/>
    <s v="High"/>
  </r>
  <r>
    <n v="20012"/>
    <n v="37"/>
    <s v="Salaried"/>
    <x v="2"/>
    <n v="3278"/>
    <n v="3278"/>
    <n v="32258.81"/>
    <n v="32258.81"/>
    <n v="36"/>
    <n v="24.74"/>
    <n v="0"/>
    <n v="0"/>
    <n v="2.2000000000000002"/>
    <n v="2.2000000000000002"/>
    <n v="0"/>
    <n v="0"/>
    <s v="Performing "/>
    <s v="Performing "/>
    <x v="1"/>
    <n v="0.27336121279913228"/>
    <s v="Healthy"/>
    <s v="Good"/>
    <s v="High"/>
    <s v="High"/>
    <x v="1"/>
    <s v="Medium"/>
  </r>
  <r>
    <n v="23947"/>
    <n v="55"/>
    <s v="Salaried"/>
    <x v="2"/>
    <n v="3170.14"/>
    <n v="3170.14"/>
    <n v="17790.12"/>
    <n v="17790.12"/>
    <n v="36"/>
    <n v="14.56"/>
    <n v="1"/>
    <n v="1"/>
    <n v="7.6"/>
    <n v="7.6"/>
    <n v="0"/>
    <n v="0"/>
    <s v="Performing"/>
    <s v="Performing"/>
    <x v="4"/>
    <n v="0.15588270549565633"/>
    <s v="Healthy"/>
    <s v="Good"/>
    <s v="Medium"/>
    <s v="High"/>
    <x v="1"/>
    <s v="Medium"/>
  </r>
  <r>
    <n v="23233"/>
    <n v="37"/>
    <s v="Self-Employed"/>
    <x v="0"/>
    <n v="6517.67"/>
    <n v="6517.67"/>
    <n v="16534.990000000002"/>
    <n v="16534.990000000002"/>
    <n v="24"/>
    <n v="21.39"/>
    <n v="0"/>
    <n v="0"/>
    <n v="9.4"/>
    <n v="9.4"/>
    <n v="60"/>
    <n v="60"/>
    <s v="Performing "/>
    <s v="Performing "/>
    <x v="1"/>
    <n v="0.10570616749032502"/>
    <s v="Healthy"/>
    <s v="High Risk"/>
    <s v="Medium"/>
    <s v="Medium"/>
    <x v="0"/>
    <s v="Medium"/>
  </r>
  <r>
    <n v="20809"/>
    <n v="33"/>
    <s v="Unemployed"/>
    <x v="3"/>
    <n v="4990.87"/>
    <n v="4990.87"/>
    <n v="41032.83"/>
    <n v="41032.83"/>
    <n v="36"/>
    <n v="23.96"/>
    <n v="4"/>
    <n v="4"/>
    <n v="5.7"/>
    <n v="5.7"/>
    <n v="0"/>
    <n v="0"/>
    <s v="Performing "/>
    <s v="Performing "/>
    <x v="0"/>
    <n v="0.22837718340356158"/>
    <s v="Healthy"/>
    <s v="Good"/>
    <s v="High"/>
    <s v="Low"/>
    <x v="0"/>
    <s v="Medium"/>
  </r>
  <r>
    <n v="21573"/>
    <n v="24"/>
    <s v="Salaried"/>
    <x v="2"/>
    <n v="5889.05"/>
    <n v="5889.05"/>
    <n v="23681.09"/>
    <n v="23681.09"/>
    <n v="60"/>
    <n v="12.76"/>
    <n v="1"/>
    <n v="1"/>
    <n v="11.2"/>
    <n v="11.2"/>
    <n v="0"/>
    <n v="0"/>
    <s v="Written Off"/>
    <s v="Written Off"/>
    <x v="0"/>
    <n v="6.7020119260888147E-2"/>
    <s v="Healthy"/>
    <s v="Good"/>
    <s v="Medium"/>
    <s v="High"/>
    <x v="1"/>
    <s v="Medium"/>
  </r>
  <r>
    <n v="24166"/>
    <n v="47"/>
    <s v="Unemployed"/>
    <x v="3"/>
    <n v="5199.9799999999996"/>
    <n v="5199.9799999999996"/>
    <n v="32277.18"/>
    <n v="32277.18"/>
    <n v="24"/>
    <n v="55"/>
    <n v="2"/>
    <n v="2"/>
    <n v="9.5"/>
    <n v="9.5"/>
    <n v="0"/>
    <n v="0"/>
    <s v="Performing"/>
    <s v="Performing"/>
    <x v="0"/>
    <n v="0.25863224473940288"/>
    <s v="Healthy"/>
    <s v="Good"/>
    <s v="High"/>
    <s v="Low"/>
    <x v="0"/>
    <s v="Medium"/>
  </r>
  <r>
    <n v="21949"/>
    <n v="49"/>
    <s v="Contract"/>
    <x v="1"/>
    <n v="7713.8"/>
    <n v="7713.8"/>
    <n v="-666.26"/>
    <n v="666.26"/>
    <n v="18"/>
    <n v="19.239999999999998"/>
    <n v="2"/>
    <n v="2"/>
    <n v="13.3"/>
    <n v="13.3"/>
    <n v="15"/>
    <n v="15"/>
    <s v="Performing"/>
    <s v="Performing"/>
    <x v="3"/>
    <n v="4.7984708502222572E-3"/>
    <s v="Healthy"/>
    <s v="Good"/>
    <s v="Small"/>
    <s v="Low"/>
    <x v="0"/>
    <s v="Medium"/>
  </r>
  <r>
    <n v="23902"/>
    <n v="58"/>
    <s v="Contract"/>
    <x v="1"/>
    <n v="6959.02"/>
    <n v="6959.02"/>
    <n v="20507.73"/>
    <n v="20507.73"/>
    <n v="24"/>
    <n v="12.44"/>
    <n v="0"/>
    <n v="0"/>
    <n v="7.7"/>
    <n v="7.7"/>
    <m/>
    <s v="NULL"/>
    <s v="Non-Performing"/>
    <s v="Non-Performing"/>
    <x v="1"/>
    <n v="0.12278866133449824"/>
    <s v="Healthy"/>
    <s v="NULL"/>
    <s v="Medium"/>
    <s v="Low"/>
    <x v="0"/>
    <s v="Medium"/>
  </r>
  <r>
    <n v="20367"/>
    <n v="46"/>
    <s v="Contract"/>
    <x v="1"/>
    <n v="4362.6000000000004"/>
    <n v="4362.6000000000004"/>
    <n v="24475.61"/>
    <n v="24475.61"/>
    <n v="60"/>
    <n v="23.48"/>
    <n v="3"/>
    <n v="3"/>
    <n v="1.8"/>
    <n v="1.8"/>
    <n v="90"/>
    <n v="90"/>
    <s v="Performing"/>
    <s v="Performing"/>
    <x v="3"/>
    <n v="9.3505440180931848E-2"/>
    <s v="Healthy"/>
    <s v="High Risk"/>
    <s v="Medium"/>
    <s v="Low"/>
    <x v="0"/>
    <s v="Medium"/>
  </r>
  <r>
    <n v="22485"/>
    <n v="56"/>
    <s v="Salaried "/>
    <x v="2"/>
    <n v="7633.15"/>
    <n v="7633.15"/>
    <n v="25374.73"/>
    <n v="25374.73"/>
    <n v="36"/>
    <n v="24.51"/>
    <m/>
    <s v="NULL"/>
    <n v="8.5"/>
    <n v="8.5"/>
    <n v="30"/>
    <n v="30"/>
    <s v="Performing "/>
    <s v="Performing "/>
    <x v="4"/>
    <n v="9.2341118818719814E-2"/>
    <s v="Healthy"/>
    <s v="At Risk"/>
    <s v="Medium"/>
    <s v="High"/>
    <x v="0"/>
    <s v="Medium"/>
  </r>
  <r>
    <n v="20648"/>
    <n v="43"/>
    <s v="Self-Employed"/>
    <x v="0"/>
    <n v="3856.63"/>
    <n v="3856.63"/>
    <n v="7142.71"/>
    <n v="7142.71"/>
    <n v="24"/>
    <n v="23.45"/>
    <n v="4"/>
    <n v="4"/>
    <n v="5.6"/>
    <n v="5.6"/>
    <n v="60"/>
    <n v="60"/>
    <s v="Written Off"/>
    <s v="Written Off"/>
    <x v="0"/>
    <n v="7.7169164961810352E-2"/>
    <s v="Healthy"/>
    <s v="High Risk"/>
    <s v="Small"/>
    <s v="Medium"/>
    <x v="0"/>
    <s v="Medium"/>
  </r>
  <r>
    <n v="21520"/>
    <n v="29"/>
    <s v="Salaried"/>
    <x v="2"/>
    <n v="6285.36"/>
    <n v="6285.36"/>
    <n v="15765.95"/>
    <n v="15765.95"/>
    <n v="36"/>
    <n v="18.53"/>
    <n v="0"/>
    <n v="0"/>
    <n v="3.3"/>
    <n v="3.3"/>
    <n v="30"/>
    <n v="30"/>
    <s v="Written Off"/>
    <s v="Written Off"/>
    <x v="1"/>
    <n v="6.9676686069780502E-2"/>
    <s v="Healthy"/>
    <s v="At Risk"/>
    <s v="Medium"/>
    <s v="High"/>
    <x v="0"/>
    <s v="Medium"/>
  </r>
  <r>
    <n v="25947"/>
    <n v="22"/>
    <s v="Self-Employed"/>
    <x v="0"/>
    <n v="4991.92"/>
    <n v="4991.92"/>
    <n v="20615.169999999998"/>
    <n v="20615.169999999998"/>
    <n v="48"/>
    <n v="23.07"/>
    <n v="0"/>
    <n v="0"/>
    <m/>
    <s v="NULL"/>
    <n v="120"/>
    <n v="120"/>
    <s v="Written Off"/>
    <s v="Written Off"/>
    <x v="4"/>
    <n v="8.603557515611894E-2"/>
    <s v="Healthy"/>
    <s v="High Risk"/>
    <s v="Medium"/>
    <s v="Medium"/>
    <x v="0"/>
    <s v="Medium"/>
  </r>
  <r>
    <n v="20560"/>
    <n v="52"/>
    <s v="Salaried"/>
    <x v="2"/>
    <n v="-69.17"/>
    <n v="69.17"/>
    <n v="9545.59"/>
    <n v="9545.59"/>
    <n v="60"/>
    <n v="20.32"/>
    <n v="4"/>
    <n v="4"/>
    <n v="6.8"/>
    <n v="6.8"/>
    <n v="0"/>
    <n v="0"/>
    <s v="Performing "/>
    <s v="Performing "/>
    <x v="1"/>
    <n v="2.3000313237916248"/>
    <s v="High Stress"/>
    <s v="Good"/>
    <s v="Small"/>
    <s v="High"/>
    <x v="0"/>
    <s v="Low"/>
  </r>
  <r>
    <n v="25759"/>
    <n v="62"/>
    <s v="Salaried "/>
    <x v="2"/>
    <n v="5503.63"/>
    <n v="5503.63"/>
    <n v="10984.54"/>
    <n v="10984.54"/>
    <n v="48"/>
    <n v="13.35"/>
    <n v="4"/>
    <n v="4"/>
    <n v="11.6"/>
    <n v="11.6"/>
    <n v="30"/>
    <n v="30"/>
    <s v="Written Off"/>
    <s v="Written Off"/>
    <x v="3"/>
    <n v="4.1580662823142794E-2"/>
    <s v="Healthy"/>
    <s v="At Risk"/>
    <s v="Medium"/>
    <s v="High"/>
    <x v="0"/>
    <s v="Medium"/>
  </r>
  <r>
    <n v="20959"/>
    <n v="120"/>
    <s v="Salaried "/>
    <x v="2"/>
    <n v="3941.27"/>
    <n v="3941.27"/>
    <n v="28455.759999999998"/>
    <n v="28455.759999999998"/>
    <n v="12"/>
    <n v="11.95"/>
    <n v="4"/>
    <n v="4"/>
    <n v="10.3"/>
    <n v="10.3"/>
    <n v="120"/>
    <n v="120"/>
    <s v="Written Off"/>
    <s v="Written Off"/>
    <x v="1"/>
    <n v="0.601662239159797"/>
    <s v="High Stress"/>
    <s v="High Risk"/>
    <s v="Medium"/>
    <s v="High"/>
    <x v="3"/>
    <s v="Medium"/>
  </r>
  <r>
    <n v="24558"/>
    <n v="51"/>
    <s v="Salaried "/>
    <x v="2"/>
    <n v="6335.14"/>
    <n v="6335.14"/>
    <n v="19550.64"/>
    <n v="19550.64"/>
    <n v="18"/>
    <n v="13.64"/>
    <n v="0"/>
    <n v="0"/>
    <n v="1.7"/>
    <n v="1.7"/>
    <n v="120"/>
    <n v="120"/>
    <s v="Non-Performing"/>
    <s v="Non-Performing"/>
    <x v="2"/>
    <n v="0.17144793432610275"/>
    <s v="Healthy"/>
    <s v="High Risk"/>
    <s v="Medium"/>
    <s v="High"/>
    <x v="0"/>
    <s v="Medium"/>
  </r>
  <r>
    <n v="25226"/>
    <n v="49"/>
    <s v="Self employed"/>
    <x v="0"/>
    <n v="6922.45"/>
    <n v="6922.45"/>
    <n v="21115.09"/>
    <n v="21115.09"/>
    <n v="6"/>
    <n v="22.93"/>
    <n v="1"/>
    <n v="1"/>
    <n v="6.5"/>
    <n v="6.5"/>
    <n v="60"/>
    <n v="60"/>
    <s v="Non-Performing"/>
    <s v="Non-Performing"/>
    <x v="1"/>
    <n v="0.5083722766746841"/>
    <s v="High Stress"/>
    <s v="High Risk"/>
    <s v="Medium"/>
    <s v="Medium"/>
    <x v="0"/>
    <s v="Medium"/>
  </r>
  <r>
    <n v="21102"/>
    <n v="25"/>
    <s v="Unemployed"/>
    <x v="3"/>
    <n v="3081.89"/>
    <n v="3081.89"/>
    <n v="38182.370000000003"/>
    <n v="38182.370000000003"/>
    <n v="12"/>
    <n v="17.690000000000001"/>
    <n v="3"/>
    <n v="3"/>
    <n v="9.6999999999999993"/>
    <n v="9.6999999999999993"/>
    <n v="60"/>
    <n v="60"/>
    <s v="Performing "/>
    <s v="Performing "/>
    <x v="2"/>
    <n v="1.0324392391249093"/>
    <s v="High Stress"/>
    <s v="High Risk"/>
    <s v="High"/>
    <s v="Low"/>
    <x v="2"/>
    <s v="Medium"/>
  </r>
  <r>
    <n v="23609"/>
    <n v="56"/>
    <s v="Self employed"/>
    <x v="0"/>
    <n v="-556.48"/>
    <n v="556.48"/>
    <n v="32606.11"/>
    <n v="32606.11"/>
    <n v="24"/>
    <n v="25.56"/>
    <n v="3"/>
    <n v="3"/>
    <n v="8.3000000000000007"/>
    <n v="8.3000000000000007"/>
    <n v="15"/>
    <n v="15"/>
    <s v="Non performing"/>
    <s v="Non-Performing"/>
    <x v="0"/>
    <n v="2.4413957674429749"/>
    <s v="High Stress"/>
    <s v="Good"/>
    <s v="High"/>
    <s v="Medium"/>
    <x v="0"/>
    <s v="Low"/>
  </r>
  <r>
    <n v="21092"/>
    <n v="48"/>
    <s v="Salaried "/>
    <x v="2"/>
    <n v="5605.05"/>
    <n v="5605.05"/>
    <n v="24991.02"/>
    <n v="24991.02"/>
    <n v="24"/>
    <n v="16.989999999999998"/>
    <n v="3"/>
    <n v="3"/>
    <n v="11.1"/>
    <n v="11.1"/>
    <n v="60"/>
    <n v="60"/>
    <s v="Performing"/>
    <s v="Performing"/>
    <x v="0"/>
    <n v="0.18577755773811117"/>
    <s v="Healthy"/>
    <s v="High Risk"/>
    <s v="Medium"/>
    <s v="High"/>
    <x v="0"/>
    <s v="Medium"/>
  </r>
  <r>
    <n v="25537"/>
    <n v="57"/>
    <s v="Salaried"/>
    <x v="2"/>
    <n v="4646.3500000000004"/>
    <n v="4646.3500000000004"/>
    <n v="24378.14"/>
    <n v="24378.14"/>
    <n v="24"/>
    <n v="11.49"/>
    <n v="3"/>
    <n v="3"/>
    <m/>
    <s v="NULL"/>
    <m/>
    <s v="NULL"/>
    <s v="Written Off"/>
    <s v="Written Off"/>
    <x v="0"/>
    <n v="0.2186137147079607"/>
    <s v="Healthy"/>
    <s v="NULL"/>
    <s v="Medium"/>
    <s v="High"/>
    <x v="0"/>
    <s v="Medium"/>
  </r>
  <r>
    <n v="24428"/>
    <n v="60"/>
    <s v="Salaried "/>
    <x v="2"/>
    <n v="3129.54"/>
    <n v="3129.54"/>
    <n v="26942.799999999999"/>
    <n v="26942.799999999999"/>
    <n v="48"/>
    <n v="25.67"/>
    <n v="0"/>
    <n v="0"/>
    <n v="6.6"/>
    <n v="6.6"/>
    <n v="60"/>
    <n v="60"/>
    <s v="Non-Performing"/>
    <s v="Non-Performing"/>
    <x v="3"/>
    <n v="0.17935809522592247"/>
    <s v="Healthy"/>
    <s v="High Risk"/>
    <s v="Medium"/>
    <s v="High"/>
    <x v="0"/>
    <s v="Medium"/>
  </r>
  <r>
    <n v="24327"/>
    <n v="47"/>
    <s v="Unemployed"/>
    <x v="3"/>
    <n v="5541.4"/>
    <n v="5541.4"/>
    <n v="-1037.04"/>
    <n v="1037.04"/>
    <n v="60"/>
    <n v="21.28"/>
    <n v="3"/>
    <n v="3"/>
    <n v="3"/>
    <n v="3"/>
    <m/>
    <s v="NULL"/>
    <s v="Non performing"/>
    <s v="Non-Performing"/>
    <x v="3"/>
    <n v="3.1190673836936512E-3"/>
    <s v="Healthy"/>
    <s v="NULL"/>
    <s v="Small"/>
    <s v="Low"/>
    <x v="0"/>
    <s v="Medium"/>
  </r>
  <r>
    <n v="24704"/>
    <n v="30"/>
    <s v="Self employed"/>
    <x v="0"/>
    <n v="1557.87"/>
    <n v="1557.87"/>
    <n v="25219.46"/>
    <n v="25219.46"/>
    <n v="18"/>
    <n v="24.09"/>
    <n v="2"/>
    <n v="2"/>
    <n v="8.3000000000000007"/>
    <n v="8.3000000000000007"/>
    <n v="90"/>
    <n v="90"/>
    <s v="Performing "/>
    <s v="Performing "/>
    <x v="1"/>
    <n v="0.89935688543402936"/>
    <s v="High Stress"/>
    <s v="High Risk"/>
    <s v="Medium"/>
    <s v="Medium"/>
    <x v="0"/>
    <s v="Low"/>
  </r>
  <r>
    <n v="20764"/>
    <n v="47"/>
    <s v="Unemployed"/>
    <x v="3"/>
    <n v="5461.9"/>
    <n v="5461.9"/>
    <n v="30450.42"/>
    <n v="30450.42"/>
    <n v="36"/>
    <n v="11.23"/>
    <n v="3"/>
    <n v="3"/>
    <n v="7.7"/>
    <n v="7.7"/>
    <n v="120"/>
    <n v="120"/>
    <s v="Written Off"/>
    <s v="Written Off"/>
    <x v="2"/>
    <n v="0.15486277668943041"/>
    <s v="Healthy"/>
    <s v="High Risk"/>
    <s v="High"/>
    <s v="Low"/>
    <x v="0"/>
    <s v="Medium"/>
  </r>
  <r>
    <n v="23646"/>
    <n v="50"/>
    <s v="Salaried "/>
    <x v="2"/>
    <n v="7730.94"/>
    <n v="7730.94"/>
    <n v="11983.61"/>
    <n v="11983.61"/>
    <n v="60"/>
    <n v="22.9"/>
    <n v="0"/>
    <n v="0"/>
    <n v="6.6"/>
    <n v="6.6"/>
    <m/>
    <s v="NULL"/>
    <s v="Performing"/>
    <s v="Performing"/>
    <x v="1"/>
    <n v="2.5834741096598002E-2"/>
    <s v="Healthy"/>
    <s v="NULL"/>
    <s v="Medium"/>
    <s v="High"/>
    <x v="0"/>
    <s v="Medium"/>
  </r>
  <r>
    <n v="23935"/>
    <n v="63"/>
    <s v="Self-Employed"/>
    <x v="0"/>
    <n v="112.72"/>
    <n v="112.72"/>
    <n v="17695.52"/>
    <n v="17695.52"/>
    <n v="48"/>
    <n v="23.3"/>
    <n v="3"/>
    <n v="3"/>
    <n v="10.6"/>
    <n v="10.6"/>
    <n v="0"/>
    <n v="0"/>
    <s v="Performing "/>
    <s v="Performing "/>
    <x v="3"/>
    <n v="3.2705524012301872"/>
    <s v="High Stress"/>
    <s v="Good"/>
    <s v="Medium"/>
    <s v="Medium"/>
    <x v="0"/>
    <s v="Low"/>
  </r>
  <r>
    <n v="23949"/>
    <n v="40"/>
    <s v="Self employed"/>
    <x v="0"/>
    <n v="-1389.32"/>
    <n v="1389.32"/>
    <n v="30314.01"/>
    <n v="30314.01"/>
    <n v="18"/>
    <n v="18.37"/>
    <n v="4"/>
    <n v="4"/>
    <n v="7"/>
    <n v="7"/>
    <n v="30"/>
    <n v="30"/>
    <s v="Non-Performing"/>
    <s v="Non-Performing"/>
    <x v="0"/>
    <n v="1.2121841380435512"/>
    <s v="High Stress"/>
    <s v="At Risk"/>
    <s v="High"/>
    <s v="Medium"/>
    <x v="0"/>
    <s v="Low"/>
  </r>
  <r>
    <n v="22476"/>
    <n v="25"/>
    <s v="Self employed"/>
    <x v="0"/>
    <n v="6937.88"/>
    <n v="6937.88"/>
    <n v="13692.67"/>
    <n v="13692.67"/>
    <n v="60"/>
    <n v="14.04"/>
    <n v="3"/>
    <n v="3"/>
    <n v="12.3"/>
    <n v="12.3"/>
    <n v="120"/>
    <n v="120"/>
    <s v="Performing"/>
    <s v="Performing"/>
    <x v="2"/>
    <n v="3.2893501569163298E-2"/>
    <s v="Healthy"/>
    <s v="High Risk"/>
    <s v="Medium"/>
    <s v="Medium"/>
    <x v="0"/>
    <s v="Medium"/>
  </r>
  <r>
    <n v="25709"/>
    <n v="58"/>
    <s v="Self-Employed"/>
    <x v="0"/>
    <n v="4383.3100000000004"/>
    <n v="4383.3100000000004"/>
    <n v="19049.810000000001"/>
    <n v="19049.810000000001"/>
    <n v="24"/>
    <n v="20.89"/>
    <m/>
    <s v="NULL"/>
    <n v="14.1"/>
    <n v="14.1"/>
    <n v="60"/>
    <n v="60"/>
    <s v="Non performing"/>
    <s v="Non-Performing"/>
    <x v="4"/>
    <n v="0.18108280804536603"/>
    <s v="Healthy"/>
    <s v="High Risk"/>
    <s v="Medium"/>
    <s v="Medium"/>
    <x v="0"/>
    <s v="Medium"/>
  </r>
  <r>
    <n v="23473"/>
    <n v="49"/>
    <s v="Salaried "/>
    <x v="2"/>
    <n v="6127.52"/>
    <n v="6127.52"/>
    <n v="28266.25"/>
    <n v="28266.25"/>
    <n v="60"/>
    <n v="18.16"/>
    <n v="3"/>
    <n v="3"/>
    <n v="10.199999999999999"/>
    <n v="10.199999999999999"/>
    <n v="0"/>
    <n v="0"/>
    <s v="Written Off"/>
    <s v="Written Off"/>
    <x v="2"/>
    <n v="7.6883333986125985E-2"/>
    <s v="Healthy"/>
    <s v="Good"/>
    <s v="Medium"/>
    <s v="High"/>
    <x v="1"/>
    <s v="Medium"/>
  </r>
  <r>
    <n v="21659"/>
    <n v="62"/>
    <s v="Self employed"/>
    <x v="0"/>
    <n v="3823.25"/>
    <n v="3823.25"/>
    <n v="25277.23"/>
    <n v="25277.23"/>
    <n v="48"/>
    <n v="17.16"/>
    <n v="0"/>
    <n v="0"/>
    <n v="11.7"/>
    <n v="11.7"/>
    <n v="0"/>
    <n v="0"/>
    <s v="Performing"/>
    <s v="Performing"/>
    <x v="3"/>
    <n v="0.1377385623051941"/>
    <s v="Healthy"/>
    <s v="Good"/>
    <s v="Medium"/>
    <s v="Medium"/>
    <x v="1"/>
    <s v="Medium"/>
  </r>
  <r>
    <n v="23483"/>
    <n v="36"/>
    <s v="Self employed"/>
    <x v="0"/>
    <n v="5894.1"/>
    <n v="5894.1"/>
    <n v="28514.84"/>
    <n v="28514.84"/>
    <n v="24"/>
    <n v="23.28"/>
    <n v="0"/>
    <n v="0"/>
    <n v="6.6"/>
    <n v="6.6"/>
    <n v="0"/>
    <n v="0"/>
    <s v="Performing"/>
    <s v="Performing"/>
    <x v="1"/>
    <n v="0.20157756626683176"/>
    <s v="Healthy"/>
    <s v="Good"/>
    <s v="Medium"/>
    <s v="Medium"/>
    <x v="1"/>
    <s v="Medium"/>
  </r>
  <r>
    <n v="23938"/>
    <n v="49"/>
    <s v="Self employed"/>
    <x v="0"/>
    <n v="1758.31"/>
    <n v="1758.31"/>
    <n v="11249"/>
    <n v="11249"/>
    <n v="18"/>
    <n v="21.08"/>
    <n v="4"/>
    <n v="4"/>
    <n v="7.1"/>
    <n v="7.1"/>
    <n v="90"/>
    <n v="90"/>
    <s v="Written Off"/>
    <s v="Written Off"/>
    <x v="4"/>
    <n v="0.35542335790869894"/>
    <s v="Stretched"/>
    <s v="High Risk"/>
    <s v="Medium"/>
    <s v="Medium"/>
    <x v="0"/>
    <s v="Low"/>
  </r>
  <r>
    <n v="20521"/>
    <n v="36"/>
    <s v="Salaried"/>
    <x v="2"/>
    <n v="2490.16"/>
    <n v="2490.16"/>
    <n v="11755.75"/>
    <n v="11755.75"/>
    <n v="60"/>
    <n v="21.94"/>
    <n v="4"/>
    <n v="4"/>
    <n v="5.9"/>
    <n v="5.9"/>
    <n v="30"/>
    <n v="30"/>
    <s v="Non-Performing"/>
    <s v="Non-Performing"/>
    <x v="2"/>
    <n v="7.8681356485794773E-2"/>
    <s v="Healthy"/>
    <s v="At Risk"/>
    <s v="Medium"/>
    <s v="High"/>
    <x v="0"/>
    <s v="Medium"/>
  </r>
  <r>
    <n v="21717"/>
    <n v="120"/>
    <s v="Contract"/>
    <x v="1"/>
    <n v="2155.44"/>
    <n v="2155.44"/>
    <n v="17684.3"/>
    <n v="17684.3"/>
    <n v="36"/>
    <n v="18.07"/>
    <m/>
    <s v="NULL"/>
    <n v="-1.2"/>
    <n v="1.2"/>
    <n v="60"/>
    <n v="60"/>
    <s v="Performing"/>
    <s v="Performing"/>
    <x v="3"/>
    <n v="0.22790268138085754"/>
    <s v="Healthy"/>
    <s v="High Risk"/>
    <s v="Medium"/>
    <s v="Low"/>
    <x v="3"/>
    <s v="Medium"/>
  </r>
  <r>
    <n v="21631"/>
    <n v="45"/>
    <s v="Salaried "/>
    <x v="2"/>
    <n v="4845.33"/>
    <n v="4845.33"/>
    <n v="22174.76"/>
    <n v="22174.76"/>
    <n v="36"/>
    <n v="17.54"/>
    <m/>
    <s v="NULL"/>
    <n v="-0.9"/>
    <n v="0.9"/>
    <n v="90"/>
    <n v="90"/>
    <s v="Performing"/>
    <s v="Performing"/>
    <x v="4"/>
    <n v="0.12712561488186677"/>
    <s v="Healthy"/>
    <s v="High Risk"/>
    <s v="Medium"/>
    <s v="High"/>
    <x v="0"/>
    <s v="Medium"/>
  </r>
  <r>
    <n v="21744"/>
    <n v="50"/>
    <s v="Self-Employed"/>
    <x v="0"/>
    <n v="3385.02"/>
    <n v="3385.02"/>
    <n v="5290.47"/>
    <n v="5290.47"/>
    <n v="6"/>
    <n v="16.829999999999998"/>
    <n v="2"/>
    <n v="2"/>
    <n v="1.4"/>
    <n v="1.4"/>
    <n v="15"/>
    <n v="15"/>
    <s v="Non performing"/>
    <s v="Non-Performing"/>
    <x v="2"/>
    <n v="0.26048442845241687"/>
    <s v="Healthy"/>
    <s v="Good"/>
    <s v="Small"/>
    <s v="Medium"/>
    <x v="1"/>
    <s v="Medium"/>
  </r>
  <r>
    <n v="22455"/>
    <n v="22"/>
    <s v="Contract"/>
    <x v="1"/>
    <n v="3306.22"/>
    <n v="3306.22"/>
    <n v="23546.04"/>
    <n v="23546.04"/>
    <n v="48"/>
    <n v="30.72"/>
    <m/>
    <s v="NULL"/>
    <n v="3.9"/>
    <n v="3.9"/>
    <n v="15"/>
    <n v="15"/>
    <s v="Performing "/>
    <s v="Performing "/>
    <x v="1"/>
    <n v="0.14836958823066826"/>
    <s v="Healthy"/>
    <s v="Good"/>
    <s v="Medium"/>
    <s v="Low"/>
    <x v="0"/>
    <s v="Medium"/>
  </r>
  <r>
    <n v="24281"/>
    <n v="40"/>
    <s v="Self-Employed"/>
    <x v="0"/>
    <n v="2856.73"/>
    <n v="2856.73"/>
    <n v="25316.79"/>
    <n v="25316.79"/>
    <n v="36"/>
    <n v="16.18"/>
    <n v="4"/>
    <n v="4"/>
    <n v="7.8"/>
    <n v="7.8"/>
    <n v="0"/>
    <n v="0"/>
    <s v="Non performing"/>
    <s v="Non-Performing"/>
    <x v="3"/>
    <n v="0.24617103004717517"/>
    <s v="Healthy"/>
    <s v="Good"/>
    <s v="Medium"/>
    <s v="Medium"/>
    <x v="1"/>
    <s v="Medium"/>
  </r>
  <r>
    <n v="21571"/>
    <n v="62"/>
    <s v="Self-Employed"/>
    <x v="0"/>
    <n v="10900.96"/>
    <n v="10900.96"/>
    <n v="13827.9"/>
    <n v="13827.9"/>
    <n v="24"/>
    <n v="55"/>
    <n v="4"/>
    <n v="4"/>
    <n v="9.6999999999999993"/>
    <n v="9.6999999999999993"/>
    <n v="15"/>
    <n v="15"/>
    <s v="Non performing"/>
    <s v="Non-Performing"/>
    <x v="1"/>
    <n v="5.2854289897403532E-2"/>
    <s v="Healthy"/>
    <s v="Good"/>
    <s v="Medium"/>
    <s v="Medium"/>
    <x v="1"/>
    <s v="High"/>
  </r>
  <r>
    <n v="21805"/>
    <n v="120"/>
    <s v="Salaried "/>
    <x v="2"/>
    <n v="5914.15"/>
    <n v="5914.15"/>
    <n v="23421.58"/>
    <n v="23421.58"/>
    <n v="48"/>
    <n v="18.22"/>
    <m/>
    <s v="NULL"/>
    <n v="7.1"/>
    <n v="7.1"/>
    <n v="90"/>
    <n v="90"/>
    <s v="Performing"/>
    <s v="Performing"/>
    <x v="2"/>
    <n v="8.2505445978430278E-2"/>
    <s v="Healthy"/>
    <s v="High Risk"/>
    <s v="Medium"/>
    <s v="High"/>
    <x v="3"/>
    <s v="Medium"/>
  </r>
  <r>
    <n v="20261"/>
    <n v="53"/>
    <s v="Salaried"/>
    <x v="2"/>
    <n v="6595.43"/>
    <n v="6595.43"/>
    <n v="26358.2"/>
    <n v="26358.2"/>
    <n v="12"/>
    <n v="23.14"/>
    <n v="1"/>
    <n v="1"/>
    <n v="4.3"/>
    <n v="4.3"/>
    <n v="0"/>
    <n v="0"/>
    <s v="Performing"/>
    <s v="Performing"/>
    <x v="4"/>
    <n v="0.33303615786486501"/>
    <s v="Stretched"/>
    <s v="Good"/>
    <s v="Medium"/>
    <s v="High"/>
    <x v="0"/>
    <s v="Medium"/>
  </r>
  <r>
    <n v="24141"/>
    <n v="39"/>
    <s v="Self employed"/>
    <x v="0"/>
    <n v="6758.83"/>
    <n v="6758.83"/>
    <n v="26542.78"/>
    <n v="26542.78"/>
    <n v="24"/>
    <n v="12.24"/>
    <n v="0"/>
    <n v="0"/>
    <m/>
    <s v="NULL"/>
    <n v="90"/>
    <n v="90"/>
    <s v="Written Off"/>
    <s v="Written Off"/>
    <x v="1"/>
    <n v="0.16363026835512459"/>
    <s v="Healthy"/>
    <s v="High Risk"/>
    <s v="Medium"/>
    <s v="Medium"/>
    <x v="0"/>
    <s v="Medium"/>
  </r>
  <r>
    <n v="25432"/>
    <n v="24"/>
    <s v="Self-Employed"/>
    <x v="0"/>
    <n v="3915.76"/>
    <n v="3915.76"/>
    <n v="24630.92"/>
    <n v="24630.92"/>
    <n v="6"/>
    <n v="19.45"/>
    <n v="1"/>
    <n v="1"/>
    <n v="8.8000000000000007"/>
    <n v="8.8000000000000007"/>
    <m/>
    <s v="NULL"/>
    <s v="Performing"/>
    <s v="Performing"/>
    <x v="4"/>
    <n v="1.0483669411131766"/>
    <s v="High Stress"/>
    <s v="NULL"/>
    <s v="Medium"/>
    <s v="Medium"/>
    <x v="0"/>
    <s v="Medium"/>
  </r>
  <r>
    <n v="21301"/>
    <n v="53"/>
    <s v="Salaried"/>
    <x v="2"/>
    <n v="1744.85"/>
    <n v="1744.85"/>
    <n v="27308.22"/>
    <n v="27308.22"/>
    <n v="36"/>
    <n v="9.44"/>
    <n v="0"/>
    <n v="0"/>
    <n v="6.6"/>
    <n v="6.6"/>
    <n v="120"/>
    <n v="120"/>
    <s v="Performing"/>
    <s v="Performing"/>
    <x v="1"/>
    <n v="0.43474319664536593"/>
    <s v="Stretched"/>
    <s v="High Risk"/>
    <s v="Medium"/>
    <s v="High"/>
    <x v="0"/>
    <s v="Low"/>
  </r>
  <r>
    <n v="20812"/>
    <n v="45"/>
    <s v="Contract"/>
    <x v="1"/>
    <n v="6849.95"/>
    <n v="6849.95"/>
    <n v="14772.87"/>
    <n v="14772.87"/>
    <n v="6"/>
    <n v="27.85"/>
    <n v="1"/>
    <n v="1"/>
    <n v="1.6"/>
    <n v="1.6"/>
    <m/>
    <s v="NULL"/>
    <s v="Written Off"/>
    <s v="Written Off"/>
    <x v="3"/>
    <n v="0.35943984992591194"/>
    <s v="Stretched"/>
    <s v="NULL"/>
    <s v="Medium"/>
    <s v="Low"/>
    <x v="0"/>
    <s v="Medium"/>
  </r>
  <r>
    <n v="22233"/>
    <n v="56"/>
    <s v="Unemployed"/>
    <x v="3"/>
    <n v="2048.5"/>
    <n v="2048.5"/>
    <n v="2990.69"/>
    <n v="2990.69"/>
    <n v="36"/>
    <n v="19.07"/>
    <n v="2"/>
    <n v="2"/>
    <n v="5.0999999999999996"/>
    <n v="5.0999999999999996"/>
    <n v="15"/>
    <n v="15"/>
    <s v="Non-Performing"/>
    <s v="Non-Performing"/>
    <x v="3"/>
    <n v="4.0553928348656197E-2"/>
    <s v="Healthy"/>
    <s v="Good"/>
    <s v="Small"/>
    <s v="Low"/>
    <x v="0"/>
    <s v="Medium"/>
  </r>
  <r>
    <n v="22710"/>
    <n v="21"/>
    <s v="Contract"/>
    <x v="1"/>
    <n v="8689.41"/>
    <n v="8689.41"/>
    <n v="6280.87"/>
    <n v="6280.87"/>
    <n v="12"/>
    <n v="19.809999999999999"/>
    <n v="3"/>
    <n v="3"/>
    <n v="13.7"/>
    <n v="13.7"/>
    <n v="90"/>
    <n v="90"/>
    <s v="Performing "/>
    <s v="Performing "/>
    <x v="4"/>
    <n v="6.0234910463809778E-2"/>
    <s v="Healthy"/>
    <s v="High Risk"/>
    <s v="Small"/>
    <s v="Low"/>
    <x v="0"/>
    <s v="High"/>
  </r>
  <r>
    <n v="21971"/>
    <n v="36"/>
    <s v="Self-Employed"/>
    <x v="0"/>
    <n v="3395.5"/>
    <n v="3395.5"/>
    <n v="13513.13"/>
    <n v="13513.13"/>
    <n v="48"/>
    <n v="17.71"/>
    <m/>
    <s v="NULL"/>
    <n v="7.9"/>
    <n v="7.9"/>
    <n v="30"/>
    <n v="30"/>
    <s v="Non-Performing"/>
    <s v="Non-Performing"/>
    <x v="4"/>
    <n v="8.2910776517940404E-2"/>
    <s v="Healthy"/>
    <s v="At Risk"/>
    <s v="Medium"/>
    <s v="Medium"/>
    <x v="0"/>
    <s v="Medium"/>
  </r>
  <r>
    <n v="20019"/>
    <n v="45"/>
    <s v="Self employed"/>
    <x v="0"/>
    <n v="3144.95"/>
    <n v="3144.95"/>
    <n v="34008.6"/>
    <n v="34008.6"/>
    <n v="48"/>
    <n v="17.989999999999998"/>
    <n v="1"/>
    <n v="1"/>
    <n v="12.6"/>
    <n v="12.6"/>
    <n v="0"/>
    <n v="0"/>
    <s v="Performing "/>
    <s v="Performing "/>
    <x v="1"/>
    <n v="0.22528577560851526"/>
    <s v="Healthy"/>
    <s v="Good"/>
    <s v="High"/>
    <s v="Medium"/>
    <x v="1"/>
    <s v="Medium"/>
  </r>
  <r>
    <n v="23014"/>
    <n v="55"/>
    <s v="Self-Employed"/>
    <x v="0"/>
    <n v="-1500"/>
    <n v="1500"/>
    <n v="14931.82"/>
    <n v="14931.82"/>
    <n v="60"/>
    <n v="14.6"/>
    <n v="0"/>
    <n v="0"/>
    <n v="5.2"/>
    <n v="5.2"/>
    <n v="60"/>
    <n v="60"/>
    <s v="Performing"/>
    <s v="Performing"/>
    <x v="1"/>
    <n v="0.16590911111111112"/>
    <s v="Healthy"/>
    <s v="High Risk"/>
    <s v="Medium"/>
    <s v="Medium"/>
    <x v="0"/>
    <s v="Low"/>
  </r>
  <r>
    <n v="23944"/>
    <n v="31"/>
    <s v="Self employed"/>
    <x v="0"/>
    <n v="5189.29"/>
    <n v="5189.29"/>
    <n v="20736.77"/>
    <n v="20736.77"/>
    <n v="18"/>
    <n v="12.15"/>
    <n v="0"/>
    <n v="0"/>
    <n v="4.7"/>
    <n v="4.7"/>
    <n v="15"/>
    <n v="15"/>
    <s v="Non performing"/>
    <s v="Non-Performing"/>
    <x v="3"/>
    <n v="0.22200393074539634"/>
    <s v="Healthy"/>
    <s v="Good"/>
    <s v="Medium"/>
    <s v="Medium"/>
    <x v="1"/>
    <s v="Medium"/>
  </r>
  <r>
    <n v="24344"/>
    <n v="44"/>
    <s v="Salaried"/>
    <x v="2"/>
    <n v="7784.81"/>
    <n v="7784.81"/>
    <n v="33245.089999999997"/>
    <n v="33245.089999999997"/>
    <n v="24"/>
    <n v="18.239999999999998"/>
    <n v="4"/>
    <n v="4"/>
    <n v="10.8"/>
    <n v="10.8"/>
    <n v="0"/>
    <n v="0"/>
    <s v="Non performing"/>
    <s v="Non-Performing"/>
    <x v="4"/>
    <n v="0.1779378152239211"/>
    <s v="Healthy"/>
    <s v="Good"/>
    <s v="High"/>
    <s v="High"/>
    <x v="1"/>
    <s v="Medium"/>
  </r>
  <r>
    <n v="20006"/>
    <n v="55"/>
    <s v="Self employed"/>
    <x v="0"/>
    <n v="5746.08"/>
    <n v="5746.08"/>
    <n v="14964.74"/>
    <n v="14964.74"/>
    <n v="12"/>
    <n v="25.25"/>
    <n v="0"/>
    <n v="0"/>
    <n v="7.8"/>
    <n v="7.8"/>
    <n v="15"/>
    <n v="15"/>
    <s v="Non performing"/>
    <s v="Non-Performing"/>
    <x v="0"/>
    <n v="0.2170282465031233"/>
    <s v="Healthy"/>
    <s v="Good"/>
    <s v="Medium"/>
    <s v="Medium"/>
    <x v="1"/>
    <s v="Medium"/>
  </r>
  <r>
    <n v="21670"/>
    <n v="41"/>
    <s v="Salaried "/>
    <x v="2"/>
    <n v="5091.3900000000003"/>
    <n v="5091.3900000000003"/>
    <n v="25948.65"/>
    <n v="25948.65"/>
    <n v="60"/>
    <n v="15.09"/>
    <m/>
    <s v="NULL"/>
    <n v="7.6"/>
    <n v="7.6"/>
    <n v="0"/>
    <n v="0"/>
    <s v="Performing "/>
    <s v="Performing "/>
    <x v="4"/>
    <n v="8.4942913428356498E-2"/>
    <s v="Healthy"/>
    <s v="Good"/>
    <s v="Medium"/>
    <s v="High"/>
    <x v="1"/>
    <s v="Medium"/>
  </r>
  <r>
    <n v="21863"/>
    <n v="24"/>
    <s v="Contract"/>
    <x v="1"/>
    <n v="4513.38"/>
    <n v="4513.38"/>
    <n v="17224.669999999998"/>
    <n v="17224.669999999998"/>
    <n v="6"/>
    <n v="13.91"/>
    <n v="1"/>
    <n v="1"/>
    <n v="6.3"/>
    <n v="6.3"/>
    <n v="15"/>
    <n v="15"/>
    <s v="Performing "/>
    <s v="Performing "/>
    <x v="1"/>
    <n v="0.63605952375677055"/>
    <s v="High Stress"/>
    <s v="Good"/>
    <s v="Medium"/>
    <s v="Low"/>
    <x v="0"/>
    <s v="Medium"/>
  </r>
  <r>
    <n v="23552"/>
    <n v="18"/>
    <s v="Salaried"/>
    <x v="2"/>
    <n v="2395.2800000000002"/>
    <n v="2395.2800000000002"/>
    <n v="21942.16"/>
    <n v="21942.16"/>
    <n v="18"/>
    <n v="19.27"/>
    <n v="2"/>
    <n v="2"/>
    <n v="7.8"/>
    <n v="7.8"/>
    <n v="15"/>
    <n v="15"/>
    <s v="Performing "/>
    <s v="Performing "/>
    <x v="0"/>
    <n v="0.50892124882639556"/>
    <s v="High Stress"/>
    <s v="Good"/>
    <s v="Medium"/>
    <s v="High"/>
    <x v="0"/>
    <s v="Medium"/>
  </r>
  <r>
    <n v="23230"/>
    <n v="34"/>
    <s v="Contract"/>
    <x v="1"/>
    <n v="5076.5"/>
    <n v="5076.5"/>
    <n v="13102.2"/>
    <n v="13102.2"/>
    <n v="6"/>
    <n v="17.829999999999998"/>
    <n v="0"/>
    <n v="0"/>
    <n v="0.3"/>
    <n v="0.3"/>
    <n v="0"/>
    <n v="0"/>
    <s v="Performing "/>
    <s v="Performing "/>
    <x v="2"/>
    <n v="0.43015857382054568"/>
    <s v="Stretched"/>
    <s v="Good"/>
    <s v="Medium"/>
    <s v="Low"/>
    <x v="0"/>
    <s v="Medium"/>
  </r>
  <r>
    <n v="25521"/>
    <n v="47"/>
    <s v="Self-Employed"/>
    <x v="0"/>
    <n v="6174.7"/>
    <n v="6174.7"/>
    <n v="29350.67"/>
    <n v="29350.67"/>
    <n v="60"/>
    <n v="25.39"/>
    <n v="4"/>
    <n v="4"/>
    <n v="13.6"/>
    <n v="13.6"/>
    <n v="0"/>
    <n v="0"/>
    <s v="Performing "/>
    <s v="Performing "/>
    <x v="0"/>
    <n v="7.9222931208533742E-2"/>
    <s v="Healthy"/>
    <s v="Good"/>
    <s v="Medium"/>
    <s v="Medium"/>
    <x v="1"/>
    <s v="Medium"/>
  </r>
  <r>
    <n v="20939"/>
    <n v="53"/>
    <s v="Self-Employed"/>
    <x v="0"/>
    <n v="5339.65"/>
    <n v="5339.65"/>
    <n v="21102"/>
    <n v="21102"/>
    <n v="60"/>
    <n v="19.78"/>
    <n v="2"/>
    <n v="2"/>
    <n v="8.6"/>
    <n v="8.6"/>
    <n v="90"/>
    <n v="90"/>
    <s v="Non performing"/>
    <s v="Non-Performing"/>
    <x v="0"/>
    <n v="6.5865740263874969E-2"/>
    <s v="Healthy"/>
    <s v="High Risk"/>
    <s v="Medium"/>
    <s v="Medium"/>
    <x v="0"/>
    <s v="Medium"/>
  </r>
  <r>
    <n v="21271"/>
    <n v="36"/>
    <s v="Unemployed"/>
    <x v="3"/>
    <n v="8516.0400000000009"/>
    <n v="8516.0400000000009"/>
    <n v="20865.77"/>
    <n v="20865.77"/>
    <n v="6"/>
    <n v="16.260000000000002"/>
    <n v="3"/>
    <n v="3"/>
    <n v="8.4"/>
    <n v="8.4"/>
    <n v="15"/>
    <n v="15"/>
    <s v="Performing"/>
    <s v="Performing"/>
    <x v="4"/>
    <n v="0.40836214171531993"/>
    <s v="Stretched"/>
    <s v="Good"/>
    <s v="Medium"/>
    <s v="Low"/>
    <x v="0"/>
    <s v="High"/>
  </r>
  <r>
    <n v="20943"/>
    <n v="64"/>
    <s v="Salaried"/>
    <x v="2"/>
    <n v="9083.83"/>
    <n v="9083.83"/>
    <n v="38804.79"/>
    <n v="38804.79"/>
    <n v="36"/>
    <n v="19.559999999999999"/>
    <m/>
    <s v="NULL"/>
    <n v="9.6999999999999993"/>
    <n v="9.6999999999999993"/>
    <n v="15"/>
    <n v="15"/>
    <s v="Non performing"/>
    <s v="Non-Performing"/>
    <x v="3"/>
    <n v="0.11866259422879263"/>
    <s v="Healthy"/>
    <s v="Good"/>
    <s v="High"/>
    <s v="High"/>
    <x v="1"/>
    <s v="High"/>
  </r>
  <r>
    <n v="23141"/>
    <n v="22"/>
    <s v="Self employed"/>
    <x v="0"/>
    <n v="10684.21"/>
    <n v="10684.21"/>
    <n v="25643.66"/>
    <n v="25643.66"/>
    <n v="12"/>
    <n v="20.65"/>
    <n v="2"/>
    <n v="2"/>
    <n v="1.7"/>
    <n v="1.7"/>
    <n v="120"/>
    <n v="120"/>
    <s v="Non performing"/>
    <s v="Non-Performing"/>
    <x v="0"/>
    <n v="0.20001213628959622"/>
    <s v="Healthy"/>
    <s v="High Risk"/>
    <s v="Medium"/>
    <s v="Medium"/>
    <x v="0"/>
    <s v="High"/>
  </r>
  <r>
    <n v="20239"/>
    <n v="53"/>
    <s v="Salaried "/>
    <x v="2"/>
    <n v="5606.83"/>
    <n v="5606.83"/>
    <n v="1391.41"/>
    <n v="1391.41"/>
    <n v="18"/>
    <n v="18.73"/>
    <n v="4"/>
    <n v="4"/>
    <n v="7.7"/>
    <n v="7.7"/>
    <n v="0"/>
    <n v="0"/>
    <s v="Written Off"/>
    <s v="Written Off"/>
    <x v="1"/>
    <n v="1.3786855594971769E-2"/>
    <s v="Healthy"/>
    <s v="Good"/>
    <s v="Small"/>
    <s v="High"/>
    <x v="1"/>
    <s v="Medium"/>
  </r>
  <r>
    <n v="22151"/>
    <n v="22"/>
    <s v="Self employed"/>
    <x v="0"/>
    <n v="4636.34"/>
    <n v="4636.34"/>
    <n v="16644.18"/>
    <n v="16644.18"/>
    <n v="36"/>
    <n v="18.86"/>
    <m/>
    <s v="NULL"/>
    <n v="9.6"/>
    <n v="9.6"/>
    <n v="60"/>
    <n v="60"/>
    <s v="Non performing"/>
    <s v="Non-Performing"/>
    <x v="1"/>
    <n v="9.9720541058967493E-2"/>
    <s v="Healthy"/>
    <s v="High Risk"/>
    <s v="Medium"/>
    <s v="Medium"/>
    <x v="0"/>
    <s v="Medium"/>
  </r>
  <r>
    <n v="25838"/>
    <n v="43"/>
    <s v="Unemployed"/>
    <x v="3"/>
    <n v="3587.23"/>
    <n v="3587.23"/>
    <m/>
    <s v="NULL"/>
    <n v="48"/>
    <n v="24.63"/>
    <m/>
    <s v="NULL"/>
    <n v="7.7"/>
    <n v="7.7"/>
    <n v="15"/>
    <n v="15"/>
    <s v="Non-Performing"/>
    <s v="Non-Performing"/>
    <x v="1"/>
    <s v="NULL"/>
    <s v="NULL"/>
    <s v="Good"/>
    <s v="High"/>
    <s v="Low"/>
    <x v="0"/>
    <s v="Medium"/>
  </r>
  <r>
    <n v="25571"/>
    <n v="22"/>
    <s v="Unemployed"/>
    <x v="3"/>
    <n v="4522.8900000000003"/>
    <n v="4522.8900000000003"/>
    <n v="18085.509999999998"/>
    <n v="18085.509999999998"/>
    <n v="48"/>
    <n v="16.66"/>
    <n v="0"/>
    <n v="0"/>
    <n v="5.2"/>
    <n v="5.2"/>
    <n v="90"/>
    <n v="90"/>
    <s v="Non-Performing"/>
    <s v="Non-Performing"/>
    <x v="0"/>
    <n v="8.3305465826790673E-2"/>
    <s v="Healthy"/>
    <s v="High Risk"/>
    <s v="Medium"/>
    <s v="Low"/>
    <x v="0"/>
    <s v="Medium"/>
  </r>
  <r>
    <n v="20909"/>
    <n v="42"/>
    <s v="Unemployed"/>
    <x v="3"/>
    <n v="3120.83"/>
    <n v="3120.83"/>
    <n v="20888.37"/>
    <n v="20888.37"/>
    <n v="36"/>
    <n v="18.79"/>
    <m/>
    <s v="NULL"/>
    <n v="7.1"/>
    <n v="7.1"/>
    <n v="0"/>
    <n v="0"/>
    <s v="Performing "/>
    <s v="Performing "/>
    <x v="3"/>
    <n v="0.18592249497729768"/>
    <s v="Healthy"/>
    <s v="Good"/>
    <s v="Medium"/>
    <s v="Low"/>
    <x v="0"/>
    <s v="Medium"/>
  </r>
  <r>
    <n v="22871"/>
    <n v="62"/>
    <s v="Salaried "/>
    <x v="2"/>
    <n v="8007.37"/>
    <n v="8007.37"/>
    <n v="22252.47"/>
    <n v="22252.47"/>
    <n v="12"/>
    <n v="13.79"/>
    <m/>
    <s v="NULL"/>
    <n v="8.4"/>
    <n v="8.4"/>
    <n v="0"/>
    <n v="0"/>
    <s v="Non performing"/>
    <s v="Non-Performing"/>
    <x v="0"/>
    <n v="0.23158321646183455"/>
    <s v="Healthy"/>
    <s v="Good"/>
    <s v="Medium"/>
    <s v="High"/>
    <x v="1"/>
    <s v="High"/>
  </r>
  <r>
    <n v="25209"/>
    <n v="57"/>
    <s v="Salaried "/>
    <x v="2"/>
    <n v="7306.89"/>
    <n v="7306.89"/>
    <n v="10560.01"/>
    <n v="10560.01"/>
    <n v="36"/>
    <n v="18.48"/>
    <n v="3"/>
    <n v="3"/>
    <n v="4.8"/>
    <n v="4.8"/>
    <n v="90"/>
    <n v="90"/>
    <s v="Written Off"/>
    <s v="Written Off"/>
    <x v="0"/>
    <n v="4.0144796364952953E-2"/>
    <s v="Healthy"/>
    <s v="High Risk"/>
    <s v="Medium"/>
    <s v="High"/>
    <x v="0"/>
    <s v="Medium"/>
  </r>
  <r>
    <n v="20092"/>
    <n v="35"/>
    <s v="Salaried "/>
    <x v="2"/>
    <n v="6272.12"/>
    <n v="6272.12"/>
    <n v="25711.53"/>
    <n v="25711.53"/>
    <n v="60"/>
    <n v="9.75"/>
    <n v="1"/>
    <n v="1"/>
    <n v="10.1"/>
    <n v="10.1"/>
    <n v="60"/>
    <n v="60"/>
    <s v="Non-Performing"/>
    <s v="Non-Performing"/>
    <x v="0"/>
    <n v="6.8322273808536824E-2"/>
    <s v="Healthy"/>
    <s v="High Risk"/>
    <s v="Medium"/>
    <s v="High"/>
    <x v="0"/>
    <s v="Medium"/>
  </r>
  <r>
    <n v="21020"/>
    <n v="29"/>
    <s v="Unemployed"/>
    <x v="3"/>
    <n v="152.18"/>
    <n v="152.18"/>
    <n v="40815.379999999997"/>
    <n v="40815.379999999997"/>
    <n v="48"/>
    <n v="14.78"/>
    <n v="1"/>
    <n v="1"/>
    <n v="14"/>
    <n v="14"/>
    <n v="15"/>
    <n v="15"/>
    <s v="Non-Performing"/>
    <s v="Non-Performing"/>
    <x v="4"/>
    <n v="5.5875963770972961"/>
    <s v="High Stress"/>
    <s v="Good"/>
    <s v="High"/>
    <s v="Low"/>
    <x v="0"/>
    <s v="Low"/>
  </r>
  <r>
    <n v="23089"/>
    <n v="49"/>
    <s v="Salaried"/>
    <x v="2"/>
    <n v="4790.6099999999997"/>
    <n v="4790.6099999999997"/>
    <n v="34764.53"/>
    <n v="34764.53"/>
    <n v="12"/>
    <n v="26.36"/>
    <n v="1"/>
    <n v="1"/>
    <n v="11"/>
    <n v="11"/>
    <n v="0"/>
    <n v="0"/>
    <s v="Performing "/>
    <s v="Performing "/>
    <x v="4"/>
    <n v="0.60473387870577378"/>
    <s v="High Stress"/>
    <s v="Good"/>
    <s v="High"/>
    <s v="High"/>
    <x v="0"/>
    <s v="Medium"/>
  </r>
  <r>
    <n v="24591"/>
    <n v="40"/>
    <s v="Unemployed"/>
    <x v="3"/>
    <n v="6589.29"/>
    <n v="6589.29"/>
    <n v="26427.38"/>
    <n v="26427.38"/>
    <n v="48"/>
    <n v="19.27"/>
    <n v="1"/>
    <n v="1"/>
    <n v="8.1"/>
    <n v="8.1"/>
    <n v="0"/>
    <n v="0"/>
    <s v="Non-Performing"/>
    <s v="Non-Performing"/>
    <x v="1"/>
    <n v="8.3555347642411654E-2"/>
    <s v="Healthy"/>
    <s v="Good"/>
    <s v="Medium"/>
    <s v="Low"/>
    <x v="0"/>
    <s v="Medium"/>
  </r>
  <r>
    <n v="25501"/>
    <n v="24"/>
    <s v="Salaried "/>
    <x v="2"/>
    <n v="4139.8900000000003"/>
    <n v="4139.8900000000003"/>
    <n v="3179.69"/>
    <n v="3179.69"/>
    <n v="36"/>
    <n v="17.22"/>
    <n v="0"/>
    <n v="0"/>
    <n v="8.9"/>
    <n v="8.9"/>
    <n v="15"/>
    <n v="15"/>
    <s v="Non performing"/>
    <s v="Non-Performing"/>
    <x v="3"/>
    <n v="2.1335040839786133E-2"/>
    <s v="Healthy"/>
    <s v="Good"/>
    <s v="Small"/>
    <s v="High"/>
    <x v="1"/>
    <s v="Medium"/>
  </r>
  <r>
    <n v="20646"/>
    <n v="30"/>
    <s v="Self-Employed"/>
    <x v="0"/>
    <n v="5133.78"/>
    <n v="5133.78"/>
    <n v="16201.26"/>
    <n v="16201.26"/>
    <n v="60"/>
    <n v="22.87"/>
    <n v="3"/>
    <n v="3"/>
    <n v="8.9"/>
    <n v="8.9"/>
    <n v="60"/>
    <n v="60"/>
    <s v="Non performing"/>
    <s v="Non-Performing"/>
    <x v="3"/>
    <n v="5.259691689164709E-2"/>
    <s v="Healthy"/>
    <s v="High Risk"/>
    <s v="Medium"/>
    <s v="Medium"/>
    <x v="0"/>
    <s v="Medium"/>
  </r>
  <r>
    <n v="20105"/>
    <n v="47"/>
    <s v="Contract"/>
    <x v="1"/>
    <n v="6316.31"/>
    <n v="6316.31"/>
    <n v="18794.18"/>
    <n v="18794.18"/>
    <n v="36"/>
    <n v="23.06"/>
    <n v="4"/>
    <n v="4"/>
    <n v="1.6"/>
    <n v="1.6"/>
    <n v="60"/>
    <n v="60"/>
    <s v="Written Off"/>
    <s v="Written Off"/>
    <x v="0"/>
    <n v="8.2652775996674574E-2"/>
    <s v="Healthy"/>
    <s v="High Risk"/>
    <s v="Medium"/>
    <s v="Low"/>
    <x v="0"/>
    <s v="Medium"/>
  </r>
  <r>
    <n v="20606"/>
    <n v="44"/>
    <s v="Self-Employed"/>
    <x v="0"/>
    <n v="6236.96"/>
    <n v="6236.96"/>
    <n v="33756.089999999997"/>
    <n v="33756.089999999997"/>
    <n v="6"/>
    <n v="14.9"/>
    <n v="1"/>
    <n v="1"/>
    <n v="11.9"/>
    <n v="11.9"/>
    <n v="60"/>
    <n v="60"/>
    <s v="Performing "/>
    <s v="Performing "/>
    <x v="3"/>
    <n v="0.90204442548934083"/>
    <s v="High Stress"/>
    <s v="High Risk"/>
    <s v="High"/>
    <s v="Medium"/>
    <x v="0"/>
    <s v="Medium"/>
  </r>
  <r>
    <n v="24792"/>
    <n v="64"/>
    <s v="Self-Employed"/>
    <x v="0"/>
    <n v="6780"/>
    <n v="6780"/>
    <n v="18538.400000000001"/>
    <n v="18538.400000000001"/>
    <n v="6"/>
    <n v="13.21"/>
    <n v="1"/>
    <n v="1"/>
    <n v="10.8"/>
    <n v="10.8"/>
    <n v="90"/>
    <n v="90"/>
    <s v="Written Off"/>
    <s v="Written Off"/>
    <x v="2"/>
    <n v="0.45571288102261559"/>
    <s v="High Stress"/>
    <s v="High Risk"/>
    <s v="Medium"/>
    <s v="Medium"/>
    <x v="0"/>
    <s v="Medium"/>
  </r>
  <r>
    <n v="21231"/>
    <n v="22"/>
    <s v="Unemployed"/>
    <x v="3"/>
    <n v="4319.51"/>
    <n v="4319.51"/>
    <n v="29889.74"/>
    <n v="29889.74"/>
    <n v="48"/>
    <n v="19.02"/>
    <n v="4"/>
    <n v="4"/>
    <n v="-1.2"/>
    <n v="1.2"/>
    <n v="0"/>
    <n v="0"/>
    <s v="Non performing"/>
    <s v="Non-Performing"/>
    <x v="0"/>
    <n v="0.14416054521616264"/>
    <s v="Healthy"/>
    <s v="Good"/>
    <s v="Medium"/>
    <s v="Low"/>
    <x v="0"/>
    <s v="Medium"/>
  </r>
  <r>
    <n v="20967"/>
    <n v="44"/>
    <s v="Salaried"/>
    <x v="2"/>
    <n v="3345.04"/>
    <n v="3345.04"/>
    <n v="20195.240000000002"/>
    <n v="20195.240000000002"/>
    <n v="60"/>
    <n v="16.36"/>
    <n v="0"/>
    <n v="0"/>
    <n v="7"/>
    <n v="7"/>
    <n v="30"/>
    <n v="30"/>
    <s v="Performing "/>
    <s v="Performing "/>
    <x v="2"/>
    <n v="0.10062281268186131"/>
    <s v="Healthy"/>
    <s v="At Risk"/>
    <s v="Medium"/>
    <s v="High"/>
    <x v="0"/>
    <s v="Medium"/>
  </r>
  <r>
    <n v="21215"/>
    <n v="48"/>
    <s v="Self-Employed"/>
    <x v="0"/>
    <n v="9088.91"/>
    <n v="9088.91"/>
    <n v="3755.12"/>
    <n v="3755.12"/>
    <n v="12"/>
    <n v="12.02"/>
    <n v="1"/>
    <n v="1"/>
    <n v="10.199999999999999"/>
    <n v="10.199999999999999"/>
    <n v="90"/>
    <n v="90"/>
    <s v="Performing "/>
    <s v="Performing "/>
    <x v="2"/>
    <n v="3.4429504381346794E-2"/>
    <s v="Healthy"/>
    <s v="High Risk"/>
    <s v="Small"/>
    <s v="Medium"/>
    <x v="0"/>
    <s v="High"/>
  </r>
  <r>
    <n v="21411"/>
    <n v="120"/>
    <s v="Contract"/>
    <x v="1"/>
    <n v="6997.68"/>
    <n v="6997.68"/>
    <m/>
    <s v="NULL"/>
    <n v="60"/>
    <n v="21.14"/>
    <m/>
    <s v="NULL"/>
    <n v="10.199999999999999"/>
    <n v="10.199999999999999"/>
    <n v="0"/>
    <n v="0"/>
    <s v="Non-Performing"/>
    <s v="Non-Performing"/>
    <x v="3"/>
    <s v="NULL"/>
    <s v="NULL"/>
    <s v="Good"/>
    <s v="High"/>
    <s v="Low"/>
    <x v="3"/>
    <s v="Medium"/>
  </r>
  <r>
    <n v="22598"/>
    <n v="75"/>
    <s v="Self-Employed"/>
    <x v="0"/>
    <n v="4105.68"/>
    <n v="4105.68"/>
    <n v="19693.23"/>
    <n v="19693.23"/>
    <n v="24"/>
    <n v="18.010000000000002"/>
    <n v="2"/>
    <n v="2"/>
    <n v="8.3000000000000007"/>
    <n v="8.3000000000000007"/>
    <n v="15"/>
    <n v="15"/>
    <s v="Non-Performing"/>
    <s v="Non-Performing"/>
    <x v="2"/>
    <n v="0.1998575753590148"/>
    <s v="Healthy"/>
    <s v="Good"/>
    <s v="Medium"/>
    <s v="Medium"/>
    <x v="1"/>
    <s v="Medium"/>
  </r>
  <r>
    <n v="24439"/>
    <n v="63"/>
    <s v="Contract"/>
    <x v="1"/>
    <n v="5532.56"/>
    <n v="5532.56"/>
    <n v="2331.46"/>
    <n v="2331.46"/>
    <n v="60"/>
    <n v="15.52"/>
    <n v="3"/>
    <n v="3"/>
    <n v="7.3"/>
    <n v="7.3"/>
    <n v="90"/>
    <n v="90"/>
    <s v="Non performing"/>
    <s v="Non-Performing"/>
    <x v="3"/>
    <n v="7.0234514703259726E-3"/>
    <s v="Healthy"/>
    <s v="High Risk"/>
    <s v="Small"/>
    <s v="Low"/>
    <x v="0"/>
    <s v="Medium"/>
  </r>
  <r>
    <n v="21266"/>
    <n v="39"/>
    <s v="Contract"/>
    <x v="1"/>
    <n v="3301.64"/>
    <n v="3301.64"/>
    <n v="23210.880000000001"/>
    <n v="23210.880000000001"/>
    <n v="12"/>
    <n v="18.16"/>
    <n v="0"/>
    <n v="0"/>
    <n v="4.2"/>
    <n v="4.2"/>
    <n v="0"/>
    <n v="0"/>
    <s v="Performing"/>
    <s v="Performing"/>
    <x v="0"/>
    <n v="0.58584218751893002"/>
    <s v="High Stress"/>
    <s v="Good"/>
    <s v="Medium"/>
    <s v="Low"/>
    <x v="0"/>
    <s v="Medium"/>
  </r>
  <r>
    <n v="24911"/>
    <n v="48"/>
    <s v="Contract"/>
    <x v="1"/>
    <n v="5038.3"/>
    <n v="5038.3"/>
    <n v="27964.6"/>
    <n v="27964.6"/>
    <n v="18"/>
    <n v="15.04"/>
    <n v="0"/>
    <n v="0"/>
    <n v="4.2"/>
    <n v="4.2"/>
    <n v="0"/>
    <n v="0"/>
    <s v="Written Off"/>
    <s v="Written Off"/>
    <x v="4"/>
    <n v="0.30835577255996838"/>
    <s v="Stretched"/>
    <s v="Good"/>
    <s v="Medium"/>
    <s v="Low"/>
    <x v="0"/>
    <s v="Medium"/>
  </r>
  <r>
    <n v="25386"/>
    <n v="31"/>
    <s v="Salaried "/>
    <x v="2"/>
    <n v="3312.61"/>
    <n v="3312.61"/>
    <n v="30886.47"/>
    <n v="30886.47"/>
    <n v="12"/>
    <n v="19.91"/>
    <m/>
    <s v="NULL"/>
    <n v="1.1000000000000001"/>
    <n v="1.1000000000000001"/>
    <n v="15"/>
    <n v="15"/>
    <s v="Non-Performing"/>
    <s v="Non-Performing"/>
    <x v="0"/>
    <n v="0.77699231119872247"/>
    <s v="High Stress"/>
    <s v="Good"/>
    <s v="High"/>
    <s v="High"/>
    <x v="0"/>
    <s v="Medium"/>
  </r>
  <r>
    <n v="23600"/>
    <n v="52"/>
    <s v="Unemployed"/>
    <x v="3"/>
    <n v="3656.65"/>
    <n v="3656.65"/>
    <n v="19042.62"/>
    <n v="19042.62"/>
    <n v="24"/>
    <n v="18.68"/>
    <n v="3"/>
    <n v="3"/>
    <n v="11.7"/>
    <n v="11.7"/>
    <n v="0"/>
    <n v="0"/>
    <s v="Non-Performing"/>
    <s v="Non-Performing"/>
    <x v="0"/>
    <n v="0.21698617587135763"/>
    <s v="Healthy"/>
    <s v="Good"/>
    <s v="Medium"/>
    <s v="Low"/>
    <x v="0"/>
    <s v="Medium"/>
  </r>
  <r>
    <n v="25013"/>
    <n v="41"/>
    <s v="Salaried "/>
    <x v="2"/>
    <n v="7267.01"/>
    <n v="7267.01"/>
    <n v="37327.42"/>
    <n v="37327.42"/>
    <n v="24"/>
    <n v="19.82"/>
    <n v="4"/>
    <n v="4"/>
    <n v="7.2"/>
    <n v="7.2"/>
    <n v="90"/>
    <n v="90"/>
    <s v="Performing "/>
    <s v="Performing "/>
    <x v="2"/>
    <n v="0.21402325945150297"/>
    <s v="Healthy"/>
    <s v="High Risk"/>
    <s v="High"/>
    <s v="High"/>
    <x v="0"/>
    <s v="Medium"/>
  </r>
  <r>
    <n v="21892"/>
    <n v="24"/>
    <s v="Self-Employed"/>
    <x v="0"/>
    <n v="7022.33"/>
    <n v="7022.33"/>
    <n v="8378.2199999999993"/>
    <n v="8378.2199999999993"/>
    <n v="6"/>
    <n v="24.97"/>
    <n v="2"/>
    <n v="2"/>
    <n v="8.3000000000000007"/>
    <n v="8.3000000000000007"/>
    <m/>
    <s v="NULL"/>
    <s v="Non-Performing"/>
    <s v="Non-Performing"/>
    <x v="3"/>
    <n v="0.19884710630232416"/>
    <s v="Healthy"/>
    <s v="NULL"/>
    <s v="Small"/>
    <s v="Medium"/>
    <x v="0"/>
    <s v="Medium"/>
  </r>
  <r>
    <n v="21942"/>
    <n v="61"/>
    <s v="Self-Employed"/>
    <x v="0"/>
    <n v="6893.33"/>
    <n v="6893.33"/>
    <n v="17860.25"/>
    <n v="17860.25"/>
    <n v="48"/>
    <n v="17.489999999999998"/>
    <m/>
    <s v="NULL"/>
    <n v="-1.2"/>
    <n v="1.2"/>
    <n v="120"/>
    <n v="120"/>
    <s v="Written Off"/>
    <s v="Written Off"/>
    <x v="3"/>
    <n v="5.3978054389774856E-2"/>
    <s v="Healthy"/>
    <s v="High Risk"/>
    <s v="Medium"/>
    <s v="Medium"/>
    <x v="0"/>
    <s v="Medium"/>
  </r>
  <r>
    <n v="23271"/>
    <n v="60"/>
    <s v="Self-Employed"/>
    <x v="0"/>
    <n v="5827.28"/>
    <n v="5827.28"/>
    <n v="14058.91"/>
    <n v="14058.91"/>
    <n v="12"/>
    <n v="17.100000000000001"/>
    <n v="3"/>
    <n v="3"/>
    <n v="1.9"/>
    <n v="1.9"/>
    <n v="30"/>
    <n v="30"/>
    <s v="Non-Performing"/>
    <s v="Non-Performing"/>
    <x v="3"/>
    <n v="0.20105020409750918"/>
    <s v="Healthy"/>
    <s v="At Risk"/>
    <s v="Medium"/>
    <s v="Medium"/>
    <x v="0"/>
    <s v="Medium"/>
  </r>
  <r>
    <n v="23541"/>
    <n v="47"/>
    <s v="Self employed"/>
    <x v="0"/>
    <n v="5838.81"/>
    <n v="5838.81"/>
    <n v="13640.4"/>
    <n v="13640.4"/>
    <n v="36"/>
    <n v="15.11"/>
    <n v="2"/>
    <n v="2"/>
    <n v="4.8"/>
    <n v="4.8"/>
    <n v="60"/>
    <n v="60"/>
    <s v="Written Off"/>
    <s v="Written Off"/>
    <x v="4"/>
    <n v="6.4893360119613414E-2"/>
    <s v="Healthy"/>
    <s v="High Risk"/>
    <s v="Medium"/>
    <s v="Medium"/>
    <x v="0"/>
    <s v="Medium"/>
  </r>
  <r>
    <n v="24993"/>
    <n v="53"/>
    <s v="Self employed"/>
    <x v="0"/>
    <n v="5057.93"/>
    <n v="5057.93"/>
    <n v="14398.03"/>
    <n v="14398.03"/>
    <n v="24"/>
    <n v="19.7"/>
    <n v="3"/>
    <n v="3"/>
    <n v="-3.8"/>
    <n v="3.8"/>
    <n v="120"/>
    <n v="120"/>
    <s v="Written Off"/>
    <s v="Written Off"/>
    <x v="4"/>
    <n v="0.11860937511327098"/>
    <s v="Healthy"/>
    <s v="High Risk"/>
    <s v="Medium"/>
    <s v="Medium"/>
    <x v="0"/>
    <s v="Medium"/>
  </r>
  <r>
    <n v="24309"/>
    <n v="60"/>
    <s v="Contract"/>
    <x v="1"/>
    <n v="5635.89"/>
    <n v="5635.89"/>
    <n v="9684.1299999999992"/>
    <n v="9684.1299999999992"/>
    <n v="12"/>
    <n v="11.89"/>
    <m/>
    <s v="NULL"/>
    <n v="5.2"/>
    <n v="5.2"/>
    <n v="0"/>
    <n v="0"/>
    <s v="Performing "/>
    <s v="Performing "/>
    <x v="2"/>
    <n v="0.14319137409234978"/>
    <s v="Healthy"/>
    <s v="Good"/>
    <s v="Small"/>
    <s v="Low"/>
    <x v="0"/>
    <s v="Medium"/>
  </r>
  <r>
    <n v="24642"/>
    <n v="34"/>
    <s v="Contract"/>
    <x v="1"/>
    <n v="1413.05"/>
    <n v="1413.05"/>
    <n v="17027.05"/>
    <n v="17027.05"/>
    <n v="12"/>
    <n v="18.48"/>
    <n v="0"/>
    <n v="0"/>
    <n v="1.3"/>
    <n v="1.3"/>
    <n v="0"/>
    <n v="0"/>
    <s v="Written Off"/>
    <s v="Written Off"/>
    <x v="3"/>
    <n v="1.0041547244140925"/>
    <s v="High Stress"/>
    <s v="Good"/>
    <s v="Medium"/>
    <s v="Low"/>
    <x v="0"/>
    <s v="Low"/>
  </r>
  <r>
    <n v="25654"/>
    <n v="28"/>
    <s v="Salaried"/>
    <x v="2"/>
    <n v="2967.77"/>
    <n v="2967.77"/>
    <n v="23124.36"/>
    <n v="23124.36"/>
    <n v="18"/>
    <n v="18.079999999999998"/>
    <n v="3"/>
    <n v="3"/>
    <n v="12.7"/>
    <n v="12.7"/>
    <n v="120"/>
    <n v="120"/>
    <s v="Non-Performing"/>
    <s v="Non-Performing"/>
    <x v="4"/>
    <n v="0.43287945719064036"/>
    <s v="Stretched"/>
    <s v="High Risk"/>
    <s v="Medium"/>
    <s v="High"/>
    <x v="0"/>
    <s v="Medium"/>
  </r>
  <r>
    <n v="25955"/>
    <n v="47"/>
    <s v="Unemployed"/>
    <x v="3"/>
    <n v="6987.72"/>
    <n v="6987.72"/>
    <n v="26789.14"/>
    <n v="26789.14"/>
    <n v="6"/>
    <n v="19.63"/>
    <n v="1"/>
    <n v="1"/>
    <n v="7.1"/>
    <n v="7.1"/>
    <n v="120"/>
    <n v="120"/>
    <s v="Performing "/>
    <s v="Performing "/>
    <x v="3"/>
    <n v="0.63895758082273857"/>
    <s v="High Stress"/>
    <s v="High Risk"/>
    <s v="Medium"/>
    <s v="Low"/>
    <x v="2"/>
    <s v="Medium"/>
  </r>
  <r>
    <n v="23212"/>
    <n v="120"/>
    <s v="Contract"/>
    <x v="1"/>
    <n v="5566"/>
    <n v="5566"/>
    <n v="2575.21"/>
    <n v="2575.21"/>
    <n v="48"/>
    <n v="15.41"/>
    <n v="0"/>
    <n v="0"/>
    <n v="10"/>
    <n v="10"/>
    <n v="30"/>
    <n v="30"/>
    <s v="Non-Performing"/>
    <s v="Non-Performing"/>
    <x v="1"/>
    <n v="9.6389163372859032E-3"/>
    <s v="Healthy"/>
    <s v="At Risk"/>
    <s v="Small"/>
    <s v="Low"/>
    <x v="3"/>
    <s v="Medium"/>
  </r>
  <r>
    <n v="22505"/>
    <n v="45"/>
    <s v="Contract"/>
    <x v="1"/>
    <n v="8149.26"/>
    <n v="8149.26"/>
    <n v="13844.18"/>
    <n v="13844.18"/>
    <n v="36"/>
    <n v="20"/>
    <n v="2"/>
    <n v="2"/>
    <n v="7.2"/>
    <n v="7.2"/>
    <m/>
    <s v="NULL"/>
    <s v="Non-Performing"/>
    <s v="Non-Performing"/>
    <x v="4"/>
    <n v="4.7189628942450677E-2"/>
    <s v="Healthy"/>
    <s v="NULL"/>
    <s v="Medium"/>
    <s v="Low"/>
    <x v="0"/>
    <s v="High"/>
  </r>
  <r>
    <n v="23756"/>
    <n v="48"/>
    <s v="Self-Employed"/>
    <x v="0"/>
    <n v="5954.91"/>
    <n v="5954.91"/>
    <n v="15997.37"/>
    <n v="15997.37"/>
    <n v="24"/>
    <n v="23.55"/>
    <n v="0"/>
    <n v="0"/>
    <n v="3.8"/>
    <n v="3.8"/>
    <n v="0"/>
    <n v="0"/>
    <s v="Written Off"/>
    <s v="Written Off"/>
    <x v="2"/>
    <n v="0.11193403146870959"/>
    <s v="Healthy"/>
    <s v="Good"/>
    <s v="Medium"/>
    <s v="Medium"/>
    <x v="1"/>
    <s v="Medium"/>
  </r>
  <r>
    <n v="25886"/>
    <n v="38"/>
    <s v="Contract"/>
    <x v="1"/>
    <n v="8195.06"/>
    <n v="8195.06"/>
    <n v="6490.93"/>
    <n v="6490.93"/>
    <n v="12"/>
    <n v="21.19"/>
    <n v="2"/>
    <n v="2"/>
    <n v="9.3000000000000007"/>
    <n v="9.3000000000000007"/>
    <n v="120"/>
    <n v="120"/>
    <s v="Non-Performing"/>
    <s v="Non-Performing"/>
    <x v="0"/>
    <n v="6.6004499458616944E-2"/>
    <s v="Healthy"/>
    <s v="High Risk"/>
    <s v="Small"/>
    <s v="Low"/>
    <x v="0"/>
    <s v="High"/>
  </r>
  <r>
    <n v="24918"/>
    <n v="50"/>
    <s v="Contract"/>
    <x v="1"/>
    <n v="2072.77"/>
    <n v="2072.77"/>
    <n v="22223.1"/>
    <n v="22223.1"/>
    <n v="36"/>
    <n v="10.73"/>
    <n v="2"/>
    <n v="2"/>
    <n v="3.6"/>
    <n v="3.6"/>
    <n v="0"/>
    <n v="0"/>
    <s v="Written Off"/>
    <s v="Written Off"/>
    <x v="3"/>
    <n v="0.29781805667456268"/>
    <s v="Healthy"/>
    <s v="Good"/>
    <s v="Medium"/>
    <s v="Low"/>
    <x v="0"/>
    <s v="Medium"/>
  </r>
  <r>
    <n v="22824"/>
    <n v="50"/>
    <s v="Salaried"/>
    <x v="2"/>
    <n v="499.19"/>
    <n v="499.19"/>
    <n v="18246.14"/>
    <n v="18246.14"/>
    <n v="24"/>
    <n v="18.649999999999999"/>
    <n v="1"/>
    <n v="1"/>
    <n v="8.6999999999999993"/>
    <n v="8.6999999999999993"/>
    <n v="15"/>
    <n v="15"/>
    <s v="Non-Performing"/>
    <s v="Non-Performing"/>
    <x v="3"/>
    <n v="1.5229788924724721"/>
    <s v="High Stress"/>
    <s v="Good"/>
    <s v="Medium"/>
    <s v="High"/>
    <x v="0"/>
    <s v="Low"/>
  </r>
  <r>
    <n v="24502"/>
    <n v="42"/>
    <s v="Self employed"/>
    <x v="0"/>
    <n v="6197.54"/>
    <n v="6197.54"/>
    <n v="18924.189999999999"/>
    <n v="18924.189999999999"/>
    <n v="12"/>
    <n v="18.89"/>
    <n v="4"/>
    <n v="4"/>
    <n v="7.7"/>
    <n v="7.7"/>
    <n v="90"/>
    <n v="90"/>
    <s v="Non-Performing"/>
    <s v="Non-Performing"/>
    <x v="4"/>
    <n v="0.25445835498170777"/>
    <s v="Healthy"/>
    <s v="High Risk"/>
    <s v="Medium"/>
    <s v="Medium"/>
    <x v="0"/>
    <s v="Medium"/>
  </r>
  <r>
    <n v="25396"/>
    <n v="32"/>
    <s v="Salaried"/>
    <x v="2"/>
    <n v="3024.09"/>
    <n v="3024.09"/>
    <n v="28315.24"/>
    <n v="28315.24"/>
    <n v="6"/>
    <n v="16.64"/>
    <n v="2"/>
    <n v="2"/>
    <n v="4.5999999999999996"/>
    <n v="4.5999999999999996"/>
    <n v="60"/>
    <n v="60"/>
    <s v="Non-Performing"/>
    <s v="Non-Performing"/>
    <x v="2"/>
    <n v="1.5605377705910428"/>
    <s v="High Stress"/>
    <s v="High Risk"/>
    <s v="Medium"/>
    <s v="High"/>
    <x v="0"/>
    <s v="Medium"/>
  </r>
  <r>
    <n v="20435"/>
    <n v="55"/>
    <s v="Salaried"/>
    <x v="2"/>
    <n v="5463.35"/>
    <n v="5463.35"/>
    <n v="9670.61"/>
    <n v="9670.61"/>
    <n v="12"/>
    <n v="18.98"/>
    <n v="4"/>
    <n v="4"/>
    <n v="-0.7"/>
    <n v="0.7"/>
    <n v="0"/>
    <n v="0"/>
    <s v="Non performing"/>
    <s v="Non-Performing"/>
    <x v="2"/>
    <n v="0.14750732914176587"/>
    <s v="Healthy"/>
    <s v="Good"/>
    <s v="Small"/>
    <s v="High"/>
    <x v="1"/>
    <s v="Medium"/>
  </r>
  <r>
    <n v="22276"/>
    <n v="27"/>
    <s v="Self-Employed"/>
    <x v="0"/>
    <n v="6846.7"/>
    <n v="6846.7"/>
    <n v="-98.31"/>
    <n v="98.31"/>
    <n v="24"/>
    <n v="16.12"/>
    <n v="4"/>
    <n v="4"/>
    <n v="9.5"/>
    <n v="9.5"/>
    <n v="15"/>
    <n v="15"/>
    <s v="Performing"/>
    <s v="Performing"/>
    <x v="2"/>
    <n v="5.9828092365665222E-4"/>
    <s v="Healthy"/>
    <s v="Good"/>
    <s v="Small"/>
    <s v="Medium"/>
    <x v="1"/>
    <s v="Medium"/>
  </r>
  <r>
    <n v="22898"/>
    <n v="26"/>
    <s v="Contract"/>
    <x v="1"/>
    <n v="6875.15"/>
    <n v="6875.15"/>
    <n v="4662.91"/>
    <n v="4662.91"/>
    <n v="24"/>
    <n v="16.690000000000001"/>
    <n v="0"/>
    <n v="0"/>
    <n v="4.3"/>
    <n v="4.3"/>
    <m/>
    <s v="NULL"/>
    <s v="Written Off"/>
    <s v="Written Off"/>
    <x v="3"/>
    <n v="2.8259444036372542E-2"/>
    <s v="Healthy"/>
    <s v="NULL"/>
    <s v="Small"/>
    <s v="Low"/>
    <x v="0"/>
    <s v="Medium"/>
  </r>
  <r>
    <n v="25666"/>
    <n v="30"/>
    <s v="Unemployed"/>
    <x v="3"/>
    <n v="4174.45"/>
    <n v="4174.45"/>
    <n v="21094.05"/>
    <n v="21094.05"/>
    <n v="60"/>
    <n v="16.77"/>
    <n v="1"/>
    <n v="1"/>
    <n v="12.8"/>
    <n v="12.8"/>
    <n v="15"/>
    <n v="15"/>
    <s v="Non-Performing"/>
    <s v="Non-Performing"/>
    <x v="2"/>
    <n v="8.4218879133778096E-2"/>
    <s v="Healthy"/>
    <s v="Good"/>
    <s v="Medium"/>
    <s v="Low"/>
    <x v="0"/>
    <s v="Medium"/>
  </r>
  <r>
    <n v="22825"/>
    <n v="31"/>
    <s v="Unemployed"/>
    <x v="3"/>
    <n v="6142.51"/>
    <n v="6142.51"/>
    <n v="32670.47"/>
    <n v="32670.47"/>
    <n v="6"/>
    <n v="21.25"/>
    <n v="0"/>
    <n v="0"/>
    <n v="8.6999999999999993"/>
    <n v="8.6999999999999993"/>
    <n v="90"/>
    <n v="90"/>
    <s v="Performing"/>
    <s v="Performing"/>
    <x v="3"/>
    <n v="0.88645819597091968"/>
    <s v="High Stress"/>
    <s v="High Risk"/>
    <s v="High"/>
    <s v="Low"/>
    <x v="2"/>
    <s v="Medium"/>
  </r>
  <r>
    <n v="22933"/>
    <n v="34"/>
    <s v="Self-Employed"/>
    <x v="0"/>
    <n v="1994.75"/>
    <n v="1994.75"/>
    <n v="9849.92"/>
    <n v="9849.92"/>
    <n v="60"/>
    <n v="15.11"/>
    <n v="4"/>
    <n v="4"/>
    <n v="11.2"/>
    <n v="11.2"/>
    <n v="60"/>
    <n v="60"/>
    <s v="Performing "/>
    <s v="Performing "/>
    <x v="4"/>
    <n v="8.229870075615156E-2"/>
    <s v="Healthy"/>
    <s v="High Risk"/>
    <s v="Small"/>
    <s v="Medium"/>
    <x v="0"/>
    <s v="Low"/>
  </r>
  <r>
    <n v="24816"/>
    <n v="22"/>
    <s v="Salaried"/>
    <x v="2"/>
    <n v="7433.81"/>
    <n v="7433.81"/>
    <n v="30225.14"/>
    <n v="30225.14"/>
    <n v="36"/>
    <n v="12.5"/>
    <m/>
    <s v="NULL"/>
    <n v="-1.3"/>
    <n v="1.3"/>
    <n v="0"/>
    <n v="0"/>
    <s v="Non performing"/>
    <s v="Non-Performing"/>
    <x v="2"/>
    <n v="0.11294171121164276"/>
    <s v="Healthy"/>
    <s v="Good"/>
    <s v="High"/>
    <s v="High"/>
    <x v="1"/>
    <s v="Medium"/>
  </r>
  <r>
    <n v="21995"/>
    <n v="56"/>
    <s v="Contract"/>
    <x v="1"/>
    <n v="1367.17"/>
    <n v="1367.17"/>
    <n v="8191.93"/>
    <n v="8191.93"/>
    <n v="12"/>
    <n v="11.34"/>
    <n v="3"/>
    <n v="3"/>
    <n v="1"/>
    <n v="1"/>
    <n v="0"/>
    <n v="0"/>
    <s v="Non-Performing"/>
    <s v="Non-Performing"/>
    <x v="3"/>
    <n v="0.49932402944281495"/>
    <s v="High Stress"/>
    <s v="Good"/>
    <s v="Small"/>
    <s v="Low"/>
    <x v="0"/>
    <s v="Low"/>
  </r>
  <r>
    <n v="21811"/>
    <n v="26"/>
    <s v="Salaried "/>
    <x v="2"/>
    <n v="5040.05"/>
    <n v="5040.05"/>
    <n v="9362.0400000000009"/>
    <n v="9362.0400000000009"/>
    <n v="60"/>
    <n v="13.67"/>
    <n v="1"/>
    <n v="1"/>
    <n v="2.7"/>
    <n v="2.7"/>
    <n v="60"/>
    <n v="60"/>
    <s v="Non performing"/>
    <s v="Non-Performing"/>
    <x v="0"/>
    <n v="3.0958819852977652E-2"/>
    <s v="Healthy"/>
    <s v="High Risk"/>
    <s v="Small"/>
    <s v="High"/>
    <x v="0"/>
    <s v="Medium"/>
  </r>
  <r>
    <n v="23036"/>
    <n v="25"/>
    <s v="Salaried"/>
    <x v="2"/>
    <n v="8989.5499999999993"/>
    <n v="8989.5499999999993"/>
    <m/>
    <s v="NULL"/>
    <n v="48"/>
    <n v="15.74"/>
    <n v="3"/>
    <n v="3"/>
    <n v="11.5"/>
    <n v="11.5"/>
    <n v="0"/>
    <n v="0"/>
    <s v="Performing"/>
    <s v="Performing"/>
    <x v="0"/>
    <s v="NULL"/>
    <s v="NULL"/>
    <s v="Good"/>
    <s v="High"/>
    <s v="High"/>
    <x v="0"/>
    <s v="High"/>
  </r>
  <r>
    <n v="22492"/>
    <n v="32"/>
    <s v="Self employed"/>
    <x v="0"/>
    <n v="4805.42"/>
    <n v="4805.42"/>
    <n v="17184.669999999998"/>
    <n v="17184.669999999998"/>
    <n v="36"/>
    <n v="16.420000000000002"/>
    <m/>
    <s v="NULL"/>
    <n v="2"/>
    <n v="2"/>
    <n v="60"/>
    <n v="60"/>
    <s v="Written Off"/>
    <s v="Written Off"/>
    <x v="0"/>
    <n v="9.9336154684594558E-2"/>
    <s v="Healthy"/>
    <s v="High Risk"/>
    <s v="Medium"/>
    <s v="Medium"/>
    <x v="0"/>
    <s v="Medium"/>
  </r>
  <r>
    <n v="22011"/>
    <n v="39"/>
    <s v="Self employed"/>
    <x v="0"/>
    <n v="5243.43"/>
    <n v="5243.43"/>
    <n v="9135.9500000000007"/>
    <n v="9135.9500000000007"/>
    <n v="12"/>
    <n v="15.34"/>
    <n v="1"/>
    <n v="1"/>
    <n v="8.6999999999999993"/>
    <n v="8.6999999999999993"/>
    <n v="30"/>
    <n v="30"/>
    <s v="Written Off"/>
    <s v="Written Off"/>
    <x v="3"/>
    <n v="0.14519678276751413"/>
    <s v="Healthy"/>
    <s v="At Risk"/>
    <s v="Small"/>
    <s v="Medium"/>
    <x v="0"/>
    <s v="Medium"/>
  </r>
  <r>
    <n v="22152"/>
    <n v="30"/>
    <s v="Contract"/>
    <x v="1"/>
    <n v="7607.26"/>
    <n v="7607.26"/>
    <n v="10027.14"/>
    <n v="10027.14"/>
    <n v="36"/>
    <n v="20.66"/>
    <n v="4"/>
    <n v="4"/>
    <n v="3.9"/>
    <n v="3.9"/>
    <n v="0"/>
    <n v="0"/>
    <s v="Performing"/>
    <s v="Performing"/>
    <x v="4"/>
    <n v="3.6613927572695909E-2"/>
    <s v="Healthy"/>
    <s v="Good"/>
    <s v="Medium"/>
    <s v="Low"/>
    <x v="0"/>
    <s v="Medium"/>
  </r>
  <r>
    <n v="23969"/>
    <n v="25"/>
    <s v="Salaried"/>
    <x v="2"/>
    <n v="7964.25"/>
    <n v="7964.25"/>
    <n v="9486.2900000000009"/>
    <n v="9486.2900000000009"/>
    <n v="60"/>
    <n v="13.54"/>
    <n v="3"/>
    <n v="3"/>
    <n v="3.6"/>
    <n v="3.6"/>
    <n v="90"/>
    <n v="90"/>
    <s v="Written Off"/>
    <s v="Written Off"/>
    <x v="0"/>
    <n v="1.9851816973768196E-2"/>
    <s v="Healthy"/>
    <s v="High Risk"/>
    <s v="Small"/>
    <s v="High"/>
    <x v="0"/>
    <s v="Medium"/>
  </r>
  <r>
    <n v="25006"/>
    <n v="48"/>
    <s v="Salaried"/>
    <x v="2"/>
    <n v="3275.03"/>
    <n v="3275.03"/>
    <n v="24842.880000000001"/>
    <n v="24842.880000000001"/>
    <n v="24"/>
    <n v="28.88"/>
    <m/>
    <s v="NULL"/>
    <n v="11.8"/>
    <n v="11.8"/>
    <n v="90"/>
    <n v="90"/>
    <s v="Performing"/>
    <s v="Performing"/>
    <x v="2"/>
    <n v="0.31606428032720313"/>
    <s v="Stretched"/>
    <s v="High Risk"/>
    <s v="Medium"/>
    <s v="High"/>
    <x v="0"/>
    <s v="Medium"/>
  </r>
  <r>
    <n v="21177"/>
    <n v="46"/>
    <s v="Salaried "/>
    <x v="2"/>
    <n v="2776.05"/>
    <n v="2776.05"/>
    <n v="30724.39"/>
    <n v="30724.39"/>
    <n v="18"/>
    <n v="14.95"/>
    <n v="0"/>
    <n v="0"/>
    <n v="4.7"/>
    <n v="4.7"/>
    <n v="15"/>
    <n v="15"/>
    <s v="Non-Performing"/>
    <s v="Non-Performing"/>
    <x v="0"/>
    <n v="0.61487024929506151"/>
    <s v="High Stress"/>
    <s v="Good"/>
    <s v="High"/>
    <s v="High"/>
    <x v="0"/>
    <s v="Medium"/>
  </r>
  <r>
    <n v="25810"/>
    <n v="23"/>
    <s v="Contract"/>
    <x v="1"/>
    <n v="2404.86"/>
    <n v="2404.86"/>
    <n v="19971.349999999999"/>
    <n v="19971.349999999999"/>
    <n v="18"/>
    <n v="20.49"/>
    <n v="4"/>
    <n v="4"/>
    <n v="7"/>
    <n v="7"/>
    <n v="0"/>
    <n v="0"/>
    <s v="Performing"/>
    <s v="Performing"/>
    <x v="3"/>
    <n v="0.46136550337418575"/>
    <s v="High Stress"/>
    <s v="Good"/>
    <s v="Medium"/>
    <s v="Low"/>
    <x v="0"/>
    <s v="Medium"/>
  </r>
  <r>
    <n v="22244"/>
    <n v="60"/>
    <s v="Salaried "/>
    <x v="2"/>
    <n v="3120.6"/>
    <n v="3120.6"/>
    <n v="16260.73"/>
    <n v="16260.73"/>
    <n v="24"/>
    <n v="17.46"/>
    <n v="3"/>
    <n v="3"/>
    <n v="10.9"/>
    <n v="10.9"/>
    <n v="15"/>
    <n v="15"/>
    <s v="Written Off"/>
    <s v="Written Off"/>
    <x v="0"/>
    <n v="0.21711543186139418"/>
    <s v="Healthy"/>
    <s v="Good"/>
    <s v="Medium"/>
    <s v="High"/>
    <x v="1"/>
    <s v="Medium"/>
  </r>
  <r>
    <n v="21149"/>
    <n v="62"/>
    <s v="Unemployed"/>
    <x v="3"/>
    <n v="9085.89"/>
    <n v="9085.89"/>
    <n v="13043.32"/>
    <n v="13043.32"/>
    <n v="18"/>
    <n v="20.12"/>
    <n v="3"/>
    <n v="3"/>
    <n v="0.7"/>
    <n v="0.7"/>
    <n v="30"/>
    <n v="30"/>
    <s v="Performing"/>
    <s v="Performing"/>
    <x v="3"/>
    <n v="7.9753209524756397E-2"/>
    <s v="Healthy"/>
    <s v="At Risk"/>
    <s v="Medium"/>
    <s v="Low"/>
    <x v="0"/>
    <s v="High"/>
  </r>
  <r>
    <n v="24705"/>
    <n v="37"/>
    <s v="Contract"/>
    <x v="1"/>
    <n v="3481.92"/>
    <n v="3481.92"/>
    <n v="15677.88"/>
    <n v="15677.88"/>
    <n v="36"/>
    <n v="23.02"/>
    <n v="1"/>
    <n v="1"/>
    <n v="9.8000000000000007"/>
    <n v="9.8000000000000007"/>
    <n v="120"/>
    <n v="120"/>
    <s v="Non-Performing"/>
    <s v="Non-Performing"/>
    <x v="1"/>
    <n v="0.12507371411941304"/>
    <s v="Healthy"/>
    <s v="High Risk"/>
    <s v="Medium"/>
    <s v="Low"/>
    <x v="0"/>
    <s v="Medium"/>
  </r>
  <r>
    <n v="24827"/>
    <n v="22"/>
    <s v="Self employed"/>
    <x v="0"/>
    <n v="7061.74"/>
    <n v="7061.74"/>
    <n v="22730.560000000001"/>
    <n v="22730.560000000001"/>
    <n v="60"/>
    <n v="21.96"/>
    <n v="3"/>
    <n v="3"/>
    <n v="8.1"/>
    <n v="8.1"/>
    <n v="0"/>
    <n v="0"/>
    <s v="Non performing"/>
    <s v="Non-Performing"/>
    <x v="3"/>
    <n v="5.3647212537797584E-2"/>
    <s v="Healthy"/>
    <s v="Good"/>
    <s v="Medium"/>
    <s v="Medium"/>
    <x v="1"/>
    <s v="Medium"/>
  </r>
  <r>
    <n v="20338"/>
    <n v="18"/>
    <s v="Self employed"/>
    <x v="0"/>
    <n v="7245.5"/>
    <n v="7245.5"/>
    <n v="21067.15"/>
    <n v="21067.15"/>
    <n v="48"/>
    <n v="11.35"/>
    <m/>
    <s v="NULL"/>
    <n v="11.4"/>
    <n v="11.4"/>
    <n v="60"/>
    <n v="60"/>
    <s v="Performing"/>
    <s v="Performing"/>
    <x v="4"/>
    <n v="6.0575385871690479E-2"/>
    <s v="Healthy"/>
    <s v="High Risk"/>
    <s v="Medium"/>
    <s v="Medium"/>
    <x v="0"/>
    <s v="Medium"/>
  </r>
  <r>
    <n v="25836"/>
    <n v="55"/>
    <s v="Salaried"/>
    <x v="2"/>
    <n v="7829.7"/>
    <n v="7829.7"/>
    <n v="23287.68"/>
    <n v="23287.68"/>
    <n v="60"/>
    <n v="21.15"/>
    <n v="0"/>
    <n v="0"/>
    <m/>
    <s v="NULL"/>
    <n v="30"/>
    <n v="30"/>
    <s v="Written Off"/>
    <s v="Written Off"/>
    <x v="2"/>
    <n v="4.9571247940534122E-2"/>
    <s v="Healthy"/>
    <s v="At Risk"/>
    <s v="Medium"/>
    <s v="High"/>
    <x v="0"/>
    <s v="Medium"/>
  </r>
  <r>
    <n v="22178"/>
    <n v="51"/>
    <s v="Salaried "/>
    <x v="2"/>
    <n v="7631.74"/>
    <n v="7631.74"/>
    <n v="26511.29"/>
    <n v="26511.29"/>
    <n v="18"/>
    <n v="6.05"/>
    <n v="4"/>
    <n v="4"/>
    <n v="15.1"/>
    <n v="15.1"/>
    <n v="90"/>
    <n v="90"/>
    <s v="Written Off"/>
    <s v="Written Off"/>
    <x v="3"/>
    <n v="0.19298999237977768"/>
    <s v="Healthy"/>
    <s v="High Risk"/>
    <s v="Medium"/>
    <s v="High"/>
    <x v="0"/>
    <s v="Medium"/>
  </r>
  <r>
    <n v="21830"/>
    <n v="26"/>
    <s v="Unemployed"/>
    <x v="3"/>
    <n v="3374.58"/>
    <n v="3374.58"/>
    <n v="15169.91"/>
    <n v="15169.91"/>
    <n v="12"/>
    <n v="26.5"/>
    <n v="1"/>
    <n v="1"/>
    <n v="4"/>
    <n v="4"/>
    <n v="0"/>
    <n v="0"/>
    <s v="Written Off"/>
    <s v="Written Off"/>
    <x v="1"/>
    <n v="0.37461229743158159"/>
    <s v="Stretched"/>
    <s v="Good"/>
    <s v="Medium"/>
    <s v="Low"/>
    <x v="0"/>
    <s v="Medium"/>
  </r>
  <r>
    <n v="24902"/>
    <n v="120"/>
    <s v="Salaried"/>
    <x v="2"/>
    <n v="-773.4"/>
    <n v="773.4"/>
    <n v="20286.59"/>
    <n v="20286.59"/>
    <n v="24"/>
    <n v="25.98"/>
    <m/>
    <s v="NULL"/>
    <n v="7.3"/>
    <n v="7.3"/>
    <n v="60"/>
    <n v="60"/>
    <s v="Non performing"/>
    <s v="Non-Performing"/>
    <x v="0"/>
    <n v="1.0929332600637878"/>
    <s v="High Stress"/>
    <s v="High Risk"/>
    <s v="Medium"/>
    <s v="High"/>
    <x v="3"/>
    <s v="Low"/>
  </r>
  <r>
    <n v="25047"/>
    <n v="59"/>
    <s v="Self employed"/>
    <x v="0"/>
    <n v="4813.78"/>
    <n v="4813.78"/>
    <n v="35738.089999999997"/>
    <n v="35738.089999999997"/>
    <n v="60"/>
    <n v="17.350000000000001"/>
    <n v="2"/>
    <n v="2"/>
    <n v="3.1"/>
    <n v="3.1"/>
    <n v="0"/>
    <n v="0"/>
    <s v="Non performing"/>
    <s v="Non-Performing"/>
    <x v="4"/>
    <n v="0.12373536666265041"/>
    <s v="Healthy"/>
    <s v="Good"/>
    <s v="High"/>
    <s v="Medium"/>
    <x v="1"/>
    <s v="Medium"/>
  </r>
  <r>
    <n v="20497"/>
    <n v="47"/>
    <s v="Self-Employed"/>
    <x v="0"/>
    <n v="2620.79"/>
    <n v="2620.79"/>
    <n v="7377.43"/>
    <n v="7377.43"/>
    <n v="36"/>
    <n v="22.35"/>
    <n v="0"/>
    <n v="0"/>
    <n v="-2.1"/>
    <n v="2.1"/>
    <n v="0"/>
    <n v="0"/>
    <s v="Non-Performing"/>
    <s v="Non-Performing"/>
    <x v="4"/>
    <n v="7.8193449727414682E-2"/>
    <s v="Healthy"/>
    <s v="Good"/>
    <s v="Small"/>
    <s v="Medium"/>
    <x v="1"/>
    <s v="Medium"/>
  </r>
  <r>
    <n v="20970"/>
    <n v="32"/>
    <s v="Self employed"/>
    <x v="0"/>
    <n v="9116.8799999999992"/>
    <n v="9116.8799999999992"/>
    <n v="9152.86"/>
    <n v="9152.86"/>
    <n v="6"/>
    <n v="18.02"/>
    <m/>
    <s v="NULL"/>
    <m/>
    <s v="NULL"/>
    <n v="0"/>
    <n v="0"/>
    <s v="Non performing"/>
    <s v="Non-Performing"/>
    <x v="3"/>
    <n v="0.16732442092762731"/>
    <s v="Healthy"/>
    <s v="Good"/>
    <s v="Small"/>
    <s v="Medium"/>
    <x v="1"/>
    <s v="High"/>
  </r>
  <r>
    <n v="22908"/>
    <n v="24"/>
    <s v="Contract"/>
    <x v="1"/>
    <n v="3061.42"/>
    <n v="3061.42"/>
    <n v="11638.66"/>
    <n v="11638.66"/>
    <n v="6"/>
    <n v="26.72"/>
    <n v="1"/>
    <n v="1"/>
    <n v="3"/>
    <n v="3"/>
    <n v="0"/>
    <n v="0"/>
    <s v="Performing"/>
    <s v="Performing"/>
    <x v="1"/>
    <n v="0.63361991058615497"/>
    <s v="High Stress"/>
    <s v="Good"/>
    <s v="Medium"/>
    <s v="Low"/>
    <x v="0"/>
    <s v="Medium"/>
  </r>
  <r>
    <n v="24820"/>
    <n v="54"/>
    <s v="Self employed"/>
    <x v="0"/>
    <n v="6120.15"/>
    <n v="6120.15"/>
    <n v="35183.300000000003"/>
    <n v="35183.300000000003"/>
    <n v="36"/>
    <n v="55"/>
    <n v="1"/>
    <n v="1"/>
    <n v="5.5"/>
    <n v="5.5"/>
    <n v="0"/>
    <n v="0"/>
    <s v="Performing "/>
    <s v="Performing "/>
    <x v="2"/>
    <n v="0.15968789799088079"/>
    <s v="Healthy"/>
    <s v="Good"/>
    <s v="High"/>
    <s v="Medium"/>
    <x v="1"/>
    <s v="Medium"/>
  </r>
  <r>
    <n v="23267"/>
    <n v="45"/>
    <s v="Self-Employed"/>
    <x v="0"/>
    <n v="2644.85"/>
    <n v="2644.85"/>
    <n v="14926.85"/>
    <n v="14926.85"/>
    <n v="12"/>
    <n v="15.46"/>
    <n v="3"/>
    <n v="3"/>
    <n v="7"/>
    <n v="7"/>
    <n v="90"/>
    <n v="90"/>
    <s v="Performing"/>
    <s v="Performing"/>
    <x v="0"/>
    <n v="0.47031180092128733"/>
    <s v="High Stress"/>
    <s v="High Risk"/>
    <s v="Medium"/>
    <s v="Medium"/>
    <x v="0"/>
    <s v="Medium"/>
  </r>
  <r>
    <n v="23184"/>
    <n v="35"/>
    <s v="Unemployed"/>
    <x v="3"/>
    <n v="4344.6899999999996"/>
    <n v="4344.6899999999996"/>
    <n v="20637.900000000001"/>
    <n v="20637.900000000001"/>
    <n v="36"/>
    <n v="18.48"/>
    <n v="1"/>
    <n v="1"/>
    <n v="5.4"/>
    <n v="5.4"/>
    <n v="0"/>
    <n v="0"/>
    <s v="Performing"/>
    <s v="Performing"/>
    <x v="2"/>
    <n v="0.13194842439851867"/>
    <s v="Healthy"/>
    <s v="Good"/>
    <s v="Medium"/>
    <s v="Low"/>
    <x v="0"/>
    <s v="Medium"/>
  </r>
  <r>
    <n v="25883"/>
    <n v="38"/>
    <s v="Unemployed"/>
    <x v="3"/>
    <n v="3036.09"/>
    <n v="3036.09"/>
    <n v="29265.02"/>
    <n v="29265.02"/>
    <n v="60"/>
    <n v="17.73"/>
    <n v="3"/>
    <n v="3"/>
    <n v="10.1"/>
    <n v="10.1"/>
    <n v="0"/>
    <n v="0"/>
    <s v="Performing"/>
    <s v="Performing"/>
    <x v="4"/>
    <n v="0.16065081513833032"/>
    <s v="Healthy"/>
    <s v="Good"/>
    <s v="Medium"/>
    <s v="Low"/>
    <x v="0"/>
    <s v="Medium"/>
  </r>
  <r>
    <n v="25504"/>
    <n v="53"/>
    <s v="Self employed"/>
    <x v="0"/>
    <n v="4613.37"/>
    <n v="4613.37"/>
    <n v="13174.41"/>
    <n v="13174.41"/>
    <n v="36"/>
    <n v="6.09"/>
    <n v="0"/>
    <n v="0"/>
    <n v="7.4"/>
    <n v="7.4"/>
    <n v="60"/>
    <n v="60"/>
    <s v="Non-Performing"/>
    <s v="Non-Performing"/>
    <x v="2"/>
    <n v="7.9325055942474437E-2"/>
    <s v="Healthy"/>
    <s v="High Risk"/>
    <s v="Medium"/>
    <s v="Medium"/>
    <x v="0"/>
    <s v="Medium"/>
  </r>
  <r>
    <n v="20945"/>
    <n v="22"/>
    <s v="Salaried"/>
    <x v="2"/>
    <n v="9813.73"/>
    <n v="9813.73"/>
    <n v="27446.23"/>
    <n v="27446.23"/>
    <n v="36"/>
    <n v="21.13"/>
    <m/>
    <s v="NULL"/>
    <n v="9.9"/>
    <n v="9.9"/>
    <n v="15"/>
    <n v="15"/>
    <s v="Performing"/>
    <s v="Performing"/>
    <x v="2"/>
    <n v="7.7686596001497674E-2"/>
    <s v="Healthy"/>
    <s v="Good"/>
    <s v="Medium"/>
    <s v="High"/>
    <x v="1"/>
    <s v="High"/>
  </r>
  <r>
    <n v="21483"/>
    <n v="57"/>
    <s v="Unemployed"/>
    <x v="3"/>
    <n v="7369.26"/>
    <n v="7369.26"/>
    <n v="25459.29"/>
    <n v="25459.29"/>
    <n v="12"/>
    <n v="13.81"/>
    <n v="3"/>
    <n v="3"/>
    <n v="11.3"/>
    <n v="11.3"/>
    <n v="15"/>
    <n v="15"/>
    <s v="Written Off"/>
    <s v="Written Off"/>
    <x v="0"/>
    <n v="0.28789966699505787"/>
    <s v="Healthy"/>
    <s v="Good"/>
    <s v="Medium"/>
    <s v="Low"/>
    <x v="0"/>
    <s v="Medium"/>
  </r>
  <r>
    <n v="23233"/>
    <n v="45"/>
    <s v="Self-Employed"/>
    <x v="0"/>
    <n v="2393.98"/>
    <n v="2393.98"/>
    <n v="16287.27"/>
    <n v="16287.27"/>
    <n v="48"/>
    <n v="16.190000000000001"/>
    <n v="0"/>
    <n v="0"/>
    <n v="11.8"/>
    <n v="11.8"/>
    <n v="90"/>
    <n v="90"/>
    <s v="Performing"/>
    <s v="Performing"/>
    <x v="2"/>
    <n v="0.14173807843006206"/>
    <s v="Healthy"/>
    <s v="High Risk"/>
    <s v="Medium"/>
    <s v="Medium"/>
    <x v="0"/>
    <s v="Medium"/>
  </r>
  <r>
    <n v="20255"/>
    <n v="46"/>
    <s v="Self employed"/>
    <x v="0"/>
    <n v="6018.37"/>
    <n v="6018.37"/>
    <n v="25088.7"/>
    <n v="25088.7"/>
    <n v="60"/>
    <n v="28.15"/>
    <n v="3"/>
    <n v="3"/>
    <n v="9.1"/>
    <n v="9.1"/>
    <n v="60"/>
    <n v="60"/>
    <s v="Performing"/>
    <s v="Performing"/>
    <x v="4"/>
    <n v="6.9478114506087194E-2"/>
    <s v="Healthy"/>
    <s v="High Risk"/>
    <s v="Medium"/>
    <s v="Medium"/>
    <x v="0"/>
    <s v="Medium"/>
  </r>
  <r>
    <n v="24931"/>
    <n v="41"/>
    <s v="Self employed"/>
    <x v="0"/>
    <n v="4281.21"/>
    <n v="4281.21"/>
    <n v="24625.53"/>
    <n v="24625.53"/>
    <n v="6"/>
    <n v="21.14"/>
    <n v="3"/>
    <n v="3"/>
    <n v="4.2"/>
    <n v="4.2"/>
    <n v="120"/>
    <n v="120"/>
    <s v="Performing "/>
    <s v="Performing "/>
    <x v="0"/>
    <n v="0.958667059079092"/>
    <s v="High Stress"/>
    <s v="High Risk"/>
    <s v="Medium"/>
    <s v="Medium"/>
    <x v="0"/>
    <s v="Medium"/>
  </r>
  <r>
    <n v="23991"/>
    <n v="42"/>
    <s v="Salaried"/>
    <x v="2"/>
    <n v="5301.95"/>
    <n v="5301.95"/>
    <n v="16757.46"/>
    <n v="16757.46"/>
    <n v="12"/>
    <n v="24.87"/>
    <n v="4"/>
    <n v="4"/>
    <n v="11.5"/>
    <n v="11.5"/>
    <n v="120"/>
    <n v="120"/>
    <s v="Non-Performing"/>
    <s v="Non-Performing"/>
    <x v="3"/>
    <n v="0.2633851696074086"/>
    <s v="Healthy"/>
    <s v="High Risk"/>
    <s v="Medium"/>
    <s v="High"/>
    <x v="0"/>
    <s v="Medium"/>
  </r>
  <r>
    <n v="23965"/>
    <n v="42"/>
    <s v="Salaried"/>
    <x v="2"/>
    <n v="6506.76"/>
    <n v="6506.76"/>
    <n v="13134.72"/>
    <n v="13134.72"/>
    <n v="12"/>
    <n v="14.22"/>
    <n v="0"/>
    <n v="0"/>
    <n v="9.8000000000000007"/>
    <n v="9.8000000000000007"/>
    <n v="120"/>
    <n v="120"/>
    <s v="Non performing"/>
    <s v="Non-Performing"/>
    <x v="1"/>
    <n v="0.16821889849940677"/>
    <s v="Healthy"/>
    <s v="High Risk"/>
    <s v="Medium"/>
    <s v="High"/>
    <x v="0"/>
    <s v="Medium"/>
  </r>
  <r>
    <n v="23780"/>
    <n v="35"/>
    <s v="Salaried "/>
    <x v="2"/>
    <n v="4696.93"/>
    <n v="4696.93"/>
    <n v="35874.46"/>
    <n v="35874.46"/>
    <n v="48"/>
    <n v="13.63"/>
    <n v="0"/>
    <n v="0"/>
    <n v="5.9"/>
    <n v="5.9"/>
    <n v="0"/>
    <n v="0"/>
    <s v="Non performing"/>
    <s v="Non-Performing"/>
    <x v="4"/>
    <n v="0.15912193354666415"/>
    <s v="Healthy"/>
    <s v="Good"/>
    <s v="High"/>
    <s v="High"/>
    <x v="1"/>
    <s v="Medium"/>
  </r>
  <r>
    <n v="20938"/>
    <n v="47"/>
    <s v="Salaried"/>
    <x v="2"/>
    <n v="1916.28"/>
    <n v="1916.28"/>
    <n v="16234.66"/>
    <n v="16234.66"/>
    <n v="60"/>
    <n v="14.67"/>
    <n v="4"/>
    <n v="4"/>
    <n v="6.7"/>
    <n v="6.7"/>
    <m/>
    <s v="NULL"/>
    <s v="Written Off"/>
    <s v="Written Off"/>
    <x v="4"/>
    <n v="0.14119944197438092"/>
    <s v="Healthy"/>
    <s v="NULL"/>
    <s v="Medium"/>
    <s v="High"/>
    <x v="0"/>
    <s v="Low"/>
  </r>
  <r>
    <n v="21718"/>
    <n v="34"/>
    <s v="Salaried "/>
    <x v="2"/>
    <n v="5754.87"/>
    <n v="5754.87"/>
    <n v="25783.22"/>
    <n v="25783.22"/>
    <n v="18"/>
    <n v="19.760000000000002"/>
    <n v="2"/>
    <n v="2"/>
    <n v="4.4000000000000004"/>
    <n v="4.4000000000000004"/>
    <n v="120"/>
    <n v="120"/>
    <s v="Performing "/>
    <s v="Performing "/>
    <x v="4"/>
    <n v="0.2489024271809982"/>
    <s v="Healthy"/>
    <s v="High Risk"/>
    <s v="Medium"/>
    <s v="High"/>
    <x v="0"/>
    <s v="Medium"/>
  </r>
  <r>
    <n v="22128"/>
    <n v="49"/>
    <s v="Self employed"/>
    <x v="0"/>
    <n v="5464.25"/>
    <n v="5464.25"/>
    <n v="20620.96"/>
    <n v="20620.96"/>
    <n v="36"/>
    <n v="11.15"/>
    <n v="0"/>
    <n v="0"/>
    <n v="4.5999999999999996"/>
    <n v="4.5999999999999996"/>
    <n v="0"/>
    <n v="0"/>
    <s v="Non performing"/>
    <s v="Non-Performing"/>
    <x v="3"/>
    <n v="0.10482764230122056"/>
    <s v="Healthy"/>
    <s v="Good"/>
    <s v="Medium"/>
    <s v="Medium"/>
    <x v="1"/>
    <s v="Medium"/>
  </r>
  <r>
    <n v="25109"/>
    <n v="21"/>
    <s v="Salaried "/>
    <x v="2"/>
    <n v="2401.17"/>
    <n v="2401.17"/>
    <n v="13532.46"/>
    <n v="13532.46"/>
    <n v="48"/>
    <n v="16.68"/>
    <n v="2"/>
    <n v="2"/>
    <n v="5"/>
    <n v="5"/>
    <n v="0"/>
    <n v="0"/>
    <s v="Performing"/>
    <s v="Performing"/>
    <x v="0"/>
    <n v="0.11741203246750541"/>
    <s v="Healthy"/>
    <s v="Good"/>
    <s v="Medium"/>
    <s v="High"/>
    <x v="1"/>
    <s v="Medium"/>
  </r>
  <r>
    <n v="25735"/>
    <n v="32"/>
    <s v="Salaried"/>
    <x v="2"/>
    <n v="5335.59"/>
    <n v="5335.59"/>
    <n v="33716.86"/>
    <n v="33716.86"/>
    <n v="24"/>
    <n v="18.739999999999998"/>
    <m/>
    <s v="NULL"/>
    <n v="8.4"/>
    <n v="8.4"/>
    <n v="0"/>
    <n v="0"/>
    <s v="Performing "/>
    <s v="Performing "/>
    <x v="0"/>
    <n v="0.26330155927773063"/>
    <s v="Healthy"/>
    <s v="Good"/>
    <s v="High"/>
    <s v="High"/>
    <x v="1"/>
    <s v="Medium"/>
  </r>
  <r>
    <n v="22378"/>
    <n v="22"/>
    <s v="Self employed"/>
    <x v="0"/>
    <n v="6565.81"/>
    <n v="6565.81"/>
    <n v="12833.31"/>
    <n v="12833.31"/>
    <n v="48"/>
    <n v="16.59"/>
    <m/>
    <s v="NULL"/>
    <n v="11"/>
    <n v="11"/>
    <n v="15"/>
    <n v="15"/>
    <s v="Non-Performing"/>
    <s v="Non-Performing"/>
    <x v="1"/>
    <n v="4.0720128209619219E-2"/>
    <s v="Healthy"/>
    <s v="Good"/>
    <s v="Medium"/>
    <s v="Medium"/>
    <x v="1"/>
    <s v="Medium"/>
  </r>
  <r>
    <n v="21066"/>
    <n v="58"/>
    <s v="Self employed"/>
    <x v="0"/>
    <n v="2953.57"/>
    <n v="2953.57"/>
    <n v="12941"/>
    <n v="12941"/>
    <n v="18"/>
    <n v="16.91"/>
    <n v="2"/>
    <n v="2"/>
    <n v="0.6"/>
    <n v="0.6"/>
    <n v="30"/>
    <n v="30"/>
    <s v="Performing"/>
    <s v="Performing"/>
    <x v="1"/>
    <n v="0.24341540726796534"/>
    <s v="Healthy"/>
    <s v="At Risk"/>
    <s v="Medium"/>
    <s v="Medium"/>
    <x v="0"/>
    <s v="Medium"/>
  </r>
  <r>
    <n v="20293"/>
    <n v="29"/>
    <s v="Self-Employed"/>
    <x v="0"/>
    <n v="8284.1200000000008"/>
    <n v="8284.1200000000008"/>
    <n v="18876.55"/>
    <n v="18876.55"/>
    <n v="24"/>
    <n v="22.42"/>
    <n v="2"/>
    <n v="2"/>
    <n v="4"/>
    <n v="4"/>
    <n v="0"/>
    <n v="0"/>
    <s v="Performing"/>
    <s v="Performing"/>
    <x v="2"/>
    <n v="9.494344802666628E-2"/>
    <s v="Healthy"/>
    <s v="Good"/>
    <s v="Medium"/>
    <s v="Medium"/>
    <x v="1"/>
    <s v="High"/>
  </r>
  <r>
    <n v="20425"/>
    <n v="62"/>
    <s v="Contract"/>
    <x v="1"/>
    <n v="5759.19"/>
    <n v="5759.19"/>
    <n v="29736.11"/>
    <n v="29736.11"/>
    <n v="18"/>
    <n v="24.33"/>
    <n v="2"/>
    <n v="2"/>
    <n v="8.1999999999999993"/>
    <n v="8.1999999999999993"/>
    <n v="15"/>
    <n v="15"/>
    <s v="Non performing"/>
    <s v="Non-Performing"/>
    <x v="0"/>
    <n v="0.28684695436530333"/>
    <s v="Healthy"/>
    <s v="Good"/>
    <s v="Medium"/>
    <s v="Low"/>
    <x v="0"/>
    <s v="Medium"/>
  </r>
  <r>
    <n v="22829"/>
    <n v="56"/>
    <s v="Self employed"/>
    <x v="0"/>
    <n v="7632.04"/>
    <n v="7632.04"/>
    <n v="11681.98"/>
    <n v="11681.98"/>
    <n v="36"/>
    <n v="15.79"/>
    <n v="3"/>
    <n v="3"/>
    <m/>
    <s v="NULL"/>
    <m/>
    <s v="NULL"/>
    <s v="Written Off"/>
    <s v="Written Off"/>
    <x v="2"/>
    <n v="4.2518048181671535E-2"/>
    <s v="Healthy"/>
    <s v="NULL"/>
    <s v="Medium"/>
    <s v="Medium"/>
    <x v="0"/>
    <s v="Medium"/>
  </r>
  <r>
    <n v="21379"/>
    <n v="46"/>
    <s v="Contract"/>
    <x v="1"/>
    <n v="7477.09"/>
    <n v="7477.09"/>
    <n v="20019.650000000001"/>
    <n v="20019.650000000001"/>
    <n v="36"/>
    <n v="17.2"/>
    <m/>
    <s v="NULL"/>
    <m/>
    <s v="NULL"/>
    <n v="15"/>
    <n v="15"/>
    <s v="Performing"/>
    <s v="Performing"/>
    <x v="2"/>
    <n v="7.4374039751947479E-2"/>
    <s v="Healthy"/>
    <s v="Good"/>
    <s v="Medium"/>
    <s v="Low"/>
    <x v="0"/>
    <s v="Medium"/>
  </r>
  <r>
    <n v="25975"/>
    <n v="31"/>
    <s v="Self-Employed"/>
    <x v="0"/>
    <n v="5247.8"/>
    <n v="5247.8"/>
    <n v="20347.400000000001"/>
    <n v="20347.400000000001"/>
    <n v="12"/>
    <n v="25.46"/>
    <m/>
    <s v="NULL"/>
    <n v="8.5"/>
    <n v="8.5"/>
    <n v="30"/>
    <n v="30"/>
    <s v="Non performing"/>
    <s v="Non-Performing"/>
    <x v="2"/>
    <n v="0.32311000165148568"/>
    <s v="Stretched"/>
    <s v="At Risk"/>
    <s v="Medium"/>
    <s v="Medium"/>
    <x v="0"/>
    <s v="Medium"/>
  </r>
  <r>
    <n v="24806"/>
    <n v="45"/>
    <s v="Self employed"/>
    <x v="0"/>
    <n v="5811.39"/>
    <n v="5811.39"/>
    <n v="32110.01"/>
    <n v="32110.01"/>
    <n v="12"/>
    <n v="24.41"/>
    <n v="0"/>
    <n v="0"/>
    <n v="3.4"/>
    <n v="3.4"/>
    <n v="15"/>
    <n v="15"/>
    <s v="Performing "/>
    <s v="Performing "/>
    <x v="2"/>
    <n v="0.46044649673600746"/>
    <s v="High Stress"/>
    <s v="Good"/>
    <s v="High"/>
    <s v="Medium"/>
    <x v="0"/>
    <s v="Medium"/>
  </r>
  <r>
    <n v="22108"/>
    <n v="53"/>
    <s v="Contract"/>
    <x v="1"/>
    <n v="3452.22"/>
    <n v="3452.22"/>
    <n v="19054.34"/>
    <n v="19054.34"/>
    <n v="24"/>
    <n v="24.47"/>
    <n v="4"/>
    <n v="4"/>
    <n v="6.3"/>
    <n v="6.3"/>
    <n v="15"/>
    <n v="15"/>
    <s v="Performing"/>
    <s v="Performing"/>
    <x v="3"/>
    <n v="0.22997689409520058"/>
    <s v="Healthy"/>
    <s v="Good"/>
    <s v="Medium"/>
    <s v="Low"/>
    <x v="0"/>
    <s v="Medium"/>
  </r>
  <r>
    <n v="21360"/>
    <n v="26"/>
    <s v="Self employed"/>
    <x v="0"/>
    <n v="2443.39"/>
    <n v="2443.39"/>
    <n v="20471.75"/>
    <n v="20471.75"/>
    <n v="24"/>
    <n v="9.4499999999999993"/>
    <m/>
    <s v="NULL"/>
    <n v="2.2999999999999998"/>
    <n v="2.2999999999999998"/>
    <n v="30"/>
    <n v="30"/>
    <s v="Performing"/>
    <s v="Performing"/>
    <x v="2"/>
    <n v="0.34910087351316543"/>
    <s v="Stretched"/>
    <s v="At Risk"/>
    <s v="Medium"/>
    <s v="Medium"/>
    <x v="0"/>
    <s v="Medium"/>
  </r>
  <r>
    <n v="22214"/>
    <n v="31"/>
    <s v="Self employed"/>
    <x v="0"/>
    <n v="5796.51"/>
    <n v="5796.51"/>
    <n v="21131.38"/>
    <n v="21131.38"/>
    <n v="48"/>
    <n v="12.74"/>
    <n v="3"/>
    <n v="3"/>
    <n v="11.9"/>
    <n v="11.9"/>
    <n v="0"/>
    <n v="0"/>
    <s v="Performing"/>
    <s v="Performing"/>
    <x v="2"/>
    <n v="7.5948645535560771E-2"/>
    <s v="Healthy"/>
    <s v="Good"/>
    <s v="Medium"/>
    <s v="Medium"/>
    <x v="1"/>
    <s v="Medium"/>
  </r>
  <r>
    <n v="23443"/>
    <n v="25"/>
    <s v="Unemployed"/>
    <x v="3"/>
    <n v="2860.98"/>
    <n v="2860.98"/>
    <n v="31787.82"/>
    <n v="31787.82"/>
    <n v="18"/>
    <n v="17.059999999999999"/>
    <n v="3"/>
    <n v="3"/>
    <n v="-2.1"/>
    <n v="2.1"/>
    <n v="0"/>
    <n v="0"/>
    <s v="Performing "/>
    <s v="Performing "/>
    <x v="4"/>
    <n v="0.61726750973442668"/>
    <s v="High Stress"/>
    <s v="Good"/>
    <s v="High"/>
    <s v="Low"/>
    <x v="0"/>
    <s v="Medium"/>
  </r>
  <r>
    <n v="21111"/>
    <n v="21"/>
    <s v="Contract"/>
    <x v="1"/>
    <n v="4288.9399999999996"/>
    <n v="4288.9399999999996"/>
    <n v="25959.27"/>
    <n v="25959.27"/>
    <n v="60"/>
    <n v="13.7"/>
    <n v="4"/>
    <n v="4"/>
    <n v="12.6"/>
    <n v="12.6"/>
    <n v="60"/>
    <n v="60"/>
    <s v="Non performing"/>
    <s v="Non-Performing"/>
    <x v="3"/>
    <n v="0.10087679006934115"/>
    <s v="Healthy"/>
    <s v="High Risk"/>
    <s v="Medium"/>
    <s v="Low"/>
    <x v="0"/>
    <s v="Medium"/>
  </r>
  <r>
    <n v="25093"/>
    <n v="39"/>
    <s v="Self employed"/>
    <x v="0"/>
    <n v="6657.09"/>
    <n v="6657.09"/>
    <n v="34688.29"/>
    <n v="34688.29"/>
    <n v="12"/>
    <n v="6.55"/>
    <n v="2"/>
    <n v="2"/>
    <n v="13"/>
    <n v="13"/>
    <n v="90"/>
    <n v="90"/>
    <s v="Performing"/>
    <s v="Performing"/>
    <x v="2"/>
    <n v="0.43422739264954108"/>
    <s v="Stretched"/>
    <s v="High Risk"/>
    <s v="High"/>
    <s v="Medium"/>
    <x v="0"/>
    <s v="Medium"/>
  </r>
  <r>
    <n v="22708"/>
    <n v="45"/>
    <s v="Unemployed"/>
    <x v="3"/>
    <n v="5609.82"/>
    <n v="5609.82"/>
    <n v="23635.34"/>
    <n v="23635.34"/>
    <n v="18"/>
    <n v="9.42"/>
    <n v="3"/>
    <n v="3"/>
    <n v="6.3"/>
    <n v="6.3"/>
    <n v="0"/>
    <n v="0"/>
    <s v="Performing "/>
    <s v="Performing "/>
    <x v="3"/>
    <n v="0.23406712594066201"/>
    <s v="Healthy"/>
    <s v="Good"/>
    <s v="Medium"/>
    <s v="Low"/>
    <x v="0"/>
    <s v="Medium"/>
  </r>
  <r>
    <n v="22413"/>
    <n v="59"/>
    <s v="Unemployed"/>
    <x v="3"/>
    <n v="6993.31"/>
    <n v="6993.31"/>
    <n v="35540.480000000003"/>
    <n v="35540.480000000003"/>
    <n v="18"/>
    <n v="16.87"/>
    <n v="1"/>
    <n v="1"/>
    <n v="12.8"/>
    <n v="12.8"/>
    <n v="90"/>
    <n v="90"/>
    <s v="Performing "/>
    <s v="Performing "/>
    <x v="3"/>
    <n v="0.28233713522081977"/>
    <s v="Healthy"/>
    <s v="High Risk"/>
    <s v="High"/>
    <s v="Low"/>
    <x v="0"/>
    <s v="Medium"/>
  </r>
  <r>
    <n v="23386"/>
    <n v="21"/>
    <s v="Unemployed"/>
    <x v="3"/>
    <n v="7578.16"/>
    <n v="7578.16"/>
    <n v="19957.75"/>
    <n v="19957.75"/>
    <n v="36"/>
    <n v="13.65"/>
    <n v="3"/>
    <n v="3"/>
    <n v="0.9"/>
    <n v="0.9"/>
    <n v="60"/>
    <n v="60"/>
    <s v="Non performing"/>
    <s v="Non-Performing"/>
    <x v="3"/>
    <n v="7.3155217684034698E-2"/>
    <s v="Healthy"/>
    <s v="High Risk"/>
    <s v="Medium"/>
    <s v="Low"/>
    <x v="0"/>
    <s v="Medium"/>
  </r>
  <r>
    <n v="22543"/>
    <n v="21"/>
    <s v="Salaried"/>
    <x v="2"/>
    <n v="9625.2099999999991"/>
    <n v="9625.2099999999991"/>
    <n v="25382.28"/>
    <n v="25382.28"/>
    <n v="36"/>
    <n v="12.92"/>
    <n v="2"/>
    <n v="2"/>
    <n v="4.0999999999999996"/>
    <n v="4.0999999999999996"/>
    <n v="0"/>
    <n v="0"/>
    <s v="Performing"/>
    <s v="Performing"/>
    <x v="0"/>
    <n v="7.3251735113658137E-2"/>
    <s v="Healthy"/>
    <s v="Good"/>
    <s v="Medium"/>
    <s v="High"/>
    <x v="1"/>
    <s v="High"/>
  </r>
  <r>
    <n v="20344"/>
    <n v="46"/>
    <s v="Contract"/>
    <x v="1"/>
    <n v="6481.59"/>
    <n v="6481.59"/>
    <n v="16987.669999999998"/>
    <n v="16987.669999999998"/>
    <n v="48"/>
    <n v="15.35"/>
    <n v="0"/>
    <n v="0"/>
    <n v="15.1"/>
    <n v="15.1"/>
    <n v="60"/>
    <n v="60"/>
    <s v="Performing"/>
    <s v="Performing"/>
    <x v="3"/>
    <n v="5.4602310801310575E-2"/>
    <s v="Healthy"/>
    <s v="High Risk"/>
    <s v="Medium"/>
    <s v="Low"/>
    <x v="0"/>
    <s v="Medium"/>
  </r>
  <r>
    <n v="25702"/>
    <n v="30"/>
    <s v="Unemployed"/>
    <x v="3"/>
    <n v="5227.03"/>
    <n v="5227.03"/>
    <n v="27897.14"/>
    <n v="27897.14"/>
    <n v="36"/>
    <n v="12.43"/>
    <n v="3"/>
    <n v="3"/>
    <n v="4.9000000000000004"/>
    <n v="4.9000000000000004"/>
    <n v="30"/>
    <n v="30"/>
    <s v="Non performing"/>
    <s v="Non-Performing"/>
    <x v="1"/>
    <n v="0.14825255557277375"/>
    <s v="Healthy"/>
    <s v="At Risk"/>
    <s v="Medium"/>
    <s v="Low"/>
    <x v="0"/>
    <s v="Medium"/>
  </r>
  <r>
    <n v="25849"/>
    <n v="58"/>
    <s v="Salaried "/>
    <x v="2"/>
    <n v="4998.67"/>
    <n v="4998.67"/>
    <n v="18683.14"/>
    <n v="18683.14"/>
    <n v="36"/>
    <n v="15.6"/>
    <n v="4"/>
    <n v="4"/>
    <n v="7.3"/>
    <n v="7.3"/>
    <n v="90"/>
    <n v="90"/>
    <s v="Performing "/>
    <s v="Performing "/>
    <x v="1"/>
    <n v="0.10382283909742214"/>
    <s v="Healthy"/>
    <s v="High Risk"/>
    <s v="Medium"/>
    <s v="High"/>
    <x v="0"/>
    <s v="Medium"/>
  </r>
  <r>
    <n v="21563"/>
    <n v="47"/>
    <s v="Contract"/>
    <x v="1"/>
    <n v="10467.98"/>
    <n v="10467.98"/>
    <n v="23590.1"/>
    <n v="23590.1"/>
    <n v="24"/>
    <n v="19.03"/>
    <m/>
    <s v="NULL"/>
    <n v="5.4"/>
    <n v="5.4"/>
    <n v="0"/>
    <n v="0"/>
    <s v="Written Off"/>
    <s v="Written Off"/>
    <x v="4"/>
    <n v="9.3897851670841304E-2"/>
    <s v="Healthy"/>
    <s v="Good"/>
    <s v="Medium"/>
    <s v="Low"/>
    <x v="0"/>
    <s v="High"/>
  </r>
  <r>
    <n v="21526"/>
    <n v="18"/>
    <s v="Self employed"/>
    <x v="0"/>
    <n v="9397.16"/>
    <n v="9397.16"/>
    <n v="17057.580000000002"/>
    <n v="17057.580000000002"/>
    <n v="6"/>
    <n v="27.05"/>
    <n v="3"/>
    <n v="3"/>
    <n v="3"/>
    <n v="3"/>
    <n v="60"/>
    <n v="60"/>
    <s v="Non performing"/>
    <s v="Non-Performing"/>
    <x v="0"/>
    <n v="0.30253076461398981"/>
    <s v="Stretched"/>
    <s v="High Risk"/>
    <s v="Medium"/>
    <s v="Medium"/>
    <x v="0"/>
    <s v="High"/>
  </r>
  <r>
    <n v="25411"/>
    <n v="55"/>
    <s v="Unemployed"/>
    <x v="3"/>
    <n v="5319.43"/>
    <n v="5319.43"/>
    <n v="27090.76"/>
    <n v="27090.76"/>
    <n v="24"/>
    <n v="19.489999999999998"/>
    <n v="2"/>
    <n v="2"/>
    <n v="6"/>
    <n v="6"/>
    <n v="0"/>
    <n v="0"/>
    <s v="Performing "/>
    <s v="Performing "/>
    <x v="4"/>
    <n v="0.21219974069903477"/>
    <s v="Healthy"/>
    <s v="Good"/>
    <s v="Medium"/>
    <s v="Low"/>
    <x v="0"/>
    <s v="Medium"/>
  </r>
  <r>
    <n v="22641"/>
    <n v="30"/>
    <s v="Self-Employed"/>
    <x v="0"/>
    <n v="6025.68"/>
    <n v="6025.68"/>
    <n v="22545.56"/>
    <n v="22545.56"/>
    <n v="24"/>
    <n v="19.82"/>
    <m/>
    <s v="NULL"/>
    <n v="8.9"/>
    <n v="8.9"/>
    <n v="0"/>
    <n v="0"/>
    <s v="Performing "/>
    <s v="Performing "/>
    <x v="3"/>
    <n v="0.15589914056726101"/>
    <s v="Healthy"/>
    <s v="Good"/>
    <s v="Medium"/>
    <s v="Medium"/>
    <x v="1"/>
    <s v="Medium"/>
  </r>
  <r>
    <n v="25930"/>
    <n v="40"/>
    <s v="Unemployed"/>
    <x v="3"/>
    <n v="2129"/>
    <n v="2129"/>
    <n v="18982.099999999999"/>
    <n v="18982.099999999999"/>
    <n v="60"/>
    <n v="17.87"/>
    <n v="4"/>
    <n v="4"/>
    <n v="4"/>
    <n v="4"/>
    <n v="90"/>
    <n v="90"/>
    <s v="Performing "/>
    <s v="Performing "/>
    <x v="4"/>
    <n v="0.14859949898230781"/>
    <s v="Healthy"/>
    <s v="High Risk"/>
    <s v="Medium"/>
    <s v="Low"/>
    <x v="0"/>
    <s v="Medium"/>
  </r>
  <r>
    <n v="23924"/>
    <n v="58"/>
    <s v="Self-Employed"/>
    <x v="0"/>
    <n v="1669.73"/>
    <n v="1669.73"/>
    <n v="24444.03"/>
    <n v="24444.03"/>
    <n v="60"/>
    <n v="18.88"/>
    <n v="0"/>
    <n v="0"/>
    <n v="7.6"/>
    <n v="7.6"/>
    <n v="15"/>
    <n v="15"/>
    <s v="Non performing"/>
    <s v="Non-Performing"/>
    <x v="0"/>
    <n v="0.24399184299257962"/>
    <s v="Healthy"/>
    <s v="Good"/>
    <s v="Medium"/>
    <s v="Medium"/>
    <x v="1"/>
    <s v="Low"/>
  </r>
  <r>
    <n v="21827"/>
    <n v="37"/>
    <s v="Salaried"/>
    <x v="2"/>
    <n v="8465.2000000000007"/>
    <n v="8465.2000000000007"/>
    <n v="29504.75"/>
    <n v="29504.75"/>
    <n v="18"/>
    <n v="19.11"/>
    <m/>
    <s v="NULL"/>
    <n v="7.5"/>
    <n v="7.5"/>
    <n v="60"/>
    <n v="60"/>
    <s v="Performing"/>
    <s v="Performing"/>
    <x v="2"/>
    <n v="0.19363426472827314"/>
    <s v="Healthy"/>
    <s v="High Risk"/>
    <s v="Medium"/>
    <s v="High"/>
    <x v="0"/>
    <s v="High"/>
  </r>
  <r>
    <n v="23008"/>
    <n v="42"/>
    <s v="Self-Employed"/>
    <x v="0"/>
    <n v="2871.78"/>
    <n v="2871.78"/>
    <n v="37851.199999999997"/>
    <n v="37851.199999999997"/>
    <n v="12"/>
    <n v="19.21"/>
    <n v="0"/>
    <n v="0"/>
    <n v="4.7"/>
    <n v="4.7"/>
    <m/>
    <s v="NULL"/>
    <s v="Written Off"/>
    <s v="Written Off"/>
    <x v="0"/>
    <n v="1.0983664022545829"/>
    <s v="High Stress"/>
    <s v="NULL"/>
    <s v="High"/>
    <s v="Medium"/>
    <x v="0"/>
    <s v="Medium"/>
  </r>
  <r>
    <n v="22891"/>
    <n v="51"/>
    <s v="Contract"/>
    <x v="1"/>
    <n v="3123.88"/>
    <n v="3123.88"/>
    <n v="21558.99"/>
    <n v="21558.99"/>
    <n v="60"/>
    <n v="13.77"/>
    <n v="3"/>
    <n v="3"/>
    <n v="3.2"/>
    <n v="3.2"/>
    <n v="30"/>
    <n v="30"/>
    <s v="Performing"/>
    <s v="Performing"/>
    <x v="0"/>
    <n v="0.11502250406545705"/>
    <s v="Healthy"/>
    <s v="At Risk"/>
    <s v="Medium"/>
    <s v="Low"/>
    <x v="0"/>
    <s v="Medium"/>
  </r>
  <r>
    <n v="22885"/>
    <n v="64"/>
    <s v="Salaried"/>
    <x v="2"/>
    <n v="6479.86"/>
    <n v="6479.86"/>
    <n v="8633.41"/>
    <n v="8633.41"/>
    <n v="48"/>
    <n v="18.27"/>
    <n v="2"/>
    <n v="2"/>
    <n v="14.4"/>
    <n v="14.4"/>
    <n v="0"/>
    <n v="0"/>
    <s v="Non-Performing"/>
    <s v="Non-Performing"/>
    <x v="2"/>
    <n v="2.7757190484568085E-2"/>
    <s v="Healthy"/>
    <s v="Good"/>
    <s v="Small"/>
    <s v="High"/>
    <x v="1"/>
    <s v="Medium"/>
  </r>
  <r>
    <n v="23268"/>
    <n v="26"/>
    <s v="Salaried"/>
    <x v="2"/>
    <n v="7402.13"/>
    <n v="7402.13"/>
    <n v="20756.900000000001"/>
    <n v="20756.900000000001"/>
    <n v="24"/>
    <n v="29.66"/>
    <n v="0"/>
    <n v="0"/>
    <n v="10.1"/>
    <n v="10.1"/>
    <n v="15"/>
    <n v="15"/>
    <s v="Performing"/>
    <s v="Performing"/>
    <x v="3"/>
    <n v="0.11684080573204381"/>
    <s v="Healthy"/>
    <s v="Good"/>
    <s v="Medium"/>
    <s v="High"/>
    <x v="1"/>
    <s v="Medium"/>
  </r>
  <r>
    <n v="23589"/>
    <n v="48"/>
    <s v="Self employed"/>
    <x v="0"/>
    <n v="1873.02"/>
    <n v="1873.02"/>
    <n v="17986.27"/>
    <n v="17986.27"/>
    <n v="60"/>
    <n v="15.76"/>
    <n v="3"/>
    <n v="3"/>
    <n v="12.3"/>
    <n v="12.3"/>
    <n v="60"/>
    <n v="60"/>
    <s v="Written Off"/>
    <s v="Written Off"/>
    <x v="4"/>
    <n v="0.16004696515075476"/>
    <s v="Healthy"/>
    <s v="High Risk"/>
    <s v="Medium"/>
    <s v="Medium"/>
    <x v="0"/>
    <s v="Low"/>
  </r>
  <r>
    <n v="24331"/>
    <n v="59"/>
    <s v="Contract"/>
    <x v="1"/>
    <n v="4590.3100000000004"/>
    <n v="4590.3100000000004"/>
    <n v="20437.55"/>
    <n v="20437.55"/>
    <n v="48"/>
    <n v="18.03"/>
    <n v="3"/>
    <n v="3"/>
    <n v="10.199999999999999"/>
    <n v="10.199999999999999"/>
    <n v="0"/>
    <n v="0"/>
    <s v="Performing"/>
    <s v="Performing"/>
    <x v="0"/>
    <n v="9.2756761888993691E-2"/>
    <s v="Healthy"/>
    <s v="Good"/>
    <s v="Medium"/>
    <s v="Low"/>
    <x v="0"/>
    <s v="Medium"/>
  </r>
  <r>
    <n v="22875"/>
    <n v="26"/>
    <s v="Contract"/>
    <x v="1"/>
    <n v="5068.3999999999996"/>
    <n v="5068.3999999999996"/>
    <n v="36255.879999999997"/>
    <n v="36255.879999999997"/>
    <n v="36"/>
    <n v="13.44"/>
    <n v="3"/>
    <n v="3"/>
    <n v="-1.3"/>
    <n v="1.3"/>
    <n v="60"/>
    <n v="60"/>
    <s v="Written Off"/>
    <s v="Written Off"/>
    <x v="3"/>
    <n v="0.19870329448697374"/>
    <s v="Healthy"/>
    <s v="High Risk"/>
    <s v="High"/>
    <s v="Low"/>
    <x v="0"/>
    <s v="Medium"/>
  </r>
  <r>
    <n v="24721"/>
    <n v="34"/>
    <s v="Unemployed"/>
    <x v="3"/>
    <n v="6696.94"/>
    <n v="6696.94"/>
    <n v="22630.880000000001"/>
    <n v="22630.880000000001"/>
    <n v="36"/>
    <n v="14.2"/>
    <n v="3"/>
    <n v="3"/>
    <n v="9.4"/>
    <n v="9.4"/>
    <n v="15"/>
    <n v="15"/>
    <s v="Non-Performing"/>
    <s v="Non-Performing"/>
    <x v="2"/>
    <n v="9.386907386889469E-2"/>
    <s v="Healthy"/>
    <s v="Good"/>
    <s v="Medium"/>
    <s v="Low"/>
    <x v="0"/>
    <s v="Medium"/>
  </r>
  <r>
    <n v="25049"/>
    <n v="24"/>
    <s v="Unemployed"/>
    <x v="3"/>
    <n v="4993.46"/>
    <n v="4993.46"/>
    <n v="16819.95"/>
    <n v="16819.95"/>
    <n v="48"/>
    <n v="13.33"/>
    <m/>
    <s v="NULL"/>
    <n v="13.2"/>
    <n v="13.2"/>
    <n v="0"/>
    <n v="0"/>
    <s v="Performing"/>
    <s v="Performing"/>
    <x v="0"/>
    <n v="7.01749137872337E-2"/>
    <s v="Healthy"/>
    <s v="Good"/>
    <s v="Medium"/>
    <s v="Low"/>
    <x v="0"/>
    <s v="Medium"/>
  </r>
  <r>
    <n v="21867"/>
    <n v="40"/>
    <s v="Salaried "/>
    <x v="2"/>
    <n v="7100.31"/>
    <n v="7100.31"/>
    <n v="21465.93"/>
    <n v="21465.93"/>
    <n v="36"/>
    <n v="29.1"/>
    <n v="3"/>
    <n v="3"/>
    <n v="0.4"/>
    <n v="0.4"/>
    <n v="0"/>
    <n v="0"/>
    <s v="Non-Performing"/>
    <s v="Non-Performing"/>
    <x v="4"/>
    <n v="8.3978845055122001E-2"/>
    <s v="Healthy"/>
    <s v="Good"/>
    <s v="Medium"/>
    <s v="High"/>
    <x v="1"/>
    <s v="Medium"/>
  </r>
  <r>
    <n v="23145"/>
    <n v="18"/>
    <s v="Self-Employed"/>
    <x v="0"/>
    <n v="4774.72"/>
    <n v="4774.72"/>
    <n v="21862.400000000001"/>
    <n v="21862.400000000001"/>
    <n v="6"/>
    <n v="15.88"/>
    <n v="4"/>
    <n v="4"/>
    <n v="11.5"/>
    <n v="11.5"/>
    <n v="0"/>
    <n v="0"/>
    <s v="Written Off"/>
    <s v="Written Off"/>
    <x v="4"/>
    <n v="0.76313026383397009"/>
    <s v="High Stress"/>
    <s v="Good"/>
    <s v="Medium"/>
    <s v="Medium"/>
    <x v="0"/>
    <s v="Medium"/>
  </r>
  <r>
    <n v="21886"/>
    <n v="30"/>
    <s v="Salaried "/>
    <x v="2"/>
    <n v="7387.74"/>
    <n v="7387.74"/>
    <n v="8282.25"/>
    <n v="8282.25"/>
    <n v="18"/>
    <n v="22.84"/>
    <n v="0"/>
    <n v="0"/>
    <n v="0.3"/>
    <n v="0.3"/>
    <n v="30"/>
    <n v="30"/>
    <s v="Non-Performing"/>
    <s v="Non-Performing"/>
    <x v="2"/>
    <n v="6.2282240576955875E-2"/>
    <s v="Healthy"/>
    <s v="At Risk"/>
    <s v="Small"/>
    <s v="High"/>
    <x v="0"/>
    <s v="Medium"/>
  </r>
  <r>
    <n v="23585"/>
    <n v="31"/>
    <s v="Self-Employed"/>
    <x v="0"/>
    <n v="6455.55"/>
    <n v="6455.55"/>
    <n v="19999.05"/>
    <n v="19999.05"/>
    <n v="12"/>
    <n v="21.68"/>
    <n v="3"/>
    <n v="3"/>
    <n v="4.0999999999999996"/>
    <n v="4.0999999999999996"/>
    <n v="90"/>
    <n v="90"/>
    <s v="Performing"/>
    <s v="Performing"/>
    <x v="1"/>
    <n v="0.25816351821301048"/>
    <s v="Healthy"/>
    <s v="High Risk"/>
    <s v="Medium"/>
    <s v="Medium"/>
    <x v="0"/>
    <s v="Medium"/>
  </r>
  <r>
    <n v="23765"/>
    <n v="64"/>
    <s v="Salaried"/>
    <x v="2"/>
    <n v="5917.34"/>
    <n v="5917.34"/>
    <n v="6137.21"/>
    <n v="6137.21"/>
    <n v="24"/>
    <n v="26.6"/>
    <m/>
    <s v="NULL"/>
    <n v="6.1"/>
    <n v="6.1"/>
    <n v="60"/>
    <n v="60"/>
    <s v="Performing"/>
    <s v="Performing"/>
    <x v="2"/>
    <n v="4.3214870758370036E-2"/>
    <s v="Healthy"/>
    <s v="High Risk"/>
    <s v="Small"/>
    <s v="High"/>
    <x v="0"/>
    <s v="Medium"/>
  </r>
  <r>
    <n v="24722"/>
    <n v="59"/>
    <s v="Salaried"/>
    <x v="2"/>
    <n v="7361.49"/>
    <n v="7361.49"/>
    <n v="8892.58"/>
    <n v="8892.58"/>
    <n v="60"/>
    <n v="20.350000000000001"/>
    <n v="4"/>
    <n v="4"/>
    <n v="3.3"/>
    <n v="3.3"/>
    <n v="0"/>
    <n v="0"/>
    <s v="Performing "/>
    <s v="Performing "/>
    <x v="1"/>
    <n v="2.0133107111015118E-2"/>
    <s v="Healthy"/>
    <s v="Good"/>
    <s v="Small"/>
    <s v="High"/>
    <x v="1"/>
    <s v="Medium"/>
  </r>
  <r>
    <n v="21557"/>
    <n v="46"/>
    <s v="Self employed"/>
    <x v="0"/>
    <n v="8634.24"/>
    <n v="8634.24"/>
    <n v="27214.95"/>
    <n v="27214.95"/>
    <n v="12"/>
    <n v="20.62"/>
    <n v="2"/>
    <n v="2"/>
    <n v="2.1"/>
    <n v="2.1"/>
    <n v="0"/>
    <n v="0"/>
    <s v="Performing "/>
    <s v="Performing "/>
    <x v="4"/>
    <n v="0.26266498267363425"/>
    <s v="Healthy"/>
    <s v="Good"/>
    <s v="Medium"/>
    <s v="Medium"/>
    <x v="1"/>
    <s v="High"/>
  </r>
  <r>
    <n v="21661"/>
    <n v="57"/>
    <s v="Unemployed"/>
    <x v="3"/>
    <n v="4031.39"/>
    <n v="4031.39"/>
    <n v="19875.97"/>
    <n v="19875.97"/>
    <n v="36"/>
    <n v="25.31"/>
    <n v="3"/>
    <n v="3"/>
    <n v="4.3"/>
    <n v="4.3"/>
    <n v="0"/>
    <n v="0"/>
    <s v="Non-Performing"/>
    <s v="Non-Performing"/>
    <x v="2"/>
    <n v="0.1369528320945822"/>
    <s v="Healthy"/>
    <s v="Good"/>
    <s v="Medium"/>
    <s v="Low"/>
    <x v="0"/>
    <s v="Medium"/>
  </r>
  <r>
    <n v="25598"/>
    <n v="28"/>
    <s v="Unemployed"/>
    <x v="3"/>
    <n v="5077.8599999999997"/>
    <n v="5077.8599999999997"/>
    <n v="19755.12"/>
    <n v="19755.12"/>
    <n v="18"/>
    <n v="24.2"/>
    <m/>
    <s v="NULL"/>
    <n v="0.3"/>
    <n v="0.3"/>
    <n v="15"/>
    <n v="15"/>
    <s v="Written Off"/>
    <s v="Written Off"/>
    <x v="0"/>
    <n v="0.21613566870033177"/>
    <s v="Healthy"/>
    <s v="Good"/>
    <s v="Medium"/>
    <s v="Low"/>
    <x v="0"/>
    <s v="Medium"/>
  </r>
  <r>
    <n v="21568"/>
    <n v="18"/>
    <s v="Self-Employed"/>
    <x v="0"/>
    <n v="6897.45"/>
    <n v="6897.45"/>
    <n v="20819.79"/>
    <n v="20819.79"/>
    <n v="60"/>
    <n v="22.16"/>
    <n v="2"/>
    <n v="2"/>
    <n v="4.7"/>
    <n v="4.7"/>
    <n v="15"/>
    <n v="15"/>
    <s v="Performing "/>
    <s v="Performing "/>
    <x v="0"/>
    <n v="5.0307939890829219E-2"/>
    <s v="Healthy"/>
    <s v="Good"/>
    <s v="Medium"/>
    <s v="Medium"/>
    <x v="1"/>
    <s v="Medium"/>
  </r>
  <r>
    <n v="23441"/>
    <n v="23"/>
    <s v="Contract"/>
    <x v="1"/>
    <n v="6698.04"/>
    <n v="6698.04"/>
    <n v="31121.49"/>
    <n v="31121.49"/>
    <n v="18"/>
    <n v="21.54"/>
    <n v="3"/>
    <n v="3"/>
    <n v="8.1999999999999993"/>
    <n v="8.1999999999999993"/>
    <n v="0"/>
    <n v="0"/>
    <s v="Performing "/>
    <s v="Performing "/>
    <x v="4"/>
    <n v="0.25813098558185182"/>
    <s v="Healthy"/>
    <s v="Good"/>
    <s v="High"/>
    <s v="Low"/>
    <x v="0"/>
    <s v="Medium"/>
  </r>
  <r>
    <n v="25682"/>
    <n v="49"/>
    <s v="Salaried "/>
    <x v="2"/>
    <n v="2871"/>
    <n v="2871"/>
    <n v="6242.95"/>
    <n v="6242.95"/>
    <n v="12"/>
    <n v="7.97"/>
    <n v="3"/>
    <n v="3"/>
    <n v="2.2000000000000002"/>
    <n v="2.2000000000000002"/>
    <n v="15"/>
    <n v="15"/>
    <s v="Non performing"/>
    <s v="Non-Performing"/>
    <x v="4"/>
    <n v="0.18120718681063508"/>
    <s v="Healthy"/>
    <s v="Good"/>
    <s v="Small"/>
    <s v="High"/>
    <x v="1"/>
    <s v="Medium"/>
  </r>
  <r>
    <n v="24331"/>
    <n v="60"/>
    <s v="Unemployed"/>
    <x v="3"/>
    <n v="6451.37"/>
    <n v="6451.37"/>
    <n v="24530.42"/>
    <n v="24530.42"/>
    <n v="60"/>
    <n v="14.99"/>
    <n v="3"/>
    <n v="3"/>
    <n v="7"/>
    <n v="7"/>
    <n v="120"/>
    <n v="120"/>
    <s v="Non-Performing"/>
    <s v="Non-Performing"/>
    <x v="0"/>
    <n v="6.337263764647405E-2"/>
    <s v="Healthy"/>
    <s v="High Risk"/>
    <s v="Medium"/>
    <s v="Low"/>
    <x v="0"/>
    <s v="Medium"/>
  </r>
  <r>
    <n v="24211"/>
    <n v="33"/>
    <s v="Salaried "/>
    <x v="2"/>
    <n v="4480.6899999999996"/>
    <n v="4480.6899999999996"/>
    <n v="15106.58"/>
    <n v="15106.58"/>
    <n v="18"/>
    <n v="55"/>
    <n v="0"/>
    <n v="0"/>
    <n v="7"/>
    <n v="7"/>
    <n v="90"/>
    <n v="90"/>
    <s v="Non performing"/>
    <s v="Non-Performing"/>
    <x v="2"/>
    <n v="0.18730473307558534"/>
    <s v="Healthy"/>
    <s v="High Risk"/>
    <s v="Medium"/>
    <s v="High"/>
    <x v="0"/>
    <s v="Medium"/>
  </r>
  <r>
    <n v="25953"/>
    <n v="37"/>
    <s v="Salaried "/>
    <x v="2"/>
    <n v="2255.73"/>
    <n v="2255.73"/>
    <n v="22766.2"/>
    <n v="22766.2"/>
    <n v="18"/>
    <n v="14.68"/>
    <n v="1"/>
    <n v="1"/>
    <n v="2.8"/>
    <n v="2.8"/>
    <n v="0"/>
    <n v="0"/>
    <s v="Performing "/>
    <s v="Performing "/>
    <x v="3"/>
    <n v="0.56070047784481691"/>
    <s v="High Stress"/>
    <s v="Good"/>
    <s v="Medium"/>
    <s v="High"/>
    <x v="0"/>
    <s v="Medium"/>
  </r>
  <r>
    <n v="22211"/>
    <n v="51"/>
    <s v="Unemployed"/>
    <x v="3"/>
    <n v="6192.4"/>
    <n v="6192.4"/>
    <n v="31133.279999999999"/>
    <n v="31133.279999999999"/>
    <n v="6"/>
    <n v="22.59"/>
    <n v="0"/>
    <n v="0"/>
    <n v="11.4"/>
    <n v="11.4"/>
    <n v="0"/>
    <n v="0"/>
    <s v="Non-Performing"/>
    <s v="Non-Performing"/>
    <x v="2"/>
    <n v="0.83794328531748608"/>
    <s v="High Stress"/>
    <s v="Good"/>
    <s v="High"/>
    <s v="Low"/>
    <x v="0"/>
    <s v="Medium"/>
  </r>
  <r>
    <n v="20085"/>
    <n v="47"/>
    <s v="Salaried "/>
    <x v="2"/>
    <n v="4800.59"/>
    <n v="4800.59"/>
    <m/>
    <s v="NULL"/>
    <n v="48"/>
    <n v="16.61"/>
    <n v="2"/>
    <n v="2"/>
    <n v="2.5"/>
    <n v="2.5"/>
    <n v="0"/>
    <n v="0"/>
    <s v="Non performing"/>
    <s v="Non-Performing"/>
    <x v="2"/>
    <s v="NULL"/>
    <s v="NULL"/>
    <s v="Good"/>
    <s v="High"/>
    <s v="High"/>
    <x v="0"/>
    <s v="Medium"/>
  </r>
  <r>
    <n v="21104"/>
    <n v="29"/>
    <s v="Contract"/>
    <x v="1"/>
    <n v="7179.19"/>
    <n v="7179.19"/>
    <n v="34283.360000000001"/>
    <n v="34283.360000000001"/>
    <n v="60"/>
    <n v="18.11"/>
    <n v="4"/>
    <n v="4"/>
    <n v="6.4"/>
    <n v="6.4"/>
    <n v="15"/>
    <n v="15"/>
    <s v="Performing"/>
    <s v="Performing"/>
    <x v="1"/>
    <n v="7.9589665872240936E-2"/>
    <s v="Healthy"/>
    <s v="Good"/>
    <s v="High"/>
    <s v="Low"/>
    <x v="0"/>
    <s v="Medium"/>
  </r>
  <r>
    <n v="24498"/>
    <n v="39"/>
    <s v="Salaried"/>
    <x v="2"/>
    <n v="9913.34"/>
    <n v="9913.34"/>
    <n v="25300.89"/>
    <n v="25300.89"/>
    <n v="18"/>
    <n v="23.17"/>
    <m/>
    <s v="NULL"/>
    <n v="2.2000000000000002"/>
    <n v="2.2000000000000002"/>
    <n v="30"/>
    <n v="30"/>
    <s v="Performing "/>
    <s v="Performing "/>
    <x v="1"/>
    <n v="0.14178924560239031"/>
    <s v="Healthy"/>
    <s v="At Risk"/>
    <s v="Medium"/>
    <s v="High"/>
    <x v="0"/>
    <s v="High"/>
  </r>
  <r>
    <n v="22275"/>
    <n v="55"/>
    <s v="Salaried"/>
    <x v="2"/>
    <n v="8492.3700000000008"/>
    <n v="8492.3700000000008"/>
    <n v="30732.2"/>
    <n v="30732.2"/>
    <n v="12"/>
    <n v="19.86"/>
    <m/>
    <s v="NULL"/>
    <n v="8.5"/>
    <n v="8.5"/>
    <n v="60"/>
    <n v="60"/>
    <s v="Written Off"/>
    <s v="Written Off"/>
    <x v="0"/>
    <n v="0.30156677896354805"/>
    <s v="Stretched"/>
    <s v="High Risk"/>
    <s v="High"/>
    <s v="High"/>
    <x v="0"/>
    <s v="High"/>
  </r>
  <r>
    <n v="25240"/>
    <n v="37"/>
    <s v="Salaried"/>
    <x v="2"/>
    <n v="6936.42"/>
    <n v="6936.42"/>
    <n v="28263.62"/>
    <n v="28263.62"/>
    <n v="6"/>
    <n v="26.17"/>
    <n v="0"/>
    <n v="0"/>
    <n v="1.6"/>
    <n v="1.6"/>
    <n v="30"/>
    <n v="30"/>
    <s v="Performing "/>
    <s v="Performing "/>
    <x v="0"/>
    <n v="0.67911160704417162"/>
    <s v="High Stress"/>
    <s v="At Risk"/>
    <s v="Medium"/>
    <s v="High"/>
    <x v="0"/>
    <s v="Medium"/>
  </r>
  <r>
    <n v="21143"/>
    <n v="44"/>
    <s v="Self employed"/>
    <x v="0"/>
    <n v="2880.42"/>
    <n v="2880.42"/>
    <n v="25097.79"/>
    <n v="25097.79"/>
    <n v="18"/>
    <n v="18.18"/>
    <n v="0"/>
    <n v="0"/>
    <n v="8.1"/>
    <n v="8.1"/>
    <n v="0"/>
    <n v="0"/>
    <s v="Performing "/>
    <s v="Performing "/>
    <x v="3"/>
    <n v="0.48406887421510292"/>
    <s v="High Stress"/>
    <s v="Good"/>
    <s v="Medium"/>
    <s v="Medium"/>
    <x v="0"/>
    <s v="Medium"/>
  </r>
  <r>
    <n v="23876"/>
    <n v="44"/>
    <s v="Self employed"/>
    <x v="0"/>
    <n v="2943.08"/>
    <n v="2943.08"/>
    <n v="4221.09"/>
    <n v="4221.09"/>
    <n v="6"/>
    <n v="21.75"/>
    <n v="2"/>
    <n v="2"/>
    <n v="10.6"/>
    <n v="10.6"/>
    <n v="60"/>
    <n v="60"/>
    <s v="Performing "/>
    <s v="Performing "/>
    <x v="4"/>
    <n v="0.23904039305761313"/>
    <s v="Healthy"/>
    <s v="High Risk"/>
    <s v="Small"/>
    <s v="Medium"/>
    <x v="0"/>
    <s v="Medium"/>
  </r>
  <r>
    <n v="20854"/>
    <n v="24"/>
    <s v="Salaried"/>
    <x v="2"/>
    <n v="1369.12"/>
    <n v="1369.12"/>
    <n v="26403.49"/>
    <n v="26403.49"/>
    <n v="60"/>
    <n v="55"/>
    <n v="2"/>
    <n v="2"/>
    <n v="5"/>
    <n v="5"/>
    <n v="0"/>
    <n v="0"/>
    <s v="Written Off"/>
    <s v="Written Off"/>
    <x v="1"/>
    <n v="0.32141679813797674"/>
    <s v="Stretched"/>
    <s v="Good"/>
    <s v="Medium"/>
    <s v="High"/>
    <x v="0"/>
    <s v="Low"/>
  </r>
  <r>
    <n v="20999"/>
    <n v="42"/>
    <s v="Contract"/>
    <x v="1"/>
    <n v="8241.4699999999993"/>
    <n v="8241.4699999999993"/>
    <n v="23610.03"/>
    <n v="23610.03"/>
    <n v="24"/>
    <n v="22.85"/>
    <n v="2"/>
    <n v="2"/>
    <n v="6.4"/>
    <n v="6.4"/>
    <n v="0"/>
    <n v="0"/>
    <s v="Non-Performing"/>
    <s v="Non-Performing"/>
    <x v="1"/>
    <n v="0.1193659929599938"/>
    <s v="Healthy"/>
    <s v="Good"/>
    <s v="Medium"/>
    <s v="Low"/>
    <x v="0"/>
    <s v="High"/>
  </r>
  <r>
    <n v="23246"/>
    <n v="49"/>
    <s v="Unemployed"/>
    <x v="3"/>
    <n v="5746.28"/>
    <n v="5746.28"/>
    <n v="23591.15"/>
    <n v="23591.15"/>
    <n v="18"/>
    <n v="28.58"/>
    <m/>
    <s v="NULL"/>
    <n v="5.9"/>
    <n v="5.9"/>
    <n v="15"/>
    <n v="15"/>
    <s v="Performing "/>
    <s v="Performing "/>
    <x v="3"/>
    <n v="0.22808137515826668"/>
    <s v="Healthy"/>
    <s v="Good"/>
    <s v="Medium"/>
    <s v="Low"/>
    <x v="0"/>
    <s v="Medium"/>
  </r>
  <r>
    <n v="23929"/>
    <n v="38"/>
    <s v="Salaried "/>
    <x v="2"/>
    <n v="6999.13"/>
    <n v="6999.13"/>
    <n v="2494.88"/>
    <n v="2494.88"/>
    <n v="18"/>
    <n v="31.9"/>
    <n v="4"/>
    <n v="4"/>
    <n v="3.7"/>
    <n v="3.7"/>
    <n v="30"/>
    <n v="30"/>
    <s v="Performing "/>
    <s v="Performing "/>
    <x v="0"/>
    <n v="1.9803096162586558E-2"/>
    <s v="Healthy"/>
    <s v="At Risk"/>
    <s v="Small"/>
    <s v="High"/>
    <x v="0"/>
    <s v="Medium"/>
  </r>
  <r>
    <n v="21469"/>
    <n v="41"/>
    <s v="Contract"/>
    <x v="1"/>
    <n v="5013.6899999999996"/>
    <n v="5013.6899999999996"/>
    <n v="20706.7"/>
    <n v="20706.7"/>
    <n v="6"/>
    <n v="19.97"/>
    <n v="1"/>
    <n v="1"/>
    <n v="4"/>
    <n v="4"/>
    <n v="90"/>
    <n v="90"/>
    <s v="Non performing"/>
    <s v="Non-Performing"/>
    <x v="3"/>
    <n v="0.68833866207656769"/>
    <s v="High Stress"/>
    <s v="High Risk"/>
    <s v="Medium"/>
    <s v="Low"/>
    <x v="2"/>
    <s v="Medium"/>
  </r>
  <r>
    <n v="22263"/>
    <n v="62"/>
    <s v="Contract"/>
    <x v="1"/>
    <n v="4910.91"/>
    <n v="4910.91"/>
    <n v="18960.63"/>
    <n v="18960.63"/>
    <n v="18"/>
    <n v="12.77"/>
    <m/>
    <s v="NULL"/>
    <n v="11.3"/>
    <n v="11.3"/>
    <n v="60"/>
    <n v="60"/>
    <s v="Non-Performing"/>
    <s v="Non-Performing"/>
    <x v="4"/>
    <n v="0.21449554834711557"/>
    <s v="Healthy"/>
    <s v="High Risk"/>
    <s v="Medium"/>
    <s v="Low"/>
    <x v="0"/>
    <s v="Medium"/>
  </r>
  <r>
    <n v="21501"/>
    <n v="75"/>
    <s v="Unemployed"/>
    <x v="3"/>
    <n v="4017.83"/>
    <n v="4017.83"/>
    <n v="24875.01"/>
    <n v="24875.01"/>
    <n v="18"/>
    <n v="16.55"/>
    <n v="1"/>
    <n v="1"/>
    <n v="5.7"/>
    <n v="5.7"/>
    <n v="15"/>
    <n v="15"/>
    <s v="Non-Performing"/>
    <s v="Non-Performing"/>
    <x v="4"/>
    <n v="0.3439530791496902"/>
    <s v="Stretched"/>
    <s v="Good"/>
    <s v="Medium"/>
    <s v="Low"/>
    <x v="0"/>
    <s v="Medium"/>
  </r>
  <r>
    <n v="22292"/>
    <n v="26"/>
    <s v="Unemployed"/>
    <x v="3"/>
    <n v="5819.05"/>
    <n v="5819.05"/>
    <n v="26294.19"/>
    <n v="26294.19"/>
    <n v="12"/>
    <n v="16.66"/>
    <n v="4"/>
    <n v="4"/>
    <n v="9.3000000000000007"/>
    <n v="9.3000000000000007"/>
    <n v="0"/>
    <n v="0"/>
    <s v="Written Off"/>
    <s v="Written Off"/>
    <x v="4"/>
    <n v="0.37655330337426207"/>
    <s v="Stretched"/>
    <s v="Good"/>
    <s v="Medium"/>
    <s v="Low"/>
    <x v="0"/>
    <s v="Medium"/>
  </r>
  <r>
    <n v="23980"/>
    <n v="40"/>
    <s v="Self employed"/>
    <x v="0"/>
    <n v="3084.64"/>
    <n v="3084.64"/>
    <n v="32380.94"/>
    <n v="32380.94"/>
    <n v="36"/>
    <n v="16.760000000000002"/>
    <n v="1"/>
    <n v="1"/>
    <n v="8"/>
    <n v="8"/>
    <m/>
    <s v="NULL"/>
    <s v="Performing"/>
    <s v="Performing"/>
    <x v="4"/>
    <n v="0.29159660626703782"/>
    <s v="Healthy"/>
    <s v="NULL"/>
    <s v="High"/>
    <s v="Medium"/>
    <x v="0"/>
    <s v="Medium"/>
  </r>
  <r>
    <n v="21401"/>
    <n v="53"/>
    <s v="Salaried"/>
    <x v="2"/>
    <n v="2961.64"/>
    <n v="2961.64"/>
    <n v="19463.689999999999"/>
    <n v="19463.689999999999"/>
    <n v="12"/>
    <n v="17.420000000000002"/>
    <n v="4"/>
    <n v="4"/>
    <n v="13.8"/>
    <n v="13.8"/>
    <n v="15"/>
    <n v="15"/>
    <s v="Written Off"/>
    <s v="Written Off"/>
    <x v="2"/>
    <n v="0.54766081180246973"/>
    <s v="High Stress"/>
    <s v="Good"/>
    <s v="Medium"/>
    <s v="High"/>
    <x v="0"/>
    <s v="Medium"/>
  </r>
  <r>
    <n v="25132"/>
    <n v="55"/>
    <s v="Self employed"/>
    <x v="0"/>
    <n v="3959.74"/>
    <n v="3959.74"/>
    <n v="24412.84"/>
    <n v="24412.84"/>
    <n v="36"/>
    <n v="19.829999999999998"/>
    <n v="3"/>
    <n v="3"/>
    <n v="6.7"/>
    <n v="6.7"/>
    <n v="30"/>
    <n v="30"/>
    <s v="Non-Performing"/>
    <s v="Non-Performing"/>
    <x v="1"/>
    <n v="0.17125731599661709"/>
    <s v="Healthy"/>
    <s v="At Risk"/>
    <s v="Medium"/>
    <s v="Medium"/>
    <x v="0"/>
    <s v="Medium"/>
  </r>
  <r>
    <n v="22455"/>
    <n v="60"/>
    <s v="Contract"/>
    <x v="1"/>
    <n v="859.6"/>
    <n v="859.6"/>
    <n v="6292.82"/>
    <n v="6292.82"/>
    <n v="12"/>
    <n v="13.39"/>
    <n v="0"/>
    <n v="0"/>
    <n v="1.8"/>
    <n v="1.8"/>
    <n v="0"/>
    <n v="0"/>
    <s v="Performing "/>
    <s v="Performing "/>
    <x v="1"/>
    <n v="0.61005312548472146"/>
    <s v="High Stress"/>
    <s v="Good"/>
    <s v="Small"/>
    <s v="Low"/>
    <x v="0"/>
    <s v="Low"/>
  </r>
  <r>
    <n v="25021"/>
    <n v="75"/>
    <s v="Self employed"/>
    <x v="0"/>
    <n v="8903.4"/>
    <n v="8903.4"/>
    <n v="18009.41"/>
    <n v="18009.41"/>
    <n v="36"/>
    <n v="19.03"/>
    <n v="0"/>
    <n v="0"/>
    <n v="10.8"/>
    <n v="10.8"/>
    <n v="15"/>
    <n v="15"/>
    <s v="Performing"/>
    <s v="Performing"/>
    <x v="2"/>
    <n v="5.6187679862624275E-2"/>
    <s v="Healthy"/>
    <s v="Good"/>
    <s v="Medium"/>
    <s v="Medium"/>
    <x v="1"/>
    <s v="High"/>
  </r>
  <r>
    <n v="20835"/>
    <n v="56"/>
    <s v="Self employed"/>
    <x v="0"/>
    <n v="7351.97"/>
    <n v="7351.97"/>
    <n v="22937.38"/>
    <n v="22937.38"/>
    <n v="24"/>
    <n v="23.12"/>
    <m/>
    <s v="NULL"/>
    <n v="6.5"/>
    <n v="6.5"/>
    <n v="0"/>
    <n v="0"/>
    <s v="Written Off"/>
    <s v="Written Off"/>
    <x v="2"/>
    <n v="0.12999565649297626"/>
    <s v="Healthy"/>
    <s v="Good"/>
    <s v="Medium"/>
    <s v="Medium"/>
    <x v="1"/>
    <s v="Medium"/>
  </r>
  <r>
    <n v="20094"/>
    <n v="49"/>
    <s v="Unemployed"/>
    <x v="3"/>
    <n v="1594.56"/>
    <n v="1594.56"/>
    <n v="9314.9500000000007"/>
    <n v="9314.9500000000007"/>
    <n v="24"/>
    <n v="15.76"/>
    <m/>
    <s v="NULL"/>
    <n v="-2.2999999999999998"/>
    <n v="2.2999999999999998"/>
    <n v="30"/>
    <n v="30"/>
    <s v="Non performing"/>
    <s v="Non-Performing"/>
    <x v="1"/>
    <n v="0.2434043978694227"/>
    <s v="Healthy"/>
    <s v="At Risk"/>
    <s v="Small"/>
    <s v="Low"/>
    <x v="0"/>
    <s v="Low"/>
  </r>
  <r>
    <n v="23432"/>
    <n v="35"/>
    <s v="Self employed"/>
    <x v="0"/>
    <n v="5989.11"/>
    <n v="5989.11"/>
    <n v="1786.83"/>
    <n v="1786.83"/>
    <n v="18"/>
    <n v="20.440000000000001"/>
    <n v="0"/>
    <n v="0"/>
    <n v="3.3"/>
    <n v="3.3"/>
    <n v="15"/>
    <n v="15"/>
    <s v="Non-Performing"/>
    <s v="Non-Performing"/>
    <x v="1"/>
    <n v="1.6574805494194184E-2"/>
    <s v="Healthy"/>
    <s v="Good"/>
    <s v="Small"/>
    <s v="Medium"/>
    <x v="1"/>
    <s v="Medium"/>
  </r>
  <r>
    <n v="24407"/>
    <n v="31"/>
    <s v="Salaried"/>
    <x v="2"/>
    <n v="1863.7"/>
    <n v="1863.7"/>
    <m/>
    <s v="NULL"/>
    <n v="60"/>
    <n v="20.02"/>
    <m/>
    <s v="NULL"/>
    <n v="3.5"/>
    <n v="3.5"/>
    <n v="0"/>
    <n v="0"/>
    <s v="Non performing"/>
    <s v="Non-Performing"/>
    <x v="4"/>
    <s v="NULL"/>
    <s v="NULL"/>
    <s v="Good"/>
    <s v="High"/>
    <s v="High"/>
    <x v="0"/>
    <s v="Low"/>
  </r>
  <r>
    <n v="20683"/>
    <n v="25"/>
    <s v="Self-Employed"/>
    <x v="0"/>
    <n v="3335.83"/>
    <n v="3335.83"/>
    <n v="6372.43"/>
    <n v="6372.43"/>
    <n v="6"/>
    <n v="24.17"/>
    <n v="4"/>
    <n v="4"/>
    <n v="5.7"/>
    <n v="5.7"/>
    <n v="30"/>
    <n v="30"/>
    <s v="Non performing"/>
    <s v="Non-Performing"/>
    <x v="4"/>
    <n v="0.31838303110969884"/>
    <s v="Stretched"/>
    <s v="At Risk"/>
    <s v="Small"/>
    <s v="Medium"/>
    <x v="0"/>
    <s v="Medium"/>
  </r>
  <r>
    <n v="20091"/>
    <n v="28"/>
    <s v="Salaried"/>
    <x v="2"/>
    <n v="3189"/>
    <n v="3189"/>
    <n v="30362.46"/>
    <n v="30362.46"/>
    <n v="36"/>
    <n v="22.18"/>
    <n v="2"/>
    <n v="2"/>
    <n v="7.7"/>
    <n v="7.7"/>
    <n v="0"/>
    <n v="0"/>
    <s v="Written Off"/>
    <s v="Written Off"/>
    <x v="2"/>
    <n v="0.2644721438277412"/>
    <s v="Healthy"/>
    <s v="Good"/>
    <s v="High"/>
    <s v="High"/>
    <x v="1"/>
    <s v="Medium"/>
  </r>
  <r>
    <n v="24242"/>
    <n v="62"/>
    <s v="Salaried "/>
    <x v="2"/>
    <n v="8949.86"/>
    <n v="8949.86"/>
    <n v="23919.67"/>
    <n v="23919.67"/>
    <n v="12"/>
    <n v="12.5"/>
    <m/>
    <s v="NULL"/>
    <n v="1.4"/>
    <n v="1.4"/>
    <n v="0"/>
    <n v="0"/>
    <s v="Performing"/>
    <s v="Performing"/>
    <x v="3"/>
    <n v="0.2227192194440285"/>
    <s v="Healthy"/>
    <s v="Good"/>
    <s v="Medium"/>
    <s v="High"/>
    <x v="1"/>
    <s v="High"/>
  </r>
  <r>
    <n v="20145"/>
    <n v="21"/>
    <s v="Salaried"/>
    <x v="2"/>
    <n v="5722.1"/>
    <n v="5722.1"/>
    <n v="22970.99"/>
    <n v="22970.99"/>
    <n v="12"/>
    <n v="17.53"/>
    <n v="0"/>
    <n v="0"/>
    <n v="1.6"/>
    <n v="1.6"/>
    <n v="0"/>
    <n v="0"/>
    <s v="Performing "/>
    <s v="Performing "/>
    <x v="2"/>
    <n v="0.33453612601434202"/>
    <s v="Stretched"/>
    <s v="Good"/>
    <s v="Medium"/>
    <s v="High"/>
    <x v="0"/>
    <s v="Medium"/>
  </r>
  <r>
    <n v="21608"/>
    <n v="46"/>
    <s v="Salaried "/>
    <x v="2"/>
    <n v="2972.45"/>
    <n v="2972.45"/>
    <n v="14876.58"/>
    <n v="14876.58"/>
    <n v="60"/>
    <n v="21.66"/>
    <n v="3"/>
    <n v="3"/>
    <n v="11.7"/>
    <n v="11.7"/>
    <n v="15"/>
    <n v="15"/>
    <s v="Non-Performing"/>
    <s v="Non-Performing"/>
    <x v="4"/>
    <n v="8.341368231593467E-2"/>
    <s v="Healthy"/>
    <s v="Good"/>
    <s v="Medium"/>
    <s v="High"/>
    <x v="1"/>
    <s v="Medium"/>
  </r>
  <r>
    <n v="21655"/>
    <n v="23"/>
    <s v="Salaried "/>
    <x v="2"/>
    <n v="6140.43"/>
    <n v="6140.43"/>
    <n v="11378.64"/>
    <n v="11378.64"/>
    <n v="60"/>
    <n v="22.61"/>
    <n v="3"/>
    <n v="3"/>
    <n v="12.9"/>
    <n v="12.9"/>
    <n v="15"/>
    <n v="15"/>
    <s v="Performing "/>
    <s v="Performing "/>
    <x v="3"/>
    <n v="3.0884482031388674E-2"/>
    <s v="Healthy"/>
    <s v="Good"/>
    <s v="Medium"/>
    <s v="High"/>
    <x v="1"/>
    <s v="Medium"/>
  </r>
  <r>
    <n v="21081"/>
    <n v="38"/>
    <s v="Contract"/>
    <x v="1"/>
    <n v="4903.3999999999996"/>
    <n v="4903.3999999999996"/>
    <n v="11206.15"/>
    <n v="11206.15"/>
    <n v="60"/>
    <n v="17.440000000000001"/>
    <n v="0"/>
    <n v="0"/>
    <n v="1.9"/>
    <n v="1.9"/>
    <n v="0"/>
    <n v="0"/>
    <s v="Written Off"/>
    <s v="Written Off"/>
    <x v="0"/>
    <n v="3.8089726856195022E-2"/>
    <s v="Healthy"/>
    <s v="Good"/>
    <s v="Medium"/>
    <s v="Low"/>
    <x v="0"/>
    <s v="Medium"/>
  </r>
  <r>
    <n v="24342"/>
    <n v="49"/>
    <s v="Salaried "/>
    <x v="2"/>
    <n v="2146.9699999999998"/>
    <n v="2146.9699999999998"/>
    <m/>
    <s v="NULL"/>
    <n v="12"/>
    <n v="20.87"/>
    <n v="0"/>
    <n v="0"/>
    <n v="7.9"/>
    <n v="7.9"/>
    <n v="0"/>
    <n v="0"/>
    <s v="Performing "/>
    <s v="Performing "/>
    <x v="3"/>
    <s v="NULL"/>
    <s v="NULL"/>
    <s v="Good"/>
    <s v="High"/>
    <s v="High"/>
    <x v="0"/>
    <s v="Medium"/>
  </r>
  <r>
    <n v="22815"/>
    <n v="49"/>
    <s v="Self-Employed"/>
    <x v="0"/>
    <n v="4463.01"/>
    <n v="4463.01"/>
    <n v="31229.79"/>
    <n v="31229.79"/>
    <n v="6"/>
    <n v="21.09"/>
    <n v="1"/>
    <n v="1"/>
    <n v="10.3"/>
    <n v="10.3"/>
    <n v="0"/>
    <n v="0"/>
    <s v="Non-Performing"/>
    <s v="Non-Performing"/>
    <x v="2"/>
    <n v="1.1662454262930175"/>
    <s v="High Stress"/>
    <s v="Good"/>
    <s v="High"/>
    <s v="Medium"/>
    <x v="0"/>
    <s v="Medium"/>
  </r>
  <r>
    <n v="24271"/>
    <n v="38"/>
    <s v="Unemployed"/>
    <x v="3"/>
    <n v="6549.16"/>
    <n v="6549.16"/>
    <n v="32791.949999999997"/>
    <n v="32791.949999999997"/>
    <n v="60"/>
    <n v="13.93"/>
    <n v="4"/>
    <n v="4"/>
    <n v="3.3"/>
    <n v="3.3"/>
    <n v="60"/>
    <n v="60"/>
    <s v="Performing"/>
    <s v="Performing"/>
    <x v="0"/>
    <n v="8.3450778420438645E-2"/>
    <s v="Healthy"/>
    <s v="High Risk"/>
    <s v="High"/>
    <s v="Low"/>
    <x v="0"/>
    <s v="Medium"/>
  </r>
  <r>
    <n v="25188"/>
    <n v="47"/>
    <s v="Self employed"/>
    <x v="0"/>
    <n v="7215.07"/>
    <n v="7215.07"/>
    <n v="9516.06"/>
    <n v="9516.06"/>
    <n v="18"/>
    <n v="22.65"/>
    <n v="3"/>
    <n v="3"/>
    <n v="9.4"/>
    <n v="9.4"/>
    <m/>
    <s v="NULL"/>
    <s v="Non performing"/>
    <s v="Non-Performing"/>
    <x v="0"/>
    <n v="7.3273024378141857E-2"/>
    <s v="Healthy"/>
    <s v="NULL"/>
    <s v="Small"/>
    <s v="Medium"/>
    <x v="0"/>
    <s v="Medium"/>
  </r>
  <r>
    <n v="20797"/>
    <n v="46"/>
    <s v="Unemployed"/>
    <x v="3"/>
    <n v="3082.57"/>
    <n v="3082.57"/>
    <n v="19415.09"/>
    <n v="19415.09"/>
    <n v="12"/>
    <n v="15.68"/>
    <n v="3"/>
    <n v="3"/>
    <n v="8.1999999999999993"/>
    <n v="8.1999999999999993"/>
    <n v="0"/>
    <n v="0"/>
    <s v="Performing"/>
    <s v="Performing"/>
    <x v="1"/>
    <n v="0.5248621009958141"/>
    <s v="High Stress"/>
    <s v="Good"/>
    <s v="Medium"/>
    <s v="Low"/>
    <x v="0"/>
    <s v="Medium"/>
  </r>
  <r>
    <n v="25805"/>
    <n v="47"/>
    <s v="Self employed"/>
    <x v="0"/>
    <n v="2145.33"/>
    <n v="2145.33"/>
    <n v="14454.23"/>
    <n v="14454.23"/>
    <n v="12"/>
    <n v="23.51"/>
    <n v="0"/>
    <n v="0"/>
    <n v="13"/>
    <n v="13"/>
    <m/>
    <s v="NULL"/>
    <s v="Performing "/>
    <s v="Performing "/>
    <x v="4"/>
    <n v="0.56146101842917717"/>
    <s v="High Stress"/>
    <s v="NULL"/>
    <s v="Medium"/>
    <s v="Medium"/>
    <x v="0"/>
    <s v="Medium"/>
  </r>
  <r>
    <n v="22341"/>
    <n v="39"/>
    <s v="Self-Employed"/>
    <x v="0"/>
    <n v="4219.8100000000004"/>
    <n v="4219.8100000000004"/>
    <n v="25521.33"/>
    <n v="25521.33"/>
    <n v="12"/>
    <n v="9.99"/>
    <n v="3"/>
    <n v="3"/>
    <m/>
    <s v="NULL"/>
    <n v="0"/>
    <n v="0"/>
    <s v="Non-Performing"/>
    <s v="Non-Performing"/>
    <x v="0"/>
    <n v="0.50399840277168884"/>
    <s v="High Stress"/>
    <s v="Good"/>
    <s v="Medium"/>
    <s v="Medium"/>
    <x v="0"/>
    <s v="Medium"/>
  </r>
  <r>
    <n v="21056"/>
    <n v="60"/>
    <s v="Self-Employed"/>
    <x v="0"/>
    <n v="2959.82"/>
    <n v="2959.82"/>
    <m/>
    <s v="NULL"/>
    <n v="12"/>
    <n v="19.88"/>
    <n v="4"/>
    <n v="4"/>
    <n v="1.8"/>
    <n v="1.8"/>
    <n v="30"/>
    <n v="30"/>
    <s v="Written Off"/>
    <s v="Written Off"/>
    <x v="4"/>
    <s v="NULL"/>
    <s v="NULL"/>
    <s v="At Risk"/>
    <s v="High"/>
    <s v="Medium"/>
    <x v="0"/>
    <s v="Medium"/>
  </r>
  <r>
    <n v="20635"/>
    <n v="23"/>
    <s v="Self employed"/>
    <x v="0"/>
    <n v="7068.14"/>
    <n v="7068.14"/>
    <n v="10908.5"/>
    <n v="10908.5"/>
    <n v="18"/>
    <n v="23.1"/>
    <n v="0"/>
    <n v="0"/>
    <n v="10.9"/>
    <n v="10.9"/>
    <n v="60"/>
    <n v="60"/>
    <s v="Performing "/>
    <s v="Performing "/>
    <x v="4"/>
    <n v="8.5740771656726916E-2"/>
    <s v="Healthy"/>
    <s v="High Risk"/>
    <s v="Medium"/>
    <s v="Medium"/>
    <x v="0"/>
    <s v="Medium"/>
  </r>
  <r>
    <n v="25014"/>
    <n v="64"/>
    <s v="Salaried"/>
    <x v="2"/>
    <n v="7245.18"/>
    <n v="7245.18"/>
    <n v="12446.08"/>
    <n v="12446.08"/>
    <n v="36"/>
    <n v="16.41"/>
    <n v="4"/>
    <n v="4"/>
    <n v="11"/>
    <n v="11"/>
    <n v="30"/>
    <n v="30"/>
    <s v="Written Off"/>
    <s v="Written Off"/>
    <x v="3"/>
    <n v="4.7717854414168377E-2"/>
    <s v="Healthy"/>
    <s v="At Risk"/>
    <s v="Medium"/>
    <s v="High"/>
    <x v="0"/>
    <s v="Medium"/>
  </r>
  <r>
    <n v="21212"/>
    <n v="21"/>
    <s v="Self-Employed"/>
    <x v="0"/>
    <n v="-1500"/>
    <n v="1500"/>
    <n v="27851.56"/>
    <n v="27851.56"/>
    <n v="18"/>
    <n v="21.19"/>
    <m/>
    <s v="NULL"/>
    <n v="5"/>
    <n v="5"/>
    <n v="60"/>
    <n v="60"/>
    <s v="Non-Performing"/>
    <s v="Non-Performing"/>
    <x v="2"/>
    <n v="1.0315392592592594"/>
    <s v="High Stress"/>
    <s v="High Risk"/>
    <s v="Medium"/>
    <s v="Medium"/>
    <x v="0"/>
    <s v="Low"/>
  </r>
  <r>
    <n v="23101"/>
    <n v="63"/>
    <s v="Self employed"/>
    <x v="0"/>
    <n v="5365.88"/>
    <n v="5365.88"/>
    <n v="22310.080000000002"/>
    <n v="22310.080000000002"/>
    <n v="60"/>
    <n v="23.02"/>
    <n v="0"/>
    <n v="0"/>
    <n v="10.9"/>
    <n v="10.9"/>
    <n v="15"/>
    <n v="15"/>
    <s v="Written Off"/>
    <s v="Written Off"/>
    <x v="3"/>
    <n v="6.92961204251058E-2"/>
    <s v="Healthy"/>
    <s v="Good"/>
    <s v="Medium"/>
    <s v="Medium"/>
    <x v="1"/>
    <s v="Medium"/>
  </r>
  <r>
    <n v="24652"/>
    <n v="37"/>
    <s v="Salaried "/>
    <x v="2"/>
    <n v="6236.32"/>
    <n v="6236.32"/>
    <n v="13224.86"/>
    <n v="13224.86"/>
    <n v="36"/>
    <n v="12.43"/>
    <n v="2"/>
    <n v="2"/>
    <n v="9.8000000000000007"/>
    <n v="9.8000000000000007"/>
    <n v="0"/>
    <n v="0"/>
    <s v="Performing"/>
    <s v="Performing"/>
    <x v="1"/>
    <n v="5.8906089203604413E-2"/>
    <s v="Healthy"/>
    <s v="Good"/>
    <s v="Medium"/>
    <s v="High"/>
    <x v="1"/>
    <s v="Medium"/>
  </r>
  <r>
    <n v="23419"/>
    <n v="64"/>
    <s v="Self-Employed"/>
    <x v="0"/>
    <n v="3761.64"/>
    <n v="3761.64"/>
    <n v="9350.99"/>
    <n v="9350.99"/>
    <n v="60"/>
    <n v="28.94"/>
    <m/>
    <s v="NULL"/>
    <n v="7.1"/>
    <n v="7.1"/>
    <n v="90"/>
    <n v="90"/>
    <s v="Non-Performing"/>
    <s v="Non-Performing"/>
    <x v="4"/>
    <n v="4.1431352636970398E-2"/>
    <s v="Healthy"/>
    <s v="High Risk"/>
    <s v="Small"/>
    <s v="Medium"/>
    <x v="0"/>
    <s v="Medium"/>
  </r>
  <r>
    <n v="22182"/>
    <n v="21"/>
    <s v="Self employed"/>
    <x v="0"/>
    <n v="8140.47"/>
    <n v="8140.47"/>
    <n v="10980.62"/>
    <n v="10980.62"/>
    <n v="12"/>
    <n v="22.61"/>
    <m/>
    <s v="NULL"/>
    <n v="10.3"/>
    <n v="10.3"/>
    <n v="0"/>
    <n v="0"/>
    <s v="Performing "/>
    <s v="Performing "/>
    <x v="2"/>
    <n v="0.11240771929221123"/>
    <s v="Healthy"/>
    <s v="Good"/>
    <s v="Medium"/>
    <s v="Medium"/>
    <x v="1"/>
    <s v="High"/>
  </r>
  <r>
    <n v="23906"/>
    <n v="45"/>
    <s v="Self employed"/>
    <x v="0"/>
    <n v="6339.98"/>
    <n v="6339.98"/>
    <n v="23242.78"/>
    <n v="23242.78"/>
    <n v="60"/>
    <n v="18.95"/>
    <n v="3"/>
    <n v="3"/>
    <n v="10.199999999999999"/>
    <n v="10.199999999999999"/>
    <n v="90"/>
    <n v="90"/>
    <s v="Performing "/>
    <s v="Performing "/>
    <x v="4"/>
    <n v="6.1101086543911283E-2"/>
    <s v="Healthy"/>
    <s v="High Risk"/>
    <s v="Medium"/>
    <s v="Medium"/>
    <x v="0"/>
    <s v="Medium"/>
  </r>
  <r>
    <n v="25334"/>
    <n v="39"/>
    <s v="Contract"/>
    <x v="1"/>
    <n v="5393.09"/>
    <n v="5393.09"/>
    <n v="37640.47"/>
    <n v="37640.47"/>
    <n v="18"/>
    <n v="31.97"/>
    <m/>
    <s v="NULL"/>
    <m/>
    <s v="NULL"/>
    <n v="60"/>
    <n v="60"/>
    <s v="Performing "/>
    <s v="Performing "/>
    <x v="4"/>
    <n v="0.38774380220286003"/>
    <s v="Stretched"/>
    <s v="High Risk"/>
    <s v="High"/>
    <s v="Low"/>
    <x v="0"/>
    <s v="Medium"/>
  </r>
  <r>
    <n v="21717"/>
    <n v="37"/>
    <s v="Self employed"/>
    <x v="0"/>
    <n v="4245.0200000000004"/>
    <n v="4245.0200000000004"/>
    <n v="6116.05"/>
    <n v="6116.05"/>
    <n v="12"/>
    <n v="18.97"/>
    <n v="3"/>
    <n v="3"/>
    <n v="3.7"/>
    <n v="3.7"/>
    <n v="0"/>
    <n v="0"/>
    <s v="Performing "/>
    <s v="Performing "/>
    <x v="0"/>
    <n v="0.12006323488071512"/>
    <s v="Healthy"/>
    <s v="Good"/>
    <s v="Small"/>
    <s v="Medium"/>
    <x v="1"/>
    <s v="Medium"/>
  </r>
  <r>
    <n v="23058"/>
    <n v="18"/>
    <s v="Self-Employed"/>
    <x v="0"/>
    <n v="3650.1"/>
    <n v="3650.1"/>
    <n v="79.27"/>
    <n v="79.27"/>
    <n v="6"/>
    <n v="18.53"/>
    <n v="3"/>
    <n v="3"/>
    <n v="8"/>
    <n v="8"/>
    <n v="0"/>
    <n v="0"/>
    <s v="Non-Performing"/>
    <s v="Non-Performing"/>
    <x v="2"/>
    <n v="3.6195355378391462E-3"/>
    <s v="Healthy"/>
    <s v="Good"/>
    <s v="Small"/>
    <s v="Medium"/>
    <x v="1"/>
    <s v="Medium"/>
  </r>
  <r>
    <n v="21015"/>
    <n v="21"/>
    <s v="Unemployed"/>
    <x v="3"/>
    <n v="6695.14"/>
    <n v="6695.14"/>
    <n v="16383.88"/>
    <n v="16383.88"/>
    <n v="60"/>
    <n v="22.68"/>
    <n v="1"/>
    <n v="1"/>
    <n v="8"/>
    <n v="8"/>
    <n v="0"/>
    <n v="0"/>
    <s v="Non-Performing"/>
    <s v="Non-Performing"/>
    <x v="0"/>
    <n v="4.0785505107685076E-2"/>
    <s v="Healthy"/>
    <s v="Good"/>
    <s v="Medium"/>
    <s v="Low"/>
    <x v="0"/>
    <s v="Medium"/>
  </r>
  <r>
    <n v="23451"/>
    <n v="27"/>
    <s v="Self-Employed"/>
    <x v="0"/>
    <n v="6462.97"/>
    <n v="6462.97"/>
    <n v="18070.560000000001"/>
    <n v="18070.560000000001"/>
    <n v="6"/>
    <n v="19.86"/>
    <n v="4"/>
    <n v="4"/>
    <n v="6.2"/>
    <n v="6.2"/>
    <n v="60"/>
    <n v="60"/>
    <s v="Performing "/>
    <s v="Performing "/>
    <x v="2"/>
    <n v="0.46600247254745114"/>
    <s v="High Stress"/>
    <s v="High Risk"/>
    <s v="Medium"/>
    <s v="Medium"/>
    <x v="0"/>
    <s v="Medium"/>
  </r>
  <r>
    <n v="23094"/>
    <n v="51"/>
    <s v="Salaried"/>
    <x v="2"/>
    <n v="3084.21"/>
    <n v="3084.21"/>
    <n v="13139.22"/>
    <n v="13139.22"/>
    <n v="18"/>
    <n v="4.42"/>
    <n v="3"/>
    <n v="3"/>
    <n v="7.8"/>
    <n v="7.8"/>
    <n v="120"/>
    <n v="120"/>
    <s v="Performing"/>
    <s v="Performing"/>
    <x v="0"/>
    <n v="0.23667541012663426"/>
    <s v="Healthy"/>
    <s v="High Risk"/>
    <s v="Medium"/>
    <s v="High"/>
    <x v="0"/>
    <s v="Medium"/>
  </r>
  <r>
    <n v="20615"/>
    <n v="40"/>
    <s v="Self-Employed"/>
    <x v="0"/>
    <n v="4982.8999999999996"/>
    <n v="4982.8999999999996"/>
    <n v="16910.95"/>
    <n v="16910.95"/>
    <n v="48"/>
    <n v="28.78"/>
    <n v="2"/>
    <n v="2"/>
    <n v="15.6"/>
    <n v="15.6"/>
    <n v="0"/>
    <n v="0"/>
    <s v="Written Off"/>
    <s v="Written Off"/>
    <x v="0"/>
    <n v="7.0704099687598262E-2"/>
    <s v="Healthy"/>
    <s v="Good"/>
    <s v="Medium"/>
    <s v="Medium"/>
    <x v="1"/>
    <s v="Medium"/>
  </r>
  <r>
    <n v="21401"/>
    <n v="58"/>
    <s v="Salaried "/>
    <x v="2"/>
    <n v="1742.25"/>
    <n v="1742.25"/>
    <n v="6610.11"/>
    <n v="6610.11"/>
    <n v="18"/>
    <n v="14.97"/>
    <n v="3"/>
    <n v="3"/>
    <n v="14.3"/>
    <n v="14.3"/>
    <n v="120"/>
    <n v="120"/>
    <s v="Non-Performing"/>
    <s v="Non-Performing"/>
    <x v="0"/>
    <n v="0.21077820825560817"/>
    <s v="Healthy"/>
    <s v="High Risk"/>
    <s v="Small"/>
    <s v="High"/>
    <x v="0"/>
    <s v="Low"/>
  </r>
  <r>
    <n v="24262"/>
    <n v="28"/>
    <s v="Salaried "/>
    <x v="2"/>
    <n v="7624.55"/>
    <n v="7624.55"/>
    <m/>
    <s v="NULL"/>
    <n v="6"/>
    <n v="20.329999999999998"/>
    <n v="4"/>
    <n v="4"/>
    <n v="9.1"/>
    <n v="9.1"/>
    <n v="30"/>
    <n v="30"/>
    <s v="Non-Performing"/>
    <s v="Non-Performing"/>
    <x v="3"/>
    <s v="NULL"/>
    <s v="NULL"/>
    <s v="At Risk"/>
    <s v="High"/>
    <s v="High"/>
    <x v="0"/>
    <s v="Medium"/>
  </r>
  <r>
    <n v="25914"/>
    <n v="63"/>
    <s v="Salaried "/>
    <x v="2"/>
    <n v="7339.28"/>
    <n v="7339.28"/>
    <n v="21276.799999999999"/>
    <n v="21276.799999999999"/>
    <n v="60"/>
    <n v="16.420000000000002"/>
    <n v="0"/>
    <n v="0"/>
    <n v="8.9"/>
    <n v="8.9"/>
    <n v="0"/>
    <n v="0"/>
    <s v="Performing "/>
    <s v="Performing "/>
    <x v="4"/>
    <n v="4.8317182793589201E-2"/>
    <s v="Healthy"/>
    <s v="Good"/>
    <s v="Medium"/>
    <s v="High"/>
    <x v="1"/>
    <s v="Medium"/>
  </r>
  <r>
    <n v="22629"/>
    <n v="49"/>
    <s v="Self-Employed"/>
    <x v="0"/>
    <n v="3474.64"/>
    <n v="3474.64"/>
    <n v="25858.37"/>
    <n v="25858.37"/>
    <n v="24"/>
    <n v="17.559999999999999"/>
    <n v="0"/>
    <n v="0"/>
    <n v="6.5"/>
    <n v="6.5"/>
    <n v="0"/>
    <n v="0"/>
    <s v="Performing"/>
    <s v="Performing"/>
    <x v="0"/>
    <n v="0.31008452194567876"/>
    <s v="Stretched"/>
    <s v="Good"/>
    <s v="Medium"/>
    <s v="Medium"/>
    <x v="0"/>
    <s v="Medium"/>
  </r>
  <r>
    <n v="24510"/>
    <n v="48"/>
    <s v="Self-Employed"/>
    <x v="0"/>
    <n v="3738.06"/>
    <n v="3738.06"/>
    <n v="11654.95"/>
    <n v="11654.95"/>
    <n v="6"/>
    <n v="12.17"/>
    <n v="1"/>
    <n v="1"/>
    <n v="5.8"/>
    <n v="5.8"/>
    <n v="0"/>
    <n v="0"/>
    <s v="Performing"/>
    <s v="Performing"/>
    <x v="4"/>
    <n v="0.51965235086292538"/>
    <s v="High Stress"/>
    <s v="Good"/>
    <s v="Medium"/>
    <s v="Medium"/>
    <x v="0"/>
    <s v="Medium"/>
  </r>
  <r>
    <n v="21175"/>
    <n v="36"/>
    <s v="Contract"/>
    <x v="1"/>
    <n v="-587.27"/>
    <n v="587.27"/>
    <n v="29358.42"/>
    <n v="29358.42"/>
    <n v="18"/>
    <n v="18.829999999999998"/>
    <n v="0"/>
    <n v="0"/>
    <n v="5.3"/>
    <n v="5.3"/>
    <n v="60"/>
    <n v="60"/>
    <s v="Non-Performing"/>
    <s v="Non-Performing"/>
    <x v="3"/>
    <n v="2.7772972113905583"/>
    <s v="High Stress"/>
    <s v="High Risk"/>
    <s v="Medium"/>
    <s v="Low"/>
    <x v="2"/>
    <s v="Low"/>
  </r>
  <r>
    <n v="22081"/>
    <n v="32"/>
    <s v="Unemployed"/>
    <x v="3"/>
    <n v="722.7"/>
    <n v="722.7"/>
    <n v="26030.33"/>
    <n v="26030.33"/>
    <n v="48"/>
    <n v="15.93"/>
    <n v="3"/>
    <n v="3"/>
    <n v="1.6"/>
    <n v="1.6"/>
    <n v="90"/>
    <n v="90"/>
    <s v="Non performing"/>
    <s v="Non-Performing"/>
    <x v="1"/>
    <n v="0.75037849960795155"/>
    <s v="High Stress"/>
    <s v="High Risk"/>
    <s v="Medium"/>
    <s v="Low"/>
    <x v="2"/>
    <s v="Low"/>
  </r>
  <r>
    <n v="24928"/>
    <n v="52"/>
    <s v="Salaried"/>
    <x v="2"/>
    <n v="7503.33"/>
    <n v="7503.33"/>
    <n v="31151.69"/>
    <n v="31151.69"/>
    <n v="36"/>
    <n v="7.18"/>
    <n v="3"/>
    <n v="3"/>
    <n v="7.9"/>
    <n v="7.9"/>
    <n v="0"/>
    <n v="0"/>
    <s v="Non performing"/>
    <s v="Non-Performing"/>
    <x v="3"/>
    <n v="0.11532542514086708"/>
    <s v="Healthy"/>
    <s v="Good"/>
    <s v="High"/>
    <s v="High"/>
    <x v="1"/>
    <s v="Medium"/>
  </r>
  <r>
    <n v="21495"/>
    <n v="59"/>
    <s v="Self employed"/>
    <x v="0"/>
    <n v="4128.3999999999996"/>
    <n v="4128.3999999999996"/>
    <n v="29361.34"/>
    <n v="29361.34"/>
    <n v="48"/>
    <n v="11.71"/>
    <n v="3"/>
    <n v="3"/>
    <n v="10.199999999999999"/>
    <n v="10.199999999999999"/>
    <n v="0"/>
    <n v="0"/>
    <s v="Written Off"/>
    <s v="Written Off"/>
    <x v="1"/>
    <n v="0.14816747004489231"/>
    <s v="Healthy"/>
    <s v="Good"/>
    <s v="Medium"/>
    <s v="Medium"/>
    <x v="1"/>
    <s v="Medium"/>
  </r>
  <r>
    <n v="21763"/>
    <n v="46"/>
    <s v="Salaried"/>
    <x v="2"/>
    <n v="2011.55"/>
    <n v="2011.55"/>
    <n v="24389.96"/>
    <n v="24389.96"/>
    <n v="36"/>
    <n v="16.93"/>
    <n v="3"/>
    <n v="3"/>
    <n v="3.9"/>
    <n v="3.9"/>
    <n v="0"/>
    <n v="0"/>
    <s v="Written Off"/>
    <s v="Written Off"/>
    <x v="1"/>
    <n v="0.33680439903998849"/>
    <s v="Stretched"/>
    <s v="Good"/>
    <s v="Medium"/>
    <s v="High"/>
    <x v="0"/>
    <s v="Medium"/>
  </r>
  <r>
    <n v="22059"/>
    <n v="56"/>
    <s v="Self employed"/>
    <x v="0"/>
    <n v="2733.75"/>
    <n v="2733.75"/>
    <n v="38220.120000000003"/>
    <n v="38220.120000000003"/>
    <n v="48"/>
    <n v="23.9"/>
    <n v="2"/>
    <n v="2"/>
    <n v="6.7"/>
    <n v="6.7"/>
    <n v="0"/>
    <n v="0"/>
    <s v="Non-Performing"/>
    <s v="Non-Performing"/>
    <x v="4"/>
    <n v="0.29126748971193417"/>
    <s v="Healthy"/>
    <s v="Good"/>
    <s v="High"/>
    <s v="Medium"/>
    <x v="1"/>
    <s v="Medium"/>
  </r>
  <r>
    <n v="23406"/>
    <n v="43"/>
    <s v="Self-Employed"/>
    <x v="0"/>
    <n v="5517.68"/>
    <n v="5517.68"/>
    <n v="30727.18"/>
    <n v="30727.18"/>
    <n v="6"/>
    <n v="14.67"/>
    <n v="3"/>
    <n v="3"/>
    <n v="10.4"/>
    <n v="10.4"/>
    <n v="0"/>
    <n v="0"/>
    <s v="Non-Performing"/>
    <s v="Non-Performing"/>
    <x v="3"/>
    <n v="0.92814310845621106"/>
    <s v="High Stress"/>
    <s v="Good"/>
    <s v="High"/>
    <s v="Medium"/>
    <x v="0"/>
    <s v="Medium"/>
  </r>
  <r>
    <n v="22724"/>
    <n v="38"/>
    <s v="Contract"/>
    <x v="1"/>
    <n v="4865.49"/>
    <n v="4865.49"/>
    <n v="12885.09"/>
    <n v="12885.09"/>
    <n v="18"/>
    <n v="22.77"/>
    <n v="2"/>
    <n v="2"/>
    <n v="4"/>
    <n v="4"/>
    <n v="0"/>
    <n v="0"/>
    <s v="Performing "/>
    <s v="Performing "/>
    <x v="1"/>
    <n v="0.1471256406514726"/>
    <s v="Healthy"/>
    <s v="Good"/>
    <s v="Medium"/>
    <s v="Low"/>
    <x v="0"/>
    <s v="Medium"/>
  </r>
  <r>
    <n v="22978"/>
    <n v="24"/>
    <s v="Contract"/>
    <x v="1"/>
    <n v="5551.39"/>
    <n v="5551.39"/>
    <n v="28062.29"/>
    <n v="28062.29"/>
    <n v="60"/>
    <n v="9.39"/>
    <n v="0"/>
    <n v="0"/>
    <n v="6.8"/>
    <n v="6.8"/>
    <n v="15"/>
    <n v="15"/>
    <s v="Performing"/>
    <s v="Performing"/>
    <x v="1"/>
    <n v="8.4250040680502236E-2"/>
    <s v="Healthy"/>
    <s v="Good"/>
    <s v="Medium"/>
    <s v="Low"/>
    <x v="0"/>
    <s v="Medium"/>
  </r>
  <r>
    <n v="21575"/>
    <n v="46"/>
    <s v="Self employed"/>
    <x v="0"/>
    <n v="6066.86"/>
    <n v="6066.86"/>
    <n v="21458.79"/>
    <n v="21458.79"/>
    <n v="18"/>
    <n v="30.02"/>
    <n v="1"/>
    <n v="1"/>
    <n v="8.5"/>
    <n v="8.5"/>
    <n v="0"/>
    <n v="0"/>
    <s v="Written Off"/>
    <s v="Written Off"/>
    <x v="4"/>
    <n v="0.19650280375680337"/>
    <s v="Healthy"/>
    <s v="Good"/>
    <s v="Medium"/>
    <s v="Medium"/>
    <x v="1"/>
    <s v="Medium"/>
  </r>
  <r>
    <n v="25480"/>
    <n v="27"/>
    <s v="Contract"/>
    <x v="1"/>
    <n v="3891.92"/>
    <n v="3891.92"/>
    <n v="22108.82"/>
    <n v="22108.82"/>
    <n v="60"/>
    <n v="19.489999999999998"/>
    <n v="2"/>
    <n v="2"/>
    <n v="12.8"/>
    <n v="12.8"/>
    <n v="0"/>
    <n v="0"/>
    <s v="Performing"/>
    <s v="Performing"/>
    <x v="0"/>
    <n v="9.4678290749381624E-2"/>
    <s v="Healthy"/>
    <s v="Good"/>
    <s v="Medium"/>
    <s v="Low"/>
    <x v="0"/>
    <s v="Medium"/>
  </r>
  <r>
    <n v="23537"/>
    <n v="27"/>
    <s v="Self-Employed"/>
    <x v="0"/>
    <n v="-1500"/>
    <n v="1500"/>
    <n v="7390.21"/>
    <n v="7390.21"/>
    <n v="36"/>
    <n v="12.79"/>
    <n v="1"/>
    <n v="1"/>
    <n v="5.3"/>
    <n v="5.3"/>
    <n v="30"/>
    <n v="30"/>
    <s v="Written Off"/>
    <s v="Written Off"/>
    <x v="3"/>
    <n v="0.13685574074074075"/>
    <s v="Healthy"/>
    <s v="At Risk"/>
    <s v="Small"/>
    <s v="Medium"/>
    <x v="0"/>
    <s v="Low"/>
  </r>
  <r>
    <n v="21989"/>
    <n v="27"/>
    <s v="Salaried"/>
    <x v="2"/>
    <n v="4666.6899999999996"/>
    <n v="4666.6899999999996"/>
    <m/>
    <s v="NULL"/>
    <n v="48"/>
    <n v="55"/>
    <n v="4"/>
    <n v="4"/>
    <n v="7.4"/>
    <n v="7.4"/>
    <n v="0"/>
    <n v="0"/>
    <s v="Non-Performing"/>
    <s v="Non-Performing"/>
    <x v="3"/>
    <s v="NULL"/>
    <s v="NULL"/>
    <s v="Good"/>
    <s v="High"/>
    <s v="High"/>
    <x v="0"/>
    <s v="Medium"/>
  </r>
  <r>
    <n v="21944"/>
    <n v="33"/>
    <s v="Contract"/>
    <x v="1"/>
    <n v="3617.07"/>
    <n v="3617.07"/>
    <n v="7069.96"/>
    <n v="7069.96"/>
    <n v="36"/>
    <n v="20.420000000000002"/>
    <n v="3"/>
    <n v="3"/>
    <n v="10.7"/>
    <n v="10.7"/>
    <n v="0"/>
    <n v="0"/>
    <s v="Written Off"/>
    <s v="Written Off"/>
    <x v="2"/>
    <n v="5.429471306272142E-2"/>
    <s v="Healthy"/>
    <s v="Good"/>
    <s v="Small"/>
    <s v="Low"/>
    <x v="0"/>
    <s v="Medium"/>
  </r>
  <r>
    <n v="22561"/>
    <n v="50"/>
    <s v="Self employed"/>
    <x v="0"/>
    <n v="5401.68"/>
    <n v="5401.68"/>
    <n v="16316.44"/>
    <n v="16316.44"/>
    <n v="36"/>
    <n v="14.34"/>
    <n v="2"/>
    <n v="2"/>
    <n v="6.5"/>
    <n v="6.5"/>
    <n v="0"/>
    <n v="0"/>
    <s v="Performing "/>
    <s v="Performing "/>
    <x v="1"/>
    <n v="8.3906200375521031E-2"/>
    <s v="Healthy"/>
    <s v="Good"/>
    <s v="Medium"/>
    <s v="Medium"/>
    <x v="1"/>
    <s v="Medium"/>
  </r>
  <r>
    <n v="20083"/>
    <n v="43"/>
    <s v="Contract"/>
    <x v="1"/>
    <n v="3328.58"/>
    <n v="3328.58"/>
    <n v="25920.49"/>
    <n v="25920.49"/>
    <n v="24"/>
    <n v="32.83"/>
    <n v="4"/>
    <n v="4"/>
    <n v="8.4"/>
    <n v="8.4"/>
    <n v="60"/>
    <n v="60"/>
    <s v="Performing"/>
    <s v="Performing"/>
    <x v="3"/>
    <n v="0.32446881753380324"/>
    <s v="Stretched"/>
    <s v="High Risk"/>
    <s v="Medium"/>
    <s v="Low"/>
    <x v="0"/>
    <s v="Medium"/>
  </r>
  <r>
    <n v="21799"/>
    <n v="42"/>
    <s v="Self-Employed"/>
    <x v="0"/>
    <n v="3938.89"/>
    <n v="3938.89"/>
    <m/>
    <s v="NULL"/>
    <n v="18"/>
    <n v="27.46"/>
    <n v="4"/>
    <n v="4"/>
    <n v="10.8"/>
    <n v="10.8"/>
    <n v="90"/>
    <n v="90"/>
    <s v="Non-Performing"/>
    <s v="Non-Performing"/>
    <x v="0"/>
    <s v="NULL"/>
    <s v="NULL"/>
    <s v="High Risk"/>
    <s v="High"/>
    <s v="Medium"/>
    <x v="0"/>
    <s v="Medium"/>
  </r>
  <r>
    <n v="23986"/>
    <n v="31"/>
    <s v="Salaried"/>
    <x v="2"/>
    <n v="2251.88"/>
    <n v="2251.88"/>
    <n v="13750.96"/>
    <n v="13750.96"/>
    <n v="24"/>
    <n v="13.82"/>
    <n v="0"/>
    <n v="0"/>
    <n v="2.8"/>
    <n v="2.8"/>
    <n v="15"/>
    <n v="15"/>
    <s v="Written Off"/>
    <s v="Written Off"/>
    <x v="1"/>
    <n v="0.25443481298589027"/>
    <s v="Healthy"/>
    <s v="Good"/>
    <s v="Medium"/>
    <s v="High"/>
    <x v="1"/>
    <s v="Medium"/>
  </r>
  <r>
    <n v="23331"/>
    <n v="31"/>
    <s v="Unemployed"/>
    <x v="3"/>
    <n v="-1500"/>
    <n v="1500"/>
    <n v="24799.360000000001"/>
    <n v="24799.360000000001"/>
    <n v="12"/>
    <n v="19.52"/>
    <n v="1"/>
    <n v="1"/>
    <n v="-1.1000000000000001"/>
    <n v="1.1000000000000001"/>
    <n v="0"/>
    <n v="0"/>
    <s v="Written Off"/>
    <s v="Written Off"/>
    <x v="1"/>
    <n v="1.3777422222222222"/>
    <s v="High Stress"/>
    <s v="Good"/>
    <s v="Medium"/>
    <s v="Low"/>
    <x v="0"/>
    <s v="Low"/>
  </r>
  <r>
    <n v="24111"/>
    <n v="24"/>
    <s v="Self employed"/>
    <x v="0"/>
    <n v="4503.67"/>
    <n v="4503.67"/>
    <n v="10750.52"/>
    <n v="10750.52"/>
    <n v="6"/>
    <n v="24.68"/>
    <n v="4"/>
    <n v="4"/>
    <n v="1.9"/>
    <n v="1.9"/>
    <n v="30"/>
    <n v="30"/>
    <s v="Performing "/>
    <s v="Performing "/>
    <x v="0"/>
    <n v="0.39784294438387657"/>
    <s v="Stretched"/>
    <s v="At Risk"/>
    <s v="Medium"/>
    <s v="Medium"/>
    <x v="0"/>
    <s v="Medium"/>
  </r>
  <r>
    <n v="25807"/>
    <n v="38"/>
    <s v="Unemployed"/>
    <x v="3"/>
    <n v="6883.01"/>
    <n v="6883.01"/>
    <n v="6544.97"/>
    <n v="6544.97"/>
    <n v="36"/>
    <n v="22.43"/>
    <n v="4"/>
    <n v="4"/>
    <n v="7.6"/>
    <n v="7.6"/>
    <n v="60"/>
    <n v="60"/>
    <s v="Performing "/>
    <s v="Performing "/>
    <x v="2"/>
    <n v="2.6413549046452382E-2"/>
    <s v="Healthy"/>
    <s v="High Risk"/>
    <s v="Small"/>
    <s v="Low"/>
    <x v="0"/>
    <s v="Medium"/>
  </r>
  <r>
    <n v="20323"/>
    <n v="57"/>
    <s v="Salaried "/>
    <x v="2"/>
    <n v="5308.47"/>
    <n v="5308.47"/>
    <n v="26626.75"/>
    <n v="26626.75"/>
    <n v="18"/>
    <n v="28.88"/>
    <n v="4"/>
    <n v="4"/>
    <n v="11.2"/>
    <n v="11.2"/>
    <n v="120"/>
    <n v="120"/>
    <s v="Performing "/>
    <s v="Performing "/>
    <x v="4"/>
    <n v="0.27866106220603842"/>
    <s v="Healthy"/>
    <s v="High Risk"/>
    <s v="Medium"/>
    <s v="High"/>
    <x v="0"/>
    <s v="Medium"/>
  </r>
  <r>
    <n v="21312"/>
    <n v="42"/>
    <s v="Salaried"/>
    <x v="2"/>
    <n v="1330.38"/>
    <n v="1330.38"/>
    <n v="32169.4"/>
    <n v="32169.4"/>
    <n v="12"/>
    <n v="32.39"/>
    <n v="3"/>
    <n v="3"/>
    <n v="12.5"/>
    <n v="12.5"/>
    <n v="0"/>
    <n v="0"/>
    <s v="Performing "/>
    <s v="Performing "/>
    <x v="3"/>
    <n v="2.0150508376052958"/>
    <s v="High Stress"/>
    <s v="Good"/>
    <s v="High"/>
    <s v="High"/>
    <x v="0"/>
    <s v="Low"/>
  </r>
  <r>
    <n v="22953"/>
    <n v="52"/>
    <s v="Contract"/>
    <x v="1"/>
    <n v="8894.14"/>
    <n v="8894.14"/>
    <n v="27249.21"/>
    <n v="27249.21"/>
    <n v="48"/>
    <n v="23.73"/>
    <n v="3"/>
    <n v="3"/>
    <m/>
    <s v="NULL"/>
    <n v="120"/>
    <n v="120"/>
    <s v="Performing"/>
    <s v="Performing"/>
    <x v="2"/>
    <n v="6.3827629765216207E-2"/>
    <s v="Healthy"/>
    <s v="High Risk"/>
    <s v="Medium"/>
    <s v="Low"/>
    <x v="0"/>
    <s v="High"/>
  </r>
  <r>
    <n v="23150"/>
    <n v="61"/>
    <s v="Self employed"/>
    <x v="0"/>
    <n v="9718.81"/>
    <n v="9718.81"/>
    <n v="11739.62"/>
    <n v="11739.62"/>
    <n v="48"/>
    <n v="16.18"/>
    <n v="4"/>
    <n v="4"/>
    <n v="10"/>
    <n v="10"/>
    <n v="0"/>
    <n v="0"/>
    <s v="Non-Performing"/>
    <s v="Non-Performing"/>
    <x v="0"/>
    <n v="2.5165160823873156E-2"/>
    <s v="Healthy"/>
    <s v="Good"/>
    <s v="Medium"/>
    <s v="Medium"/>
    <x v="1"/>
    <s v="High"/>
  </r>
  <r>
    <n v="25597"/>
    <n v="46"/>
    <s v="Self-Employed"/>
    <x v="0"/>
    <n v="-1500"/>
    <n v="1500"/>
    <n v="24308.79"/>
    <n v="24308.79"/>
    <n v="48"/>
    <n v="19.09"/>
    <n v="0"/>
    <n v="0"/>
    <n v="6.6"/>
    <n v="6.6"/>
    <n v="30"/>
    <n v="30"/>
    <s v="Non-Performing"/>
    <s v="Non-Performing"/>
    <x v="0"/>
    <n v="0.33762208333333332"/>
    <s v="Stretched"/>
    <s v="At Risk"/>
    <s v="Medium"/>
    <s v="Medium"/>
    <x v="0"/>
    <s v="Low"/>
  </r>
  <r>
    <n v="23242"/>
    <n v="34"/>
    <s v="Salaried "/>
    <x v="2"/>
    <n v="8998.7199999999993"/>
    <n v="8998.7199999999993"/>
    <n v="10601.05"/>
    <n v="10601.05"/>
    <n v="24"/>
    <n v="17.559999999999999"/>
    <n v="1"/>
    <n v="1"/>
    <n v="8.6999999999999993"/>
    <n v="8.6999999999999993"/>
    <n v="60"/>
    <n v="60"/>
    <s v="Non performing"/>
    <s v="Non-Performing"/>
    <x v="3"/>
    <n v="4.9085916293280234E-2"/>
    <s v="Healthy"/>
    <s v="High Risk"/>
    <s v="Medium"/>
    <s v="High"/>
    <x v="0"/>
    <s v="High"/>
  </r>
  <r>
    <n v="20155"/>
    <n v="30"/>
    <s v="Unemployed"/>
    <x v="3"/>
    <n v="8409.34"/>
    <n v="8409.34"/>
    <n v="25400.51"/>
    <n v="25400.51"/>
    <n v="18"/>
    <n v="55"/>
    <n v="1"/>
    <n v="1"/>
    <n v="15.2"/>
    <n v="15.2"/>
    <n v="15"/>
    <n v="15"/>
    <s v="Performing "/>
    <s v="Performing "/>
    <x v="4"/>
    <n v="0.1678062064852229"/>
    <s v="Healthy"/>
    <s v="Good"/>
    <s v="Medium"/>
    <s v="Low"/>
    <x v="0"/>
    <s v="High"/>
  </r>
  <r>
    <n v="22664"/>
    <n v="37"/>
    <s v="Salaried"/>
    <x v="2"/>
    <n v="4237.62"/>
    <n v="4237.62"/>
    <n v="24022.89"/>
    <n v="24022.89"/>
    <n v="36"/>
    <n v="27.77"/>
    <n v="3"/>
    <n v="3"/>
    <n v="1.6"/>
    <n v="1.6"/>
    <n v="0"/>
    <n v="0"/>
    <s v="Performing "/>
    <s v="Performing "/>
    <x v="3"/>
    <n v="0.15747105686682619"/>
    <s v="Healthy"/>
    <s v="Good"/>
    <s v="Medium"/>
    <s v="High"/>
    <x v="1"/>
    <s v="Medium"/>
  </r>
  <r>
    <n v="25907"/>
    <n v="30"/>
    <s v="Self-Employed"/>
    <x v="0"/>
    <n v="4104.51"/>
    <n v="4104.51"/>
    <n v="21820.639999999999"/>
    <n v="21820.639999999999"/>
    <n v="6"/>
    <n v="17.48"/>
    <n v="3"/>
    <n v="3"/>
    <n v="6.9"/>
    <n v="6.9"/>
    <n v="30"/>
    <n v="30"/>
    <s v="Performing"/>
    <s v="Performing"/>
    <x v="1"/>
    <n v="0.88604323861638368"/>
    <s v="High Stress"/>
    <s v="At Risk"/>
    <s v="Medium"/>
    <s v="Medium"/>
    <x v="0"/>
    <s v="Medium"/>
  </r>
  <r>
    <n v="20536"/>
    <n v="40"/>
    <s v="Contract"/>
    <x v="1"/>
    <n v="5829.61"/>
    <n v="5829.61"/>
    <n v="18863.86"/>
    <n v="18863.86"/>
    <n v="48"/>
    <n v="10.92"/>
    <n v="0"/>
    <n v="0"/>
    <n v="7.9"/>
    <n v="7.9"/>
    <n v="0"/>
    <n v="0"/>
    <s v="Non performing"/>
    <s v="Non-Performing"/>
    <x v="0"/>
    <n v="6.7413957937723687E-2"/>
    <s v="Healthy"/>
    <s v="Good"/>
    <s v="Medium"/>
    <s v="Low"/>
    <x v="0"/>
    <s v="Medium"/>
  </r>
  <r>
    <n v="23768"/>
    <n v="34"/>
    <s v="Self-Employed"/>
    <x v="0"/>
    <n v="4006.59"/>
    <n v="4006.59"/>
    <n v="14995.41"/>
    <n v="14995.41"/>
    <n v="12"/>
    <n v="24.73"/>
    <m/>
    <s v="NULL"/>
    <n v="10.7"/>
    <n v="10.7"/>
    <n v="60"/>
    <n v="60"/>
    <s v="Performing "/>
    <s v="Performing "/>
    <x v="1"/>
    <n v="0.31189053534302236"/>
    <s v="Stretched"/>
    <s v="High Risk"/>
    <s v="Medium"/>
    <s v="Medium"/>
    <x v="0"/>
    <s v="Medium"/>
  </r>
  <r>
    <n v="23997"/>
    <n v="54"/>
    <s v="Contract"/>
    <x v="1"/>
    <n v="1883.84"/>
    <n v="1883.84"/>
    <n v="31600.82"/>
    <n v="31600.82"/>
    <n v="48"/>
    <n v="18.13"/>
    <n v="4"/>
    <n v="4"/>
    <n v="3.6"/>
    <n v="3.6"/>
    <n v="60"/>
    <n v="60"/>
    <s v="Non performing"/>
    <s v="Non-Performing"/>
    <x v="4"/>
    <n v="0.34947257551950628"/>
    <s v="Stretched"/>
    <s v="High Risk"/>
    <s v="High"/>
    <s v="Low"/>
    <x v="0"/>
    <s v="Low"/>
  </r>
  <r>
    <n v="23421"/>
    <n v="51"/>
    <s v="Salaried "/>
    <x v="2"/>
    <n v="4734.24"/>
    <n v="4734.24"/>
    <n v="18421.900000000001"/>
    <n v="18421.900000000001"/>
    <n v="48"/>
    <n v="13.94"/>
    <n v="2"/>
    <n v="2"/>
    <n v="6.6"/>
    <n v="6.6"/>
    <n v="0"/>
    <n v="0"/>
    <s v="Written Off"/>
    <s v="Written Off"/>
    <x v="3"/>
    <n v="8.1066778053781263E-2"/>
    <s v="Healthy"/>
    <s v="Good"/>
    <s v="Medium"/>
    <s v="High"/>
    <x v="1"/>
    <s v="Medium"/>
  </r>
  <r>
    <n v="22940"/>
    <n v="38"/>
    <s v="Unemployed"/>
    <x v="3"/>
    <n v="3770.85"/>
    <n v="3770.85"/>
    <n v="12703.98"/>
    <n v="12703.98"/>
    <n v="6"/>
    <n v="21.33"/>
    <n v="2"/>
    <n v="2"/>
    <n v="5.4"/>
    <n v="5.4"/>
    <n v="60"/>
    <n v="60"/>
    <s v="Non-Performing"/>
    <s v="Non-Performing"/>
    <x v="3"/>
    <n v="0.56149939668774951"/>
    <s v="High Stress"/>
    <s v="High Risk"/>
    <s v="Medium"/>
    <s v="Low"/>
    <x v="2"/>
    <s v="Medium"/>
  </r>
  <r>
    <n v="23792"/>
    <n v="31"/>
    <s v="Contract"/>
    <x v="1"/>
    <n v="-1500"/>
    <n v="1500"/>
    <n v="20623.07"/>
    <n v="20623.07"/>
    <n v="6"/>
    <n v="24.89"/>
    <n v="2"/>
    <n v="2"/>
    <n v="9"/>
    <n v="9"/>
    <n v="90"/>
    <n v="90"/>
    <s v="Performing "/>
    <s v="Performing "/>
    <x v="2"/>
    <n v="2.291452222222222"/>
    <s v="High Stress"/>
    <s v="High Risk"/>
    <s v="Medium"/>
    <s v="Low"/>
    <x v="2"/>
    <s v="Low"/>
  </r>
  <r>
    <n v="25934"/>
    <n v="42"/>
    <s v="Salaried "/>
    <x v="2"/>
    <n v="3885.56"/>
    <n v="3885.56"/>
    <n v="23081.31"/>
    <n v="23081.31"/>
    <n v="48"/>
    <n v="20.64"/>
    <n v="4"/>
    <n v="4"/>
    <n v="5.7"/>
    <n v="5.7"/>
    <m/>
    <s v="NULL"/>
    <s v="Performing "/>
    <s v="Performing "/>
    <x v="1"/>
    <n v="0.12375580997333718"/>
    <s v="Healthy"/>
    <s v="NULL"/>
    <s v="Medium"/>
    <s v="High"/>
    <x v="0"/>
    <s v="Medium"/>
  </r>
  <r>
    <n v="22914"/>
    <n v="21"/>
    <s v="Self-Employed"/>
    <x v="0"/>
    <n v="5625.42"/>
    <n v="5625.42"/>
    <n v="21631.64"/>
    <n v="21631.64"/>
    <n v="48"/>
    <n v="16.55"/>
    <m/>
    <s v="NULL"/>
    <n v="7.5"/>
    <n v="7.5"/>
    <n v="0"/>
    <n v="0"/>
    <s v="Non-Performing"/>
    <s v="Non-Performing"/>
    <x v="2"/>
    <n v="8.0111203548653545E-2"/>
    <s v="Healthy"/>
    <s v="Good"/>
    <s v="Medium"/>
    <s v="Medium"/>
    <x v="1"/>
    <s v="Medium"/>
  </r>
  <r>
    <n v="23865"/>
    <n v="29"/>
    <s v="Unemployed"/>
    <x v="3"/>
    <n v="6189.49"/>
    <n v="6189.49"/>
    <n v="21644.15"/>
    <n v="21644.15"/>
    <n v="6"/>
    <n v="34"/>
    <n v="3"/>
    <n v="3"/>
    <n v="10"/>
    <n v="10"/>
    <n v="0"/>
    <n v="0"/>
    <s v="Non performing"/>
    <s v="Non-Performing"/>
    <x v="3"/>
    <n v="0.5828199630879658"/>
    <s v="High Stress"/>
    <s v="Good"/>
    <s v="Medium"/>
    <s v="Low"/>
    <x v="0"/>
    <s v="Medium"/>
  </r>
  <r>
    <n v="21640"/>
    <n v="56"/>
    <s v="Salaried"/>
    <x v="2"/>
    <n v="3272.93"/>
    <n v="3272.93"/>
    <n v="12672.25"/>
    <n v="12672.25"/>
    <n v="60"/>
    <n v="18.14"/>
    <n v="3"/>
    <n v="3"/>
    <n v="12.2"/>
    <n v="12.2"/>
    <n v="0"/>
    <n v="0"/>
    <s v="Non performing"/>
    <s v="Non-Performing"/>
    <x v="4"/>
    <n v="6.4530609168746866E-2"/>
    <s v="Healthy"/>
    <s v="Good"/>
    <s v="Medium"/>
    <s v="High"/>
    <x v="1"/>
    <s v="Medium"/>
  </r>
  <r>
    <n v="20827"/>
    <n v="54"/>
    <s v="Self employed"/>
    <x v="0"/>
    <n v="2026.64"/>
    <n v="2026.64"/>
    <n v="18751.060000000001"/>
    <n v="18751.060000000001"/>
    <n v="36"/>
    <n v="16.34"/>
    <n v="2"/>
    <n v="2"/>
    <n v="14.9"/>
    <n v="14.9"/>
    <n v="0"/>
    <n v="0"/>
    <s v="Non performing"/>
    <s v="Non-Performing"/>
    <x v="3"/>
    <n v="0.25700804177247943"/>
    <s v="Healthy"/>
    <s v="Good"/>
    <s v="Medium"/>
    <s v="Medium"/>
    <x v="1"/>
    <s v="Medium"/>
  </r>
  <r>
    <n v="21829"/>
    <n v="47"/>
    <s v="Contract"/>
    <x v="1"/>
    <n v="8425.4599999999991"/>
    <n v="8425.4599999999991"/>
    <n v="4817.51"/>
    <n v="4817.51"/>
    <n v="24"/>
    <n v="18.53"/>
    <n v="3"/>
    <n v="3"/>
    <n v="7.4"/>
    <n v="7.4"/>
    <n v="0"/>
    <n v="0"/>
    <s v="Non-Performing"/>
    <s v="Non-Performing"/>
    <x v="4"/>
    <n v="2.3824169046358697E-2"/>
    <s v="Healthy"/>
    <s v="Good"/>
    <s v="Small"/>
    <s v="Low"/>
    <x v="0"/>
    <s v="High"/>
  </r>
  <r>
    <n v="24651"/>
    <n v="55"/>
    <s v="Salaried"/>
    <x v="2"/>
    <n v="4191.17"/>
    <n v="4191.17"/>
    <n v="26986.799999999999"/>
    <n v="26986.799999999999"/>
    <n v="60"/>
    <n v="17.66"/>
    <n v="0"/>
    <n v="0"/>
    <n v="6.7"/>
    <n v="6.7"/>
    <n v="60"/>
    <n v="60"/>
    <s v="Performing "/>
    <s v="Performing "/>
    <x v="2"/>
    <n v="0.10731609550555095"/>
    <s v="Healthy"/>
    <s v="High Risk"/>
    <s v="Medium"/>
    <s v="High"/>
    <x v="0"/>
    <s v="Medium"/>
  </r>
  <r>
    <n v="25168"/>
    <n v="62"/>
    <s v="Self-Employed"/>
    <x v="0"/>
    <n v="5891.56"/>
    <n v="5891.56"/>
    <n v="20401.89"/>
    <n v="20401.89"/>
    <n v="12"/>
    <n v="15.9"/>
    <n v="1"/>
    <n v="1"/>
    <n v="11.8"/>
    <n v="11.8"/>
    <n v="30"/>
    <n v="30"/>
    <s v="Performing "/>
    <s v="Performing "/>
    <x v="2"/>
    <n v="0.28857509725777214"/>
    <s v="Healthy"/>
    <s v="At Risk"/>
    <s v="Medium"/>
    <s v="Medium"/>
    <x v="0"/>
    <s v="Medium"/>
  </r>
  <r>
    <n v="22903"/>
    <n v="61"/>
    <s v="Unemployed"/>
    <x v="3"/>
    <n v="3591.65"/>
    <n v="3591.65"/>
    <n v="23120.16"/>
    <n v="23120.16"/>
    <n v="60"/>
    <n v="20.9"/>
    <n v="2"/>
    <n v="2"/>
    <n v="12.4"/>
    <n v="12.4"/>
    <n v="15"/>
    <n v="15"/>
    <s v="Non-Performing"/>
    <s v="Non-Performing"/>
    <x v="0"/>
    <n v="0.10728662313978254"/>
    <s v="Healthy"/>
    <s v="Good"/>
    <s v="Medium"/>
    <s v="Low"/>
    <x v="0"/>
    <s v="Medium"/>
  </r>
  <r>
    <n v="21452"/>
    <n v="58"/>
    <s v="Self-Employed"/>
    <x v="0"/>
    <n v="6175.46"/>
    <n v="6175.46"/>
    <n v="14473.54"/>
    <n v="14473.54"/>
    <n v="24"/>
    <n v="17.899999999999999"/>
    <m/>
    <s v="NULL"/>
    <n v="7.2"/>
    <n v="7.2"/>
    <m/>
    <s v="NULL"/>
    <s v="Performing"/>
    <s v="Performing"/>
    <x v="1"/>
    <n v="9.7654938525497156E-2"/>
    <s v="Healthy"/>
    <s v="NULL"/>
    <s v="Medium"/>
    <s v="Medium"/>
    <x v="0"/>
    <s v="Medium"/>
  </r>
  <r>
    <n v="21621"/>
    <n v="39"/>
    <s v="Unemployed"/>
    <x v="3"/>
    <n v="5355.97"/>
    <n v="5355.97"/>
    <n v="20767.8"/>
    <n v="20767.8"/>
    <n v="24"/>
    <n v="21.22"/>
    <n v="0"/>
    <n v="0"/>
    <n v="3.8"/>
    <n v="3.8"/>
    <n v="60"/>
    <n v="60"/>
    <s v="Non performing"/>
    <s v="Non-Performing"/>
    <x v="1"/>
    <n v="0.16156270479483642"/>
    <s v="Healthy"/>
    <s v="High Risk"/>
    <s v="Medium"/>
    <s v="Low"/>
    <x v="0"/>
    <s v="Medium"/>
  </r>
  <r>
    <n v="25464"/>
    <n v="39"/>
    <s v="Self employed"/>
    <x v="0"/>
    <n v="3715.89"/>
    <n v="3715.89"/>
    <n v="17885.580000000002"/>
    <n v="17885.580000000002"/>
    <n v="36"/>
    <n v="17.77"/>
    <n v="0"/>
    <n v="0"/>
    <n v="13.4"/>
    <n v="13.4"/>
    <n v="15"/>
    <n v="15"/>
    <s v="Non performing"/>
    <s v="Non-Performing"/>
    <x v="0"/>
    <n v="0.13370193053795099"/>
    <s v="Healthy"/>
    <s v="Good"/>
    <s v="Medium"/>
    <s v="Medium"/>
    <x v="1"/>
    <s v="Medium"/>
  </r>
  <r>
    <n v="21844"/>
    <n v="40"/>
    <s v="Contract"/>
    <x v="1"/>
    <n v="7536.17"/>
    <n v="7536.17"/>
    <n v="11094.72"/>
    <n v="11094.72"/>
    <n v="36"/>
    <n v="23.9"/>
    <n v="4"/>
    <n v="4"/>
    <n v="11"/>
    <n v="11"/>
    <n v="60"/>
    <n v="60"/>
    <s v="Performing "/>
    <s v="Performing "/>
    <x v="0"/>
    <n v="4.0894335805411325E-2"/>
    <s v="Healthy"/>
    <s v="High Risk"/>
    <s v="Medium"/>
    <s v="Low"/>
    <x v="0"/>
    <s v="Medium"/>
  </r>
  <r>
    <n v="22340"/>
    <n v="64"/>
    <s v="Contract"/>
    <x v="1"/>
    <n v="4277.6899999999996"/>
    <n v="4277.6899999999996"/>
    <n v="20171.900000000001"/>
    <n v="20171.900000000001"/>
    <n v="18"/>
    <n v="12.28"/>
    <n v="1"/>
    <n v="1"/>
    <n v="-2"/>
    <n v="2"/>
    <n v="60"/>
    <n v="60"/>
    <s v="Non-Performing"/>
    <s v="Non-Performing"/>
    <x v="2"/>
    <n v="0.26197810292730683"/>
    <s v="Healthy"/>
    <s v="High Risk"/>
    <s v="Medium"/>
    <s v="Low"/>
    <x v="0"/>
    <s v="Medium"/>
  </r>
  <r>
    <n v="21231"/>
    <n v="57"/>
    <s v="Salaried "/>
    <x v="2"/>
    <n v="7505.95"/>
    <n v="7505.95"/>
    <n v="12175.81"/>
    <n v="12175.81"/>
    <n v="24"/>
    <n v="19.53"/>
    <n v="0"/>
    <n v="0"/>
    <n v="2.9"/>
    <n v="2.9"/>
    <n v="15"/>
    <n v="15"/>
    <s v="Non performing"/>
    <s v="Non-Performing"/>
    <x v="1"/>
    <n v="6.758976767320149E-2"/>
    <s v="Healthy"/>
    <s v="Good"/>
    <s v="Medium"/>
    <s v="High"/>
    <x v="1"/>
    <s v="Medium"/>
  </r>
  <r>
    <n v="20629"/>
    <n v="45"/>
    <s v="Contract"/>
    <x v="1"/>
    <n v="1080.23"/>
    <n v="1080.23"/>
    <n v="27755.63"/>
    <n v="27755.63"/>
    <n v="48"/>
    <n v="18.989999999999998"/>
    <m/>
    <s v="NULL"/>
    <n v="12.2"/>
    <n v="12.2"/>
    <n v="120"/>
    <n v="120"/>
    <s v="Non performing"/>
    <s v="Non-Performing"/>
    <x v="3"/>
    <n v="0.53529553119860274"/>
    <s v="High Stress"/>
    <s v="High Risk"/>
    <s v="Medium"/>
    <s v="Low"/>
    <x v="2"/>
    <s v="Low"/>
  </r>
  <r>
    <n v="22650"/>
    <n v="52"/>
    <s v="Salaried"/>
    <x v="2"/>
    <n v="6425.99"/>
    <n v="6425.99"/>
    <n v="15853.81"/>
    <n v="15853.81"/>
    <n v="12"/>
    <n v="19.8"/>
    <n v="2"/>
    <n v="2"/>
    <n v="9.8000000000000007"/>
    <n v="9.8000000000000007"/>
    <n v="30"/>
    <n v="30"/>
    <s v="Performing "/>
    <s v="Performing "/>
    <x v="1"/>
    <n v="0.20559490963000771"/>
    <s v="Healthy"/>
    <s v="At Risk"/>
    <s v="Medium"/>
    <s v="High"/>
    <x v="0"/>
    <s v="Medium"/>
  </r>
  <r>
    <n v="23190"/>
    <n v="21"/>
    <s v="Self employed"/>
    <x v="0"/>
    <n v="2986.44"/>
    <n v="2986.44"/>
    <n v="9441.2199999999993"/>
    <n v="9441.2199999999993"/>
    <n v="24"/>
    <n v="18.93"/>
    <n v="2"/>
    <n v="2"/>
    <n v="10.7"/>
    <n v="10.7"/>
    <m/>
    <s v="NULL"/>
    <s v="Performing"/>
    <s v="Performing"/>
    <x v="4"/>
    <n v="0.1317234455293482"/>
    <s v="Healthy"/>
    <s v="NULL"/>
    <s v="Small"/>
    <s v="Medium"/>
    <x v="0"/>
    <s v="Medium"/>
  </r>
  <r>
    <n v="21726"/>
    <n v="58"/>
    <s v="Self-Employed"/>
    <x v="0"/>
    <n v="6502.08"/>
    <n v="6502.08"/>
    <n v="22727.279999999999"/>
    <n v="22727.279999999999"/>
    <n v="6"/>
    <n v="18.760000000000002"/>
    <n v="3"/>
    <n v="3"/>
    <n v="2.2000000000000002"/>
    <n v="2.2000000000000002"/>
    <n v="15"/>
    <n v="15"/>
    <s v="Performing"/>
    <s v="Performing"/>
    <x v="4"/>
    <n v="0.5825643486392047"/>
    <s v="High Stress"/>
    <s v="Good"/>
    <s v="Medium"/>
    <s v="Medium"/>
    <x v="0"/>
    <s v="Medium"/>
  </r>
  <r>
    <n v="20794"/>
    <n v="36"/>
    <s v="Self employed"/>
    <x v="0"/>
    <n v="5630.64"/>
    <n v="5630.64"/>
    <n v="31980.82"/>
    <n v="31980.82"/>
    <n v="48"/>
    <n v="19.63"/>
    <m/>
    <s v="NULL"/>
    <n v="2.4"/>
    <n v="2.4"/>
    <n v="120"/>
    <n v="120"/>
    <s v="Performing "/>
    <s v="Performing "/>
    <x v="2"/>
    <n v="0.11832883710081504"/>
    <s v="Healthy"/>
    <s v="High Risk"/>
    <s v="High"/>
    <s v="Medium"/>
    <x v="0"/>
    <s v="Medium"/>
  </r>
  <r>
    <n v="24639"/>
    <n v="59"/>
    <s v="Self employed"/>
    <x v="0"/>
    <n v="5121.6499999999996"/>
    <n v="5121.6499999999996"/>
    <n v="17988.32"/>
    <n v="17988.32"/>
    <n v="60"/>
    <n v="18.18"/>
    <n v="0"/>
    <n v="0"/>
    <n v="6.6"/>
    <n v="6.6"/>
    <n v="90"/>
    <n v="90"/>
    <s v="Performing"/>
    <s v="Performing"/>
    <x v="4"/>
    <n v="5.8536864747363318E-2"/>
    <s v="Healthy"/>
    <s v="High Risk"/>
    <s v="Medium"/>
    <s v="Medium"/>
    <x v="0"/>
    <s v="Medium"/>
  </r>
  <r>
    <n v="25227"/>
    <n v="55"/>
    <s v="Self employed"/>
    <x v="0"/>
    <n v="7398.88"/>
    <n v="7398.88"/>
    <n v="12847.55"/>
    <n v="12847.55"/>
    <n v="36"/>
    <n v="14.54"/>
    <n v="1"/>
    <n v="1"/>
    <n v="7.4"/>
    <n v="7.4"/>
    <n v="90"/>
    <n v="90"/>
    <s v="Written Off"/>
    <s v="Written Off"/>
    <x v="2"/>
    <n v="4.8233839295797318E-2"/>
    <s v="Healthy"/>
    <s v="High Risk"/>
    <s v="Medium"/>
    <s v="Medium"/>
    <x v="0"/>
    <s v="Medium"/>
  </r>
  <r>
    <n v="22637"/>
    <n v="26"/>
    <s v="Self employed"/>
    <x v="0"/>
    <n v="5173.7299999999996"/>
    <n v="5173.7299999999996"/>
    <n v="27615.38"/>
    <n v="27615.38"/>
    <n v="6"/>
    <n v="13.43"/>
    <n v="0"/>
    <n v="0"/>
    <n v="17.100000000000001"/>
    <n v="17.100000000000001"/>
    <m/>
    <s v="NULL"/>
    <s v="Written Off"/>
    <s v="Written Off"/>
    <x v="2"/>
    <n v="0.88960253691888325"/>
    <s v="High Stress"/>
    <s v="NULL"/>
    <s v="Medium"/>
    <s v="Medium"/>
    <x v="0"/>
    <s v="Medium"/>
  </r>
  <r>
    <n v="24015"/>
    <n v="61"/>
    <s v="Self employed"/>
    <x v="0"/>
    <n v="8756.69"/>
    <n v="8756.69"/>
    <n v="22626.720000000001"/>
    <n v="22626.720000000001"/>
    <n v="24"/>
    <n v="21.93"/>
    <n v="2"/>
    <n v="2"/>
    <n v="8.1999999999999993"/>
    <n v="8.1999999999999993"/>
    <n v="0"/>
    <n v="0"/>
    <s v="Performing "/>
    <s v="Performing "/>
    <x v="1"/>
    <n v="0.10766396891976307"/>
    <s v="Healthy"/>
    <s v="Good"/>
    <s v="Medium"/>
    <s v="Medium"/>
    <x v="1"/>
    <s v="High"/>
  </r>
  <r>
    <n v="23928"/>
    <n v="61"/>
    <s v="Self employed"/>
    <x v="0"/>
    <n v="-1500"/>
    <n v="1500"/>
    <n v="30136.38"/>
    <n v="30136.38"/>
    <n v="6"/>
    <n v="14.75"/>
    <n v="3"/>
    <n v="3"/>
    <n v="9.4"/>
    <n v="9.4"/>
    <n v="0"/>
    <n v="0"/>
    <s v="Performing"/>
    <s v="Performing"/>
    <x v="2"/>
    <n v="3.3484866666666666"/>
    <s v="High Stress"/>
    <s v="Good"/>
    <s v="High"/>
    <s v="Medium"/>
    <x v="0"/>
    <s v="Low"/>
  </r>
  <r>
    <n v="25991"/>
    <n v="75"/>
    <s v="Unemployed"/>
    <x v="3"/>
    <n v="2282.1999999999998"/>
    <n v="2282.1999999999998"/>
    <n v="15086.56"/>
    <n v="15086.56"/>
    <n v="60"/>
    <n v="13.15"/>
    <m/>
    <s v="NULL"/>
    <n v="4.5999999999999996"/>
    <n v="4.5999999999999996"/>
    <n v="120"/>
    <n v="120"/>
    <s v="Non performing"/>
    <s v="Non-Performing"/>
    <x v="2"/>
    <n v="0.11017556159261531"/>
    <s v="Healthy"/>
    <s v="High Risk"/>
    <s v="Medium"/>
    <s v="Low"/>
    <x v="0"/>
    <s v="Medium"/>
  </r>
  <r>
    <n v="24858"/>
    <n v="50"/>
    <s v="Unemployed"/>
    <x v="3"/>
    <n v="1101.73"/>
    <n v="1101.73"/>
    <n v="30211.94"/>
    <n v="30211.94"/>
    <n v="24"/>
    <n v="19.899999999999999"/>
    <n v="2"/>
    <n v="2"/>
    <n v="10"/>
    <n v="10"/>
    <n v="0"/>
    <n v="0"/>
    <s v="Performing "/>
    <s v="Performing "/>
    <x v="2"/>
    <n v="1.142594676856701"/>
    <s v="High Stress"/>
    <s v="Good"/>
    <s v="High"/>
    <s v="Low"/>
    <x v="0"/>
    <s v="Low"/>
  </r>
  <r>
    <n v="20249"/>
    <n v="31"/>
    <s v="Salaried "/>
    <x v="2"/>
    <n v="6208.45"/>
    <n v="6208.45"/>
    <n v="17013.099999999999"/>
    <n v="17013.099999999999"/>
    <n v="36"/>
    <n v="15.18"/>
    <n v="2"/>
    <n v="2"/>
    <n v="8.3000000000000007"/>
    <n v="8.3000000000000007"/>
    <n v="120"/>
    <n v="120"/>
    <s v="Performing "/>
    <s v="Performing "/>
    <x v="0"/>
    <n v="7.6119822356805825E-2"/>
    <s v="Healthy"/>
    <s v="High Risk"/>
    <s v="Medium"/>
    <s v="High"/>
    <x v="0"/>
    <s v="Medium"/>
  </r>
  <r>
    <n v="20444"/>
    <n v="50"/>
    <s v="Unemployed"/>
    <x v="3"/>
    <n v="3625.09"/>
    <n v="3625.09"/>
    <n v="31137.87"/>
    <n v="31137.87"/>
    <n v="60"/>
    <n v="21.73"/>
    <n v="2"/>
    <n v="2"/>
    <n v="4.3"/>
    <n v="4.3"/>
    <n v="60"/>
    <n v="60"/>
    <s v="Non-Performing"/>
    <s v="Non-Performing"/>
    <x v="4"/>
    <n v="0.14315906639559292"/>
    <s v="Healthy"/>
    <s v="High Risk"/>
    <s v="High"/>
    <s v="Low"/>
    <x v="0"/>
    <s v="Medium"/>
  </r>
  <r>
    <n v="20156"/>
    <n v="57"/>
    <s v="Unemployed"/>
    <x v="3"/>
    <n v="4812.92"/>
    <n v="4812.92"/>
    <n v="24238.080000000002"/>
    <n v="24238.080000000002"/>
    <n v="6"/>
    <n v="20.239999999999998"/>
    <n v="2"/>
    <n v="2"/>
    <n v="7.5"/>
    <n v="7.5"/>
    <n v="0"/>
    <n v="0"/>
    <s v="Non performing"/>
    <s v="Non-Performing"/>
    <x v="4"/>
    <n v="0.83934077441553157"/>
    <s v="High Stress"/>
    <s v="Good"/>
    <s v="Medium"/>
    <s v="Low"/>
    <x v="0"/>
    <s v="Medium"/>
  </r>
  <r>
    <n v="23459"/>
    <n v="51"/>
    <s v="Salaried "/>
    <x v="2"/>
    <n v="2707.29"/>
    <n v="2707.29"/>
    <n v="20452.810000000001"/>
    <n v="20452.810000000001"/>
    <n v="6"/>
    <n v="11.86"/>
    <n v="3"/>
    <n v="3"/>
    <n v="8"/>
    <n v="8"/>
    <n v="90"/>
    <n v="90"/>
    <s v="Non performing"/>
    <s v="Non-Performing"/>
    <x v="2"/>
    <n v="1.2591195131170532"/>
    <s v="High Stress"/>
    <s v="High Risk"/>
    <s v="Medium"/>
    <s v="High"/>
    <x v="0"/>
    <s v="Medium"/>
  </r>
  <r>
    <n v="20819"/>
    <n v="75"/>
    <s v="Contract"/>
    <x v="1"/>
    <n v="5681.82"/>
    <n v="5681.82"/>
    <n v="22559.62"/>
    <n v="22559.62"/>
    <n v="12"/>
    <n v="31.37"/>
    <n v="2"/>
    <n v="2"/>
    <n v="7.5"/>
    <n v="7.5"/>
    <m/>
    <s v="NULL"/>
    <s v="Performing "/>
    <s v="Performing "/>
    <x v="2"/>
    <n v="0.330874320786884"/>
    <s v="Stretched"/>
    <s v="NULL"/>
    <s v="Medium"/>
    <s v="Low"/>
    <x v="0"/>
    <s v="Medium"/>
  </r>
  <r>
    <n v="24499"/>
    <n v="51"/>
    <s v="Contract"/>
    <x v="1"/>
    <n v="-1500"/>
    <n v="1500"/>
    <n v="11361.11"/>
    <n v="11361.11"/>
    <n v="60"/>
    <n v="18.97"/>
    <n v="4"/>
    <n v="4"/>
    <n v="12.8"/>
    <n v="12.8"/>
    <n v="60"/>
    <n v="60"/>
    <s v="Performing "/>
    <s v="Performing "/>
    <x v="3"/>
    <n v="0.12623455555555557"/>
    <s v="Healthy"/>
    <s v="High Risk"/>
    <s v="Medium"/>
    <s v="Low"/>
    <x v="0"/>
    <s v="Low"/>
  </r>
  <r>
    <n v="25996"/>
    <n v="31"/>
    <s v="Salaried"/>
    <x v="2"/>
    <n v="4156.47"/>
    <n v="4156.47"/>
    <n v="8342.7099999999991"/>
    <n v="8342.7099999999991"/>
    <n v="12"/>
    <n v="21.07"/>
    <n v="4"/>
    <n v="4"/>
    <n v="7.6"/>
    <n v="7.6"/>
    <n v="15"/>
    <n v="15"/>
    <s v="Performing"/>
    <s v="Performing"/>
    <x v="2"/>
    <n v="0.16726352730401839"/>
    <s v="Healthy"/>
    <s v="Good"/>
    <s v="Small"/>
    <s v="High"/>
    <x v="1"/>
    <s v="Medium"/>
  </r>
  <r>
    <n v="22534"/>
    <n v="24"/>
    <s v="Salaried "/>
    <x v="2"/>
    <n v="4968.9399999999996"/>
    <n v="4968.9399999999996"/>
    <n v="38481.83"/>
    <n v="38481.83"/>
    <n v="12"/>
    <n v="19.37"/>
    <n v="0"/>
    <n v="0"/>
    <n v="8.5"/>
    <n v="8.5"/>
    <n v="30"/>
    <n v="30"/>
    <s v="Non performing"/>
    <s v="Non-Performing"/>
    <x v="0"/>
    <n v="0.64537288972430074"/>
    <s v="High Stress"/>
    <s v="At Risk"/>
    <s v="High"/>
    <s v="High"/>
    <x v="0"/>
    <s v="Medium"/>
  </r>
  <r>
    <n v="24626"/>
    <n v="75"/>
    <s v="Contract"/>
    <x v="1"/>
    <n v="4068.1"/>
    <n v="4068.1"/>
    <n v="21215.38"/>
    <n v="21215.38"/>
    <n v="12"/>
    <n v="15.84"/>
    <n v="1"/>
    <n v="1"/>
    <n v="9.1999999999999993"/>
    <n v="9.1999999999999993"/>
    <n v="0"/>
    <n v="0"/>
    <s v="Performing "/>
    <s v="Performing "/>
    <x v="2"/>
    <n v="0.43458821890645105"/>
    <s v="Stretched"/>
    <s v="Good"/>
    <s v="Medium"/>
    <s v="Low"/>
    <x v="0"/>
    <s v="Medium"/>
  </r>
  <r>
    <n v="24149"/>
    <n v="75"/>
    <s v="Self-Employed"/>
    <x v="0"/>
    <n v="5746.61"/>
    <n v="5746.61"/>
    <n v="30306.71"/>
    <n v="30306.71"/>
    <n v="60"/>
    <n v="35.44"/>
    <n v="2"/>
    <n v="2"/>
    <n v="5.8"/>
    <n v="5.8"/>
    <n v="120"/>
    <n v="120"/>
    <s v="Performing "/>
    <s v="Performing "/>
    <x v="0"/>
    <n v="8.789735745654105E-2"/>
    <s v="Healthy"/>
    <s v="High Risk"/>
    <s v="High"/>
    <s v="Medium"/>
    <x v="0"/>
    <s v="Medium"/>
  </r>
  <r>
    <n v="23538"/>
    <n v="47"/>
    <s v="Salaried "/>
    <x v="2"/>
    <n v="2331.12"/>
    <n v="2331.12"/>
    <n v="21482.18"/>
    <n v="21482.18"/>
    <n v="48"/>
    <n v="20.58"/>
    <n v="4"/>
    <n v="4"/>
    <n v="2.9"/>
    <n v="2.9"/>
    <n v="0"/>
    <n v="0"/>
    <s v="Non-Performing"/>
    <s v="Non-Performing"/>
    <x v="0"/>
    <n v="0.19198729223148817"/>
    <s v="Healthy"/>
    <s v="Good"/>
    <s v="Medium"/>
    <s v="High"/>
    <x v="1"/>
    <s v="Medium"/>
  </r>
  <r>
    <n v="21541"/>
    <n v="26"/>
    <s v="Self-Employed"/>
    <x v="0"/>
    <n v="6125.53"/>
    <n v="6125.53"/>
    <n v="17756.419999999998"/>
    <n v="17756.419999999998"/>
    <n v="18"/>
    <n v="10.86"/>
    <n v="1"/>
    <n v="1"/>
    <n v="-0.9"/>
    <n v="0.9"/>
    <n v="60"/>
    <n v="60"/>
    <s v="Performing"/>
    <s v="Performing"/>
    <x v="3"/>
    <n v="0.1610420286534843"/>
    <s v="Healthy"/>
    <s v="High Risk"/>
    <s v="Medium"/>
    <s v="Medium"/>
    <x v="0"/>
    <s v="Medium"/>
  </r>
  <r>
    <n v="21246"/>
    <n v="38"/>
    <s v="Self-Employed"/>
    <x v="0"/>
    <n v="5403.51"/>
    <n v="5403.51"/>
    <n v="29128.74"/>
    <n v="29128.74"/>
    <n v="24"/>
    <n v="24.45"/>
    <n v="3"/>
    <n v="3"/>
    <n v="6.6"/>
    <n v="6.6"/>
    <n v="0"/>
    <n v="0"/>
    <s v="Performing"/>
    <s v="Performing"/>
    <x v="3"/>
    <n v="0.22461279797761086"/>
    <s v="Healthy"/>
    <s v="Good"/>
    <s v="Medium"/>
    <s v="Medium"/>
    <x v="1"/>
    <s v="Medium"/>
  </r>
  <r>
    <n v="22892"/>
    <n v="64"/>
    <s v="Contract"/>
    <x v="1"/>
    <n v="3494.33"/>
    <n v="3494.33"/>
    <n v="32681.59"/>
    <n v="32681.59"/>
    <n v="6"/>
    <n v="21.41"/>
    <n v="4"/>
    <n v="4"/>
    <n v="11"/>
    <n v="11"/>
    <n v="30"/>
    <n v="30"/>
    <s v="Non-Performing"/>
    <s v="Non-Performing"/>
    <x v="4"/>
    <n v="1.5587914325969976"/>
    <s v="High Stress"/>
    <s v="At Risk"/>
    <s v="High"/>
    <s v="Low"/>
    <x v="0"/>
    <s v="Medium"/>
  </r>
  <r>
    <n v="24710"/>
    <n v="49"/>
    <s v="Salaried "/>
    <x v="2"/>
    <n v="6874.11"/>
    <n v="6874.11"/>
    <n v="11053.46"/>
    <n v="11053.46"/>
    <n v="60"/>
    <n v="14.08"/>
    <n v="3"/>
    <n v="3"/>
    <m/>
    <s v="NULL"/>
    <n v="15"/>
    <n v="15"/>
    <s v="Performing "/>
    <s v="Performing "/>
    <x v="1"/>
    <n v="2.67997360143107E-2"/>
    <s v="Healthy"/>
    <s v="Good"/>
    <s v="Medium"/>
    <s v="High"/>
    <x v="1"/>
    <s v="Medium"/>
  </r>
  <r>
    <n v="24863"/>
    <n v="25"/>
    <s v="Self-Employed"/>
    <x v="0"/>
    <n v="1430.64"/>
    <n v="1430.64"/>
    <n v="21944"/>
    <n v="21944"/>
    <n v="36"/>
    <n v="19.440000000000001"/>
    <n v="2"/>
    <n v="2"/>
    <n v="2.2000000000000002"/>
    <n v="2.2000000000000002"/>
    <n v="90"/>
    <n v="90"/>
    <s v="Performing "/>
    <s v="Performing "/>
    <x v="2"/>
    <n v="0.42607193672451177"/>
    <s v="Stretched"/>
    <s v="High Risk"/>
    <s v="Medium"/>
    <s v="Medium"/>
    <x v="0"/>
    <s v="Low"/>
  </r>
  <r>
    <n v="20224"/>
    <n v="50"/>
    <s v="Self-Employed"/>
    <x v="0"/>
    <n v="313.3"/>
    <n v="313.3"/>
    <n v="15829.85"/>
    <n v="15829.85"/>
    <n v="12"/>
    <n v="12.19"/>
    <n v="0"/>
    <n v="0"/>
    <n v="13.8"/>
    <n v="13.8"/>
    <n v="0"/>
    <n v="0"/>
    <s v="Written Off"/>
    <s v="Written Off"/>
    <x v="2"/>
    <n v="4.2105144164272792"/>
    <s v="High Stress"/>
    <s v="Good"/>
    <s v="Medium"/>
    <s v="Medium"/>
    <x v="0"/>
    <s v="Low"/>
  </r>
  <r>
    <n v="21595"/>
    <n v="21"/>
    <s v="Self employed"/>
    <x v="0"/>
    <n v="5263.34"/>
    <n v="5263.34"/>
    <m/>
    <s v="NULL"/>
    <n v="6"/>
    <n v="23.38"/>
    <m/>
    <s v="NULL"/>
    <n v="6.3"/>
    <n v="6.3"/>
    <n v="0"/>
    <n v="0"/>
    <s v="Performing"/>
    <s v="Performing"/>
    <x v="3"/>
    <s v="NULL"/>
    <s v="NULL"/>
    <s v="Good"/>
    <s v="High"/>
    <s v="Medium"/>
    <x v="0"/>
    <s v="Medium"/>
  </r>
  <r>
    <n v="25023"/>
    <n v="43"/>
    <s v="Self employed"/>
    <x v="0"/>
    <n v="7599.39"/>
    <n v="7599.39"/>
    <n v="30847.03"/>
    <n v="30847.03"/>
    <n v="48"/>
    <n v="19.399999999999999"/>
    <m/>
    <s v="NULL"/>
    <n v="5.6"/>
    <n v="5.6"/>
    <n v="0"/>
    <n v="0"/>
    <s v="Non performing"/>
    <s v="Non-Performing"/>
    <x v="1"/>
    <n v="8.4565532014192354E-2"/>
    <s v="Healthy"/>
    <s v="Good"/>
    <s v="High"/>
    <s v="Medium"/>
    <x v="1"/>
    <s v="Medium"/>
  </r>
  <r>
    <n v="24046"/>
    <n v="120"/>
    <s v="Self employed"/>
    <x v="0"/>
    <n v="4624.13"/>
    <n v="4624.13"/>
    <n v="8363.33"/>
    <n v="8363.33"/>
    <n v="24"/>
    <n v="24.36"/>
    <n v="4"/>
    <n v="4"/>
    <n v="10"/>
    <n v="10"/>
    <n v="0"/>
    <n v="0"/>
    <s v="Non-Performing"/>
    <s v="Non-Performing"/>
    <x v="2"/>
    <n v="7.5359491046604082E-2"/>
    <s v="Healthy"/>
    <s v="Good"/>
    <s v="Small"/>
    <s v="Medium"/>
    <x v="3"/>
    <s v="Medium"/>
  </r>
  <r>
    <n v="25369"/>
    <n v="59"/>
    <s v="Self-Employed"/>
    <x v="0"/>
    <n v="7876.85"/>
    <n v="7876.85"/>
    <n v="17666.32"/>
    <n v="17666.32"/>
    <n v="6"/>
    <n v="22.15"/>
    <n v="1"/>
    <n v="1"/>
    <n v="5.4"/>
    <n v="5.4"/>
    <n v="0"/>
    <n v="0"/>
    <s v="Performing "/>
    <s v="Performing "/>
    <x v="1"/>
    <n v="0.37380255643647731"/>
    <s v="Stretched"/>
    <s v="Good"/>
    <s v="Medium"/>
    <s v="Medium"/>
    <x v="0"/>
    <s v="Medium"/>
  </r>
  <r>
    <n v="23135"/>
    <n v="38"/>
    <s v="Salaried "/>
    <x v="2"/>
    <n v="2578.73"/>
    <n v="2578.73"/>
    <n v="29052.16"/>
    <n v="29052.16"/>
    <n v="18"/>
    <n v="13.18"/>
    <n v="4"/>
    <n v="4"/>
    <m/>
    <s v="NULL"/>
    <n v="60"/>
    <n v="60"/>
    <s v="Performing"/>
    <s v="Performing"/>
    <x v="3"/>
    <n v="0.62589293523900869"/>
    <s v="High Stress"/>
    <s v="High Risk"/>
    <s v="Medium"/>
    <s v="High"/>
    <x v="0"/>
    <s v="Medium"/>
  </r>
  <r>
    <n v="23073"/>
    <n v="23"/>
    <s v="Self-Employed"/>
    <x v="0"/>
    <n v="7851.76"/>
    <n v="7851.76"/>
    <n v="34065.160000000003"/>
    <n v="34065.160000000003"/>
    <n v="36"/>
    <n v="17.420000000000002"/>
    <n v="0"/>
    <n v="0"/>
    <n v="2.6"/>
    <n v="2.6"/>
    <n v="0"/>
    <n v="0"/>
    <s v="Written Off"/>
    <s v="Written Off"/>
    <x v="0"/>
    <n v="0.12051494753334852"/>
    <s v="Healthy"/>
    <s v="Good"/>
    <s v="High"/>
    <s v="Medium"/>
    <x v="1"/>
    <s v="Medium"/>
  </r>
  <r>
    <n v="23437"/>
    <n v="22"/>
    <s v="Self-Employed"/>
    <x v="0"/>
    <n v="4212.03"/>
    <n v="4212.03"/>
    <n v="18745.86"/>
    <n v="18745.86"/>
    <n v="48"/>
    <n v="20.5"/>
    <n v="4"/>
    <n v="4"/>
    <n v="14.8"/>
    <n v="14.8"/>
    <n v="90"/>
    <n v="90"/>
    <s v="Performing"/>
    <s v="Performing"/>
    <x v="3"/>
    <n v="9.2719840551942892E-2"/>
    <s v="Healthy"/>
    <s v="High Risk"/>
    <s v="Medium"/>
    <s v="Medium"/>
    <x v="0"/>
    <s v="Medium"/>
  </r>
  <r>
    <n v="24217"/>
    <n v="61"/>
    <s v="Self-Employed"/>
    <x v="0"/>
    <n v="853.77"/>
    <n v="853.77"/>
    <n v="18017.39"/>
    <n v="18017.39"/>
    <n v="6"/>
    <n v="18.649999999999999"/>
    <n v="4"/>
    <n v="4"/>
    <n v="12.6"/>
    <n v="12.6"/>
    <m/>
    <s v="NULL"/>
    <s v="Non-Performing"/>
    <s v="Non-Performing"/>
    <x v="1"/>
    <n v="3.5172216561056646"/>
    <s v="High Stress"/>
    <s v="NULL"/>
    <s v="Medium"/>
    <s v="Medium"/>
    <x v="0"/>
    <s v="Low"/>
  </r>
  <r>
    <n v="22128"/>
    <n v="22"/>
    <s v="Self-Employed"/>
    <x v="0"/>
    <n v="7611.9"/>
    <n v="7611.9"/>
    <n v="36640.94"/>
    <n v="36640.94"/>
    <n v="12"/>
    <n v="22.99"/>
    <n v="2"/>
    <n v="2"/>
    <n v="6.5"/>
    <n v="6.5"/>
    <n v="0"/>
    <n v="0"/>
    <s v="Non-Performing"/>
    <s v="Non-Performing"/>
    <x v="1"/>
    <n v="0.40113659752054903"/>
    <s v="Stretched"/>
    <s v="Good"/>
    <s v="High"/>
    <s v="Medium"/>
    <x v="0"/>
    <s v="Medium"/>
  </r>
  <r>
    <n v="25565"/>
    <n v="58"/>
    <s v="Self employed"/>
    <x v="0"/>
    <n v="3672.27"/>
    <n v="3672.27"/>
    <n v="29325.31"/>
    <n v="29325.31"/>
    <n v="6"/>
    <n v="14.28"/>
    <n v="0"/>
    <n v="0"/>
    <n v="11.8"/>
    <n v="11.8"/>
    <n v="0"/>
    <n v="0"/>
    <s v="Written Off"/>
    <s v="Written Off"/>
    <x v="0"/>
    <n v="1.3309347261140023"/>
    <s v="High Stress"/>
    <s v="Good"/>
    <s v="Medium"/>
    <s v="Medium"/>
    <x v="0"/>
    <s v="Medium"/>
  </r>
  <r>
    <n v="20045"/>
    <n v="25"/>
    <s v="Contract"/>
    <x v="1"/>
    <n v="6606.3"/>
    <n v="6606.3"/>
    <n v="26885.16"/>
    <n v="26885.16"/>
    <n v="18"/>
    <n v="21.3"/>
    <n v="3"/>
    <n v="3"/>
    <n v="6.3"/>
    <n v="6.3"/>
    <n v="120"/>
    <n v="120"/>
    <s v="Written Off"/>
    <s v="Written Off"/>
    <x v="2"/>
    <n v="0.22609024718828996"/>
    <s v="Healthy"/>
    <s v="High Risk"/>
    <s v="Medium"/>
    <s v="Low"/>
    <x v="0"/>
    <s v="Medium"/>
  </r>
  <r>
    <n v="25774"/>
    <n v="56"/>
    <s v="Self-Employed"/>
    <x v="0"/>
    <n v="5180.7"/>
    <n v="5180.7"/>
    <n v="30683.37"/>
    <n v="30683.37"/>
    <n v="18"/>
    <n v="14.19"/>
    <n v="3"/>
    <n v="3"/>
    <n v="9.6999999999999993"/>
    <n v="9.6999999999999993"/>
    <m/>
    <s v="NULL"/>
    <s v="Performing"/>
    <s v="Performing"/>
    <x v="0"/>
    <n v="0.32903500813918329"/>
    <s v="Stretched"/>
    <s v="NULL"/>
    <s v="High"/>
    <s v="Medium"/>
    <x v="0"/>
    <s v="Medium"/>
  </r>
  <r>
    <n v="23189"/>
    <n v="56"/>
    <s v="Salaried "/>
    <x v="2"/>
    <n v="6563.03"/>
    <n v="6563.03"/>
    <n v="22890.43"/>
    <n v="22890.43"/>
    <n v="60"/>
    <n v="18.07"/>
    <n v="1"/>
    <n v="1"/>
    <n v="-0.5"/>
    <n v="0.5"/>
    <n v="0"/>
    <n v="0"/>
    <s v="Written Off"/>
    <s v="Written Off"/>
    <x v="3"/>
    <n v="5.8129730729048423E-2"/>
    <s v="Healthy"/>
    <s v="Good"/>
    <s v="Medium"/>
    <s v="High"/>
    <x v="1"/>
    <s v="Medium"/>
  </r>
  <r>
    <n v="24577"/>
    <n v="41"/>
    <s v="Contract"/>
    <x v="1"/>
    <n v="6251.62"/>
    <n v="6251.62"/>
    <n v="18517.259999999998"/>
    <n v="18517.259999999998"/>
    <n v="24"/>
    <n v="27.08"/>
    <m/>
    <s v="NULL"/>
    <n v="6.9"/>
    <n v="6.9"/>
    <n v="0"/>
    <n v="0"/>
    <s v="Non-Performing"/>
    <s v="Non-Performing"/>
    <x v="1"/>
    <n v="0.1234164104664071"/>
    <s v="Healthy"/>
    <s v="Good"/>
    <s v="Medium"/>
    <s v="Low"/>
    <x v="0"/>
    <s v="Medium"/>
  </r>
  <r>
    <n v="20332"/>
    <n v="52"/>
    <s v="Unemployed"/>
    <x v="3"/>
    <n v="6415.87"/>
    <n v="6415.87"/>
    <n v="9323.01"/>
    <n v="9323.01"/>
    <n v="60"/>
    <n v="4.72"/>
    <n v="3"/>
    <n v="3"/>
    <n v="3.5"/>
    <n v="3.5"/>
    <n v="60"/>
    <n v="60"/>
    <s v="Non performing"/>
    <s v="Non-Performing"/>
    <x v="4"/>
    <n v="2.4218617272482142E-2"/>
    <s v="Healthy"/>
    <s v="High Risk"/>
    <s v="Small"/>
    <s v="Low"/>
    <x v="0"/>
    <s v="Medium"/>
  </r>
  <r>
    <n v="20236"/>
    <n v="45"/>
    <s v="Self employed"/>
    <x v="0"/>
    <n v="7740.47"/>
    <n v="7740.47"/>
    <n v="47021.07"/>
    <n v="47021.07"/>
    <n v="6"/>
    <n v="15.47"/>
    <n v="3"/>
    <n v="3"/>
    <n v="3.5"/>
    <n v="3.5"/>
    <n v="90"/>
    <n v="90"/>
    <s v="Non performing"/>
    <s v="Non-Performing"/>
    <x v="3"/>
    <n v="1.0124507943316103"/>
    <s v="High Stress"/>
    <s v="High Risk"/>
    <s v="High"/>
    <s v="Medium"/>
    <x v="0"/>
    <s v="Medium"/>
  </r>
  <r>
    <n v="21218"/>
    <n v="22"/>
    <s v="Self-Employed"/>
    <x v="0"/>
    <n v="6997.39"/>
    <n v="6997.39"/>
    <n v="7825.01"/>
    <n v="7825.01"/>
    <n v="36"/>
    <n v="55"/>
    <n v="3"/>
    <n v="3"/>
    <n v="1.1000000000000001"/>
    <n v="1.1000000000000001"/>
    <n v="90"/>
    <n v="90"/>
    <s v="Non performing"/>
    <s v="Non-Performing"/>
    <x v="1"/>
    <n v="3.1063209123528758E-2"/>
    <s v="Healthy"/>
    <s v="High Risk"/>
    <s v="Small"/>
    <s v="Medium"/>
    <x v="0"/>
    <s v="Medium"/>
  </r>
  <r>
    <n v="22401"/>
    <n v="64"/>
    <s v="Salaried "/>
    <x v="2"/>
    <n v="3441.96"/>
    <n v="3441.96"/>
    <n v="7158.86"/>
    <n v="7158.86"/>
    <n v="36"/>
    <n v="14.12"/>
    <m/>
    <s v="NULL"/>
    <n v="8.6"/>
    <n v="8.6"/>
    <n v="0"/>
    <n v="0"/>
    <s v="Written Off"/>
    <s v="Written Off"/>
    <x v="0"/>
    <n v="5.777441406123901E-2"/>
    <s v="Healthy"/>
    <s v="Good"/>
    <s v="Small"/>
    <s v="High"/>
    <x v="1"/>
    <s v="Medium"/>
  </r>
  <r>
    <n v="24840"/>
    <n v="64"/>
    <s v="Self employed"/>
    <x v="0"/>
    <n v="5036.6899999999996"/>
    <n v="5036.6899999999996"/>
    <n v="29153.5"/>
    <n v="29153.5"/>
    <n v="6"/>
    <n v="26.04"/>
    <n v="2"/>
    <n v="2"/>
    <n v="5.3"/>
    <n v="5.3"/>
    <m/>
    <s v="NULL"/>
    <s v="Written Off"/>
    <s v="Written Off"/>
    <x v="3"/>
    <n v="0.96470433293823266"/>
    <s v="High Stress"/>
    <s v="NULL"/>
    <s v="Medium"/>
    <s v="Medium"/>
    <x v="0"/>
    <s v="Medium"/>
  </r>
  <r>
    <n v="20391"/>
    <n v="28"/>
    <s v="Self employed"/>
    <x v="0"/>
    <n v="8786.06"/>
    <n v="8786.06"/>
    <n v="16366.28"/>
    <n v="16366.28"/>
    <n v="60"/>
    <n v="16.38"/>
    <n v="3"/>
    <n v="3"/>
    <n v="8.6"/>
    <n v="8.6"/>
    <n v="60"/>
    <n v="60"/>
    <s v="Non-Performing"/>
    <s v="Non-Performing"/>
    <x v="0"/>
    <n v="3.104592198702642E-2"/>
    <s v="Healthy"/>
    <s v="High Risk"/>
    <s v="Medium"/>
    <s v="Medium"/>
    <x v="0"/>
    <s v="High"/>
  </r>
  <r>
    <n v="23377"/>
    <n v="46"/>
    <s v="Unemployed"/>
    <x v="3"/>
    <n v="4528.59"/>
    <n v="4528.59"/>
    <n v="26120.62"/>
    <n v="26120.62"/>
    <n v="60"/>
    <n v="12.82"/>
    <n v="1"/>
    <n v="1"/>
    <m/>
    <s v="NULL"/>
    <n v="0"/>
    <n v="0"/>
    <s v="Non performing"/>
    <s v="Non-Performing"/>
    <x v="4"/>
    <n v="9.6132276639454353E-2"/>
    <s v="Healthy"/>
    <s v="Good"/>
    <s v="Medium"/>
    <s v="Low"/>
    <x v="0"/>
    <s v="Medium"/>
  </r>
  <r>
    <n v="22436"/>
    <n v="27"/>
    <s v="Self employed"/>
    <x v="0"/>
    <n v="8342.75"/>
    <n v="8342.75"/>
    <n v="4855.8999999999996"/>
    <n v="4855.8999999999996"/>
    <n v="18"/>
    <n v="17.47"/>
    <n v="0"/>
    <n v="0"/>
    <n v="12.3"/>
    <n v="12.3"/>
    <n v="0"/>
    <n v="0"/>
    <s v="Performing "/>
    <s v="Performing "/>
    <x v="0"/>
    <n v="3.2336126843333694E-2"/>
    <s v="Healthy"/>
    <s v="Good"/>
    <s v="Small"/>
    <s v="Medium"/>
    <x v="1"/>
    <s v="High"/>
  </r>
  <r>
    <n v="24664"/>
    <n v="120"/>
    <s v="Contract"/>
    <x v="1"/>
    <n v="2998.87"/>
    <n v="2998.87"/>
    <n v="17031.82"/>
    <n v="17031.82"/>
    <n v="36"/>
    <n v="15.99"/>
    <n v="0"/>
    <n v="0"/>
    <n v="3.8"/>
    <n v="3.8"/>
    <m/>
    <s v="NULL"/>
    <s v="Non-Performing"/>
    <s v="Non-Performing"/>
    <x v="3"/>
    <n v="0.15776146052049977"/>
    <s v="Healthy"/>
    <s v="NULL"/>
    <s v="Medium"/>
    <s v="Low"/>
    <x v="3"/>
    <s v="Medium"/>
  </r>
  <r>
    <n v="20991"/>
    <n v="62"/>
    <s v="Self employed"/>
    <x v="0"/>
    <n v="3236.15"/>
    <n v="3236.15"/>
    <n v="15956.25"/>
    <n v="15956.25"/>
    <n v="6"/>
    <n v="17.21"/>
    <n v="1"/>
    <n v="1"/>
    <n v="6.3"/>
    <n v="6.3"/>
    <n v="120"/>
    <n v="120"/>
    <s v="Written Off"/>
    <s v="Written Off"/>
    <x v="0"/>
    <n v="0.82177124051728123"/>
    <s v="High Stress"/>
    <s v="High Risk"/>
    <s v="Medium"/>
    <s v="Medium"/>
    <x v="0"/>
    <s v="Medium"/>
  </r>
  <r>
    <n v="23973"/>
    <n v="25"/>
    <s v="Unemployed"/>
    <x v="3"/>
    <n v="2563.71"/>
    <n v="2563.71"/>
    <n v="28062.11"/>
    <n v="28062.11"/>
    <n v="24"/>
    <n v="24.05"/>
    <n v="1"/>
    <n v="1"/>
    <n v="3.4"/>
    <n v="3.4"/>
    <n v="90"/>
    <n v="90"/>
    <s v="Performing"/>
    <s v="Performing"/>
    <x v="0"/>
    <n v="0.45607911321223282"/>
    <s v="High Stress"/>
    <s v="High Risk"/>
    <s v="Medium"/>
    <s v="Low"/>
    <x v="2"/>
    <s v="Medium"/>
  </r>
  <r>
    <n v="23292"/>
    <n v="21"/>
    <s v="Self-Employed"/>
    <x v="0"/>
    <n v="2820.65"/>
    <n v="2820.65"/>
    <n v="27513.759999999998"/>
    <n v="27513.759999999998"/>
    <n v="6"/>
    <n v="19.77"/>
    <n v="1"/>
    <n v="1"/>
    <n v="8.3000000000000007"/>
    <n v="8.3000000000000007"/>
    <n v="120"/>
    <n v="120"/>
    <s v="Performing "/>
    <s v="Performing "/>
    <x v="4"/>
    <n v="1.6257340211180635"/>
    <s v="High Stress"/>
    <s v="High Risk"/>
    <s v="Medium"/>
    <s v="Medium"/>
    <x v="0"/>
    <s v="Medium"/>
  </r>
  <r>
    <n v="23359"/>
    <n v="51"/>
    <s v="Unemployed"/>
    <x v="3"/>
    <n v="7249.92"/>
    <n v="7249.92"/>
    <n v="27759.89"/>
    <n v="27759.89"/>
    <n v="6"/>
    <n v="23.47"/>
    <n v="4"/>
    <n v="4"/>
    <n v="4.9000000000000004"/>
    <n v="4.9000000000000004"/>
    <n v="60"/>
    <n v="60"/>
    <s v="Performing"/>
    <s v="Performing"/>
    <x v="3"/>
    <n v="0.63816543263006109"/>
    <s v="High Stress"/>
    <s v="High Risk"/>
    <s v="Medium"/>
    <s v="Low"/>
    <x v="2"/>
    <s v="Medium"/>
  </r>
  <r>
    <n v="20795"/>
    <n v="39"/>
    <s v="Contract"/>
    <x v="1"/>
    <n v="5698.27"/>
    <n v="5698.27"/>
    <n v="30524.44"/>
    <n v="30524.44"/>
    <n v="6"/>
    <n v="23.53"/>
    <n v="4"/>
    <n v="4"/>
    <n v="10.8"/>
    <n v="10.8"/>
    <n v="30"/>
    <n v="30"/>
    <s v="Non-Performing"/>
    <s v="Non-Performing"/>
    <x v="2"/>
    <n v="0.8927984575435467"/>
    <s v="High Stress"/>
    <s v="At Risk"/>
    <s v="High"/>
    <s v="Low"/>
    <x v="0"/>
    <s v="Medium"/>
  </r>
  <r>
    <n v="23128"/>
    <n v="21"/>
    <s v="Salaried "/>
    <x v="2"/>
    <n v="5447.73"/>
    <n v="5447.73"/>
    <n v="16345.92"/>
    <n v="16345.92"/>
    <n v="60"/>
    <n v="31.01"/>
    <n v="0"/>
    <n v="0"/>
    <n v="5.8"/>
    <n v="5.8"/>
    <n v="60"/>
    <n v="60"/>
    <s v="Non-Performing"/>
    <s v="Non-Performing"/>
    <x v="2"/>
    <n v="5.0008352102618892E-2"/>
    <s v="Healthy"/>
    <s v="High Risk"/>
    <s v="Medium"/>
    <s v="High"/>
    <x v="0"/>
    <s v="Medium"/>
  </r>
  <r>
    <n v="23626"/>
    <n v="32"/>
    <s v="Self employed"/>
    <x v="0"/>
    <n v="9114.2000000000007"/>
    <n v="9114.2000000000007"/>
    <n v="22545.14"/>
    <n v="22545.14"/>
    <n v="48"/>
    <n v="16.440000000000001"/>
    <n v="0"/>
    <n v="0"/>
    <n v="-1.4"/>
    <n v="1.4"/>
    <m/>
    <s v="NULL"/>
    <s v="Performing "/>
    <s v="Performing "/>
    <x v="1"/>
    <n v="5.1533915940693273E-2"/>
    <s v="Healthy"/>
    <s v="NULL"/>
    <s v="Medium"/>
    <s v="Medium"/>
    <x v="0"/>
    <s v="High"/>
  </r>
  <r>
    <n v="24919"/>
    <n v="41"/>
    <s v="Unemployed"/>
    <x v="3"/>
    <n v="-1500"/>
    <n v="1500"/>
    <n v="14546.66"/>
    <n v="14546.66"/>
    <n v="12"/>
    <n v="24.02"/>
    <n v="1"/>
    <n v="1"/>
    <n v="6.8"/>
    <n v="6.8"/>
    <n v="0"/>
    <n v="0"/>
    <s v="Performing "/>
    <s v="Performing "/>
    <x v="0"/>
    <n v="0.8081477777777778"/>
    <s v="High Stress"/>
    <s v="Good"/>
    <s v="Medium"/>
    <s v="Low"/>
    <x v="0"/>
    <s v="Low"/>
  </r>
  <r>
    <n v="20500"/>
    <n v="60"/>
    <s v="Salaried "/>
    <x v="2"/>
    <n v="4661.3100000000004"/>
    <n v="4661.3100000000004"/>
    <n v="11780.49"/>
    <n v="11780.49"/>
    <n v="60"/>
    <n v="21.25"/>
    <n v="3"/>
    <n v="3"/>
    <n v="11.8"/>
    <n v="11.8"/>
    <n v="120"/>
    <n v="120"/>
    <s v="Non performing"/>
    <s v="Non-Performing"/>
    <x v="0"/>
    <n v="4.212152806828981E-2"/>
    <s v="Healthy"/>
    <s v="High Risk"/>
    <s v="Medium"/>
    <s v="High"/>
    <x v="0"/>
    <s v="Medium"/>
  </r>
  <r>
    <n v="23164"/>
    <n v="48"/>
    <s v="Contract"/>
    <x v="1"/>
    <n v="593.92999999999995"/>
    <n v="593.92999999999995"/>
    <n v="19894.939999999999"/>
    <n v="19894.939999999999"/>
    <n v="12"/>
    <n v="23.99"/>
    <m/>
    <s v="NULL"/>
    <n v="11.3"/>
    <n v="11.3"/>
    <n v="0"/>
    <n v="0"/>
    <s v="Performing"/>
    <s v="Performing"/>
    <x v="3"/>
    <n v="2.7914260378608029"/>
    <s v="High Stress"/>
    <s v="Good"/>
    <s v="Medium"/>
    <s v="Low"/>
    <x v="0"/>
    <s v="Low"/>
  </r>
  <r>
    <n v="25782"/>
    <n v="54"/>
    <s v="Self employed"/>
    <x v="0"/>
    <n v="6128.94"/>
    <n v="6128.94"/>
    <n v="24985.32"/>
    <n v="24985.32"/>
    <n v="48"/>
    <n v="11.69"/>
    <n v="2"/>
    <n v="2"/>
    <n v="2.4"/>
    <n v="2.4"/>
    <n v="0"/>
    <n v="0"/>
    <s v="Performing "/>
    <s v="Performing "/>
    <x v="4"/>
    <n v="8.4929449464344567E-2"/>
    <s v="Healthy"/>
    <s v="Good"/>
    <s v="Medium"/>
    <s v="Medium"/>
    <x v="1"/>
    <s v="Medium"/>
  </r>
  <r>
    <n v="20237"/>
    <n v="23"/>
    <s v="Salaried "/>
    <x v="2"/>
    <n v="141.25"/>
    <n v="141.25"/>
    <n v="19596.16"/>
    <n v="19596.16"/>
    <n v="48"/>
    <n v="25.61"/>
    <m/>
    <s v="NULL"/>
    <n v="14.3"/>
    <n v="14.3"/>
    <n v="90"/>
    <n v="90"/>
    <s v="Performing"/>
    <s v="Performing"/>
    <x v="1"/>
    <n v="2.8902890855457226"/>
    <s v="High Stress"/>
    <s v="High Risk"/>
    <s v="Medium"/>
    <s v="High"/>
    <x v="0"/>
    <s v="Low"/>
  </r>
  <r>
    <n v="21739"/>
    <n v="51"/>
    <s v="Contract"/>
    <x v="1"/>
    <n v="8833.0300000000007"/>
    <n v="8833.0300000000007"/>
    <n v="5097.5"/>
    <n v="5097.5"/>
    <n v="24"/>
    <n v="22.99"/>
    <n v="4"/>
    <n v="4"/>
    <n v="12.2"/>
    <n v="12.2"/>
    <n v="90"/>
    <n v="90"/>
    <s v="Performing "/>
    <s v="Performing "/>
    <x v="4"/>
    <n v="2.4045637038856801E-2"/>
    <s v="Healthy"/>
    <s v="High Risk"/>
    <s v="Small"/>
    <s v="Low"/>
    <x v="0"/>
    <s v="High"/>
  </r>
  <r>
    <n v="23110"/>
    <n v="56"/>
    <s v="Self-Employed"/>
    <x v="0"/>
    <n v="3488.83"/>
    <n v="3488.83"/>
    <n v="15566.09"/>
    <n v="15566.09"/>
    <n v="24"/>
    <n v="22.89"/>
    <n v="0"/>
    <n v="0"/>
    <n v="7"/>
    <n v="7"/>
    <n v="120"/>
    <n v="120"/>
    <s v="Performing "/>
    <s v="Performing "/>
    <x v="3"/>
    <n v="0.18590389423770529"/>
    <s v="Healthy"/>
    <s v="High Risk"/>
    <s v="Medium"/>
    <s v="Medium"/>
    <x v="0"/>
    <s v="Medium"/>
  </r>
  <r>
    <n v="24786"/>
    <n v="52"/>
    <s v="Salaried "/>
    <x v="2"/>
    <n v="4693.51"/>
    <n v="4693.51"/>
    <n v="16123.99"/>
    <n v="16123.99"/>
    <n v="12"/>
    <n v="17.489999999999998"/>
    <n v="3"/>
    <n v="3"/>
    <n v="11.5"/>
    <n v="11.5"/>
    <m/>
    <s v="NULL"/>
    <s v="Performing "/>
    <s v="Performing "/>
    <x v="4"/>
    <n v="0.28628165985229248"/>
    <s v="Healthy"/>
    <s v="NULL"/>
    <s v="Medium"/>
    <s v="High"/>
    <x v="0"/>
    <s v="Medium"/>
  </r>
  <r>
    <n v="25843"/>
    <n v="25"/>
    <s v="Self employed"/>
    <x v="0"/>
    <n v="7893.79"/>
    <n v="7893.79"/>
    <n v="35703.730000000003"/>
    <n v="35703.730000000003"/>
    <n v="36"/>
    <n v="14.14"/>
    <m/>
    <s v="NULL"/>
    <n v="6.6"/>
    <n v="6.6"/>
    <n v="90"/>
    <n v="90"/>
    <s v="Non performing"/>
    <s v="Non-Performing"/>
    <x v="2"/>
    <n v="0.12563930352565469"/>
    <s v="Healthy"/>
    <s v="High Risk"/>
    <s v="High"/>
    <s v="Medium"/>
    <x v="0"/>
    <s v="Medium"/>
  </r>
  <r>
    <n v="22350"/>
    <n v="29"/>
    <s v="Self employed"/>
    <x v="0"/>
    <n v="4463.25"/>
    <n v="4463.25"/>
    <n v="21098.95"/>
    <n v="21098.95"/>
    <n v="6"/>
    <n v="19.13"/>
    <m/>
    <s v="NULL"/>
    <n v="10.1"/>
    <n v="10.1"/>
    <m/>
    <s v="NULL"/>
    <s v="Performing"/>
    <s v="Performing"/>
    <x v="4"/>
    <n v="0.7878769207789541"/>
    <s v="High Stress"/>
    <s v="NULL"/>
    <s v="Medium"/>
    <s v="Medium"/>
    <x v="0"/>
    <s v="Medium"/>
  </r>
  <r>
    <n v="22834"/>
    <n v="40"/>
    <s v="Salaried "/>
    <x v="2"/>
    <n v="6325.62"/>
    <n v="6325.62"/>
    <n v="18981.07"/>
    <n v="18981.07"/>
    <n v="60"/>
    <n v="12.99"/>
    <m/>
    <s v="NULL"/>
    <n v="6.2"/>
    <n v="6.2"/>
    <n v="30"/>
    <n v="30"/>
    <s v="Non-Performing"/>
    <s v="Non-Performing"/>
    <x v="2"/>
    <n v="5.0011092456813191E-2"/>
    <s v="Healthy"/>
    <s v="At Risk"/>
    <s v="Medium"/>
    <s v="High"/>
    <x v="0"/>
    <s v="Medium"/>
  </r>
  <r>
    <n v="23299"/>
    <n v="22"/>
    <s v="Self employed"/>
    <x v="0"/>
    <n v="4201.79"/>
    <n v="4201.79"/>
    <n v="31774.82"/>
    <n v="31774.82"/>
    <n v="48"/>
    <n v="24.23"/>
    <m/>
    <s v="NULL"/>
    <n v="0"/>
    <n v="0"/>
    <n v="120"/>
    <n v="120"/>
    <s v="Non-Performing"/>
    <s v="Non-Performing"/>
    <x v="1"/>
    <n v="0.15754604981845041"/>
    <s v="Healthy"/>
    <s v="High Risk"/>
    <s v="High"/>
    <s v="Medium"/>
    <x v="0"/>
    <s v="Medium"/>
  </r>
  <r>
    <n v="25065"/>
    <n v="51"/>
    <s v="Salaried"/>
    <x v="2"/>
    <n v="1405.75"/>
    <n v="1405.75"/>
    <n v="18209.7"/>
    <n v="18209.7"/>
    <n v="24"/>
    <n v="24.22"/>
    <n v="2"/>
    <n v="2"/>
    <n v="7.2"/>
    <n v="7.2"/>
    <m/>
    <s v="NULL"/>
    <s v="Non-Performing"/>
    <s v="Non-Performing"/>
    <x v="3"/>
    <n v="0.5397385737150987"/>
    <s v="High Stress"/>
    <s v="NULL"/>
    <s v="Medium"/>
    <s v="High"/>
    <x v="0"/>
    <s v="Low"/>
  </r>
  <r>
    <n v="22935"/>
    <n v="25"/>
    <s v="Salaried "/>
    <x v="2"/>
    <n v="5911.21"/>
    <n v="5911.21"/>
    <n v="33908.06"/>
    <n v="33908.06"/>
    <n v="12"/>
    <n v="17.27"/>
    <m/>
    <s v="NULL"/>
    <n v="2.9"/>
    <n v="2.9"/>
    <n v="90"/>
    <n v="90"/>
    <s v="Performing "/>
    <s v="Performing "/>
    <x v="1"/>
    <n v="0.47801916471698119"/>
    <s v="High Stress"/>
    <s v="High Risk"/>
    <s v="High"/>
    <s v="High"/>
    <x v="0"/>
    <s v="Medium"/>
  </r>
  <r>
    <n v="21614"/>
    <n v="27"/>
    <s v="Salaried "/>
    <x v="2"/>
    <n v="5497.51"/>
    <n v="5497.51"/>
    <n v="21346.38"/>
    <n v="21346.38"/>
    <n v="12"/>
    <n v="5.77"/>
    <n v="2"/>
    <n v="2"/>
    <n v="11.7"/>
    <n v="11.7"/>
    <n v="0"/>
    <n v="0"/>
    <s v="Performing "/>
    <s v="Performing "/>
    <x v="2"/>
    <n v="0.32357649190269783"/>
    <s v="Stretched"/>
    <s v="Good"/>
    <s v="Medium"/>
    <s v="High"/>
    <x v="0"/>
    <s v="Medium"/>
  </r>
  <r>
    <n v="23135"/>
    <n v="51"/>
    <s v="Unemployed"/>
    <x v="3"/>
    <n v="10767.71"/>
    <n v="10767.71"/>
    <n v="12546.18"/>
    <n v="12546.18"/>
    <n v="12"/>
    <n v="19.09"/>
    <m/>
    <s v="NULL"/>
    <n v="12.1"/>
    <n v="12.1"/>
    <n v="30"/>
    <n v="30"/>
    <s v="Non-Performing"/>
    <s v="Non-Performing"/>
    <x v="1"/>
    <n v="9.7097247232698511E-2"/>
    <s v="Healthy"/>
    <s v="At Risk"/>
    <s v="Medium"/>
    <s v="Low"/>
    <x v="0"/>
    <s v="High"/>
  </r>
  <r>
    <n v="20407"/>
    <n v="28"/>
    <s v="Contract"/>
    <x v="1"/>
    <n v="3156.18"/>
    <n v="3156.18"/>
    <n v="42762.83"/>
    <n v="42762.83"/>
    <n v="24"/>
    <n v="3.69"/>
    <n v="1"/>
    <n v="1"/>
    <n v="1.9"/>
    <n v="1.9"/>
    <n v="0"/>
    <n v="0"/>
    <s v="Non performing"/>
    <s v="Non-Performing"/>
    <x v="4"/>
    <n v="0.56453832903488821"/>
    <s v="High Stress"/>
    <s v="Good"/>
    <s v="High"/>
    <s v="Low"/>
    <x v="0"/>
    <s v="Medium"/>
  </r>
  <r>
    <n v="20553"/>
    <n v="64"/>
    <s v="Unemployed"/>
    <x v="3"/>
    <n v="2508.11"/>
    <n v="2508.11"/>
    <n v="30431.95"/>
    <n v="30431.95"/>
    <n v="24"/>
    <n v="15.15"/>
    <n v="0"/>
    <n v="0"/>
    <n v="6.8"/>
    <n v="6.8"/>
    <n v="0"/>
    <n v="0"/>
    <s v="Written Off"/>
    <s v="Written Off"/>
    <x v="4"/>
    <n v="0.50555913283973464"/>
    <s v="High Stress"/>
    <s v="Good"/>
    <s v="High"/>
    <s v="Low"/>
    <x v="0"/>
    <s v="Medium"/>
  </r>
  <r>
    <n v="24051"/>
    <n v="48"/>
    <s v="Self-Employed"/>
    <x v="0"/>
    <n v="4036.63"/>
    <n v="4036.63"/>
    <n v="21622.880000000001"/>
    <n v="21622.880000000001"/>
    <n v="24"/>
    <n v="16.8"/>
    <n v="1"/>
    <n v="1"/>
    <n v="7.9"/>
    <n v="7.9"/>
    <m/>
    <s v="NULL"/>
    <s v="Written Off"/>
    <s v="Written Off"/>
    <x v="1"/>
    <n v="0.22319443033751754"/>
    <s v="Healthy"/>
    <s v="NULL"/>
    <s v="Medium"/>
    <s v="Medium"/>
    <x v="0"/>
    <s v="Medium"/>
  </r>
  <r>
    <n v="25038"/>
    <n v="47"/>
    <s v="Contract"/>
    <x v="1"/>
    <n v="5423.56"/>
    <n v="5423.56"/>
    <n v="13408.25"/>
    <n v="13408.25"/>
    <n v="36"/>
    <n v="17.28"/>
    <n v="3"/>
    <n v="3"/>
    <n v="8"/>
    <n v="8"/>
    <m/>
    <s v="NULL"/>
    <s v="Performing "/>
    <s v="Performing "/>
    <x v="1"/>
    <n v="6.8672862269227017E-2"/>
    <s v="Healthy"/>
    <s v="NULL"/>
    <s v="Medium"/>
    <s v="Low"/>
    <x v="0"/>
    <s v="Medium"/>
  </r>
  <r>
    <n v="22998"/>
    <n v="30"/>
    <s v="Unemployed"/>
    <x v="3"/>
    <n v="4298.66"/>
    <n v="4298.66"/>
    <n v="10626.47"/>
    <n v="10626.47"/>
    <n v="24"/>
    <n v="15.97"/>
    <m/>
    <s v="NULL"/>
    <n v="-1.2"/>
    <n v="1.2"/>
    <n v="15"/>
    <n v="15"/>
    <s v="Performing"/>
    <s v="Performing"/>
    <x v="3"/>
    <n v="0.1030017687682518"/>
    <s v="Healthy"/>
    <s v="Good"/>
    <s v="Medium"/>
    <s v="Low"/>
    <x v="0"/>
    <s v="Medium"/>
  </r>
  <r>
    <n v="22081"/>
    <n v="49"/>
    <s v="Salaried "/>
    <x v="2"/>
    <n v="5830.14"/>
    <n v="5830.14"/>
    <n v="14123.9"/>
    <n v="14123.9"/>
    <n v="60"/>
    <n v="25.86"/>
    <n v="0"/>
    <n v="0"/>
    <n v="7.3"/>
    <n v="7.3"/>
    <n v="0"/>
    <n v="0"/>
    <s v="Written Off"/>
    <s v="Written Off"/>
    <x v="0"/>
    <n v="4.0376103032402876E-2"/>
    <s v="Healthy"/>
    <s v="Good"/>
    <s v="Medium"/>
    <s v="High"/>
    <x v="1"/>
    <s v="Medium"/>
  </r>
  <r>
    <n v="21205"/>
    <n v="61"/>
    <s v="Unemployed"/>
    <x v="3"/>
    <n v="3977.38"/>
    <n v="3977.38"/>
    <n v="23366.44"/>
    <n v="23366.44"/>
    <n v="60"/>
    <n v="20.43"/>
    <n v="1"/>
    <n v="1"/>
    <n v="1.7"/>
    <n v="1.7"/>
    <n v="60"/>
    <n v="60"/>
    <s v="Performing"/>
    <s v="Performing"/>
    <x v="3"/>
    <n v="9.7913869599250414E-2"/>
    <s v="Healthy"/>
    <s v="High Risk"/>
    <s v="Medium"/>
    <s v="Low"/>
    <x v="0"/>
    <s v="Medium"/>
  </r>
  <r>
    <n v="24468"/>
    <n v="63"/>
    <s v="Self employed"/>
    <x v="0"/>
    <n v="5153.8999999999996"/>
    <n v="5153.8999999999996"/>
    <n v="2459.81"/>
    <n v="2459.81"/>
    <n v="12"/>
    <n v="15.04"/>
    <n v="3"/>
    <n v="3"/>
    <n v="4.7"/>
    <n v="4.7"/>
    <n v="0"/>
    <n v="0"/>
    <s v="Non-Performing"/>
    <s v="Non-Performing"/>
    <x v="0"/>
    <n v="3.9772631728723237E-2"/>
    <s v="Healthy"/>
    <s v="Good"/>
    <s v="Small"/>
    <s v="Medium"/>
    <x v="1"/>
    <s v="Medium"/>
  </r>
  <r>
    <n v="20901"/>
    <n v="59"/>
    <s v="Self employed"/>
    <x v="0"/>
    <n v="6163.64"/>
    <n v="6163.64"/>
    <m/>
    <s v="NULL"/>
    <n v="6"/>
    <n v="20.51"/>
    <m/>
    <s v="NULL"/>
    <n v="2.2000000000000002"/>
    <n v="2.2000000000000002"/>
    <n v="0"/>
    <n v="0"/>
    <s v="Performing"/>
    <s v="Performing"/>
    <x v="2"/>
    <s v="NULL"/>
    <s v="NULL"/>
    <s v="Good"/>
    <s v="High"/>
    <s v="Medium"/>
    <x v="0"/>
    <s v="Medium"/>
  </r>
  <r>
    <n v="23102"/>
    <n v="29"/>
    <s v="Unemployed"/>
    <x v="3"/>
    <n v="9139.94"/>
    <n v="9139.94"/>
    <n v="17761.82"/>
    <n v="17761.82"/>
    <n v="12"/>
    <n v="12.95"/>
    <m/>
    <s v="NULL"/>
    <n v="1.9"/>
    <n v="1.9"/>
    <n v="60"/>
    <n v="60"/>
    <s v="Non-Performing"/>
    <s v="Non-Performing"/>
    <x v="1"/>
    <n v="0.16194325856260181"/>
    <s v="Healthy"/>
    <s v="High Risk"/>
    <s v="Medium"/>
    <s v="Low"/>
    <x v="0"/>
    <s v="High"/>
  </r>
  <r>
    <n v="24173"/>
    <n v="57"/>
    <s v="Unemployed"/>
    <x v="3"/>
    <n v="6332.59"/>
    <n v="6332.59"/>
    <n v="19625.689999999999"/>
    <n v="19625.689999999999"/>
    <n v="6"/>
    <n v="20.43"/>
    <n v="0"/>
    <n v="0"/>
    <n v="1.8"/>
    <n v="1.8"/>
    <n v="0"/>
    <n v="0"/>
    <s v="Written Off"/>
    <s v="Written Off"/>
    <x v="4"/>
    <n v="0.51652615017446779"/>
    <s v="High Stress"/>
    <s v="Good"/>
    <s v="Medium"/>
    <s v="Low"/>
    <x v="0"/>
    <s v="Medium"/>
  </r>
  <r>
    <n v="23302"/>
    <n v="31"/>
    <s v="Unemployed"/>
    <x v="3"/>
    <n v="3334.2"/>
    <n v="3334.2"/>
    <n v="20863.04"/>
    <n v="20863.04"/>
    <n v="48"/>
    <n v="21.72"/>
    <m/>
    <s v="NULL"/>
    <n v="7.3"/>
    <n v="7.3"/>
    <n v="30"/>
    <n v="30"/>
    <s v="Written Off"/>
    <s v="Written Off"/>
    <x v="4"/>
    <n v="0.13036010637234322"/>
    <s v="Healthy"/>
    <s v="At Risk"/>
    <s v="Medium"/>
    <s v="Low"/>
    <x v="0"/>
    <s v="Medium"/>
  </r>
  <r>
    <n v="21027"/>
    <n v="51"/>
    <s v="Contract"/>
    <x v="1"/>
    <n v="9340.84"/>
    <n v="9340.84"/>
    <n v="34832.050000000003"/>
    <n v="34832.050000000003"/>
    <n v="48"/>
    <n v="15.27"/>
    <m/>
    <s v="NULL"/>
    <n v="3.9"/>
    <n v="3.9"/>
    <n v="120"/>
    <n v="120"/>
    <s v="Performing"/>
    <s v="Performing"/>
    <x v="1"/>
    <n v="7.7687628557317479E-2"/>
    <s v="Healthy"/>
    <s v="High Risk"/>
    <s v="High"/>
    <s v="Low"/>
    <x v="0"/>
    <s v="High"/>
  </r>
  <r>
    <n v="21840"/>
    <n v="42"/>
    <s v="Salaried"/>
    <x v="2"/>
    <n v="4442.28"/>
    <n v="4442.28"/>
    <n v="15912.39"/>
    <n v="15912.39"/>
    <n v="36"/>
    <n v="9.65"/>
    <m/>
    <s v="NULL"/>
    <n v="12.3"/>
    <n v="12.3"/>
    <n v="0"/>
    <n v="0"/>
    <s v="Non performing"/>
    <s v="Non-Performing"/>
    <x v="3"/>
    <n v="9.950089443559014E-2"/>
    <s v="Healthy"/>
    <s v="Good"/>
    <s v="Medium"/>
    <s v="High"/>
    <x v="1"/>
    <s v="Medium"/>
  </r>
  <r>
    <n v="25911"/>
    <n v="52"/>
    <s v="Contract"/>
    <x v="1"/>
    <n v="-1500"/>
    <n v="1500"/>
    <n v="8477.91"/>
    <n v="8477.91"/>
    <n v="12"/>
    <n v="14.21"/>
    <m/>
    <s v="NULL"/>
    <n v="4.9000000000000004"/>
    <n v="4.9000000000000004"/>
    <m/>
    <s v="NULL"/>
    <s v="Non performing"/>
    <s v="Non-Performing"/>
    <x v="4"/>
    <n v="0.470995"/>
    <s v="High Stress"/>
    <s v="NULL"/>
    <s v="Small"/>
    <s v="Low"/>
    <x v="0"/>
    <s v="Low"/>
  </r>
  <r>
    <n v="22378"/>
    <n v="46"/>
    <s v="Self-Employed"/>
    <x v="0"/>
    <n v="5634.99"/>
    <n v="5634.99"/>
    <n v="8422.99"/>
    <n v="8422.99"/>
    <n v="18"/>
    <n v="11.54"/>
    <m/>
    <s v="NULL"/>
    <n v="15.2"/>
    <n v="15.2"/>
    <n v="0"/>
    <n v="0"/>
    <s v="Non performing"/>
    <s v="Non-Performing"/>
    <x v="3"/>
    <n v="8.3042541138296413E-2"/>
    <s v="Healthy"/>
    <s v="Good"/>
    <s v="Small"/>
    <s v="Medium"/>
    <x v="1"/>
    <s v="Medium"/>
  </r>
  <r>
    <n v="20991"/>
    <n v="26"/>
    <s v="Salaried "/>
    <x v="2"/>
    <n v="7732.87"/>
    <n v="7732.87"/>
    <n v="23331.48"/>
    <n v="23331.48"/>
    <n v="36"/>
    <n v="23.96"/>
    <n v="3"/>
    <n v="3"/>
    <n v="6.1"/>
    <n v="6.1"/>
    <m/>
    <s v="NULL"/>
    <s v="Written Off"/>
    <s v="Written Off"/>
    <x v="4"/>
    <n v="8.3810624860713639E-2"/>
    <s v="Healthy"/>
    <s v="NULL"/>
    <s v="Medium"/>
    <s v="High"/>
    <x v="0"/>
    <s v="Medium"/>
  </r>
  <r>
    <n v="25975"/>
    <n v="51"/>
    <s v="Salaried"/>
    <x v="2"/>
    <n v="8000.91"/>
    <n v="8000.91"/>
    <n v="26141.18"/>
    <n v="26141.18"/>
    <n v="24"/>
    <n v="21.52"/>
    <n v="0"/>
    <n v="0"/>
    <n v="4"/>
    <n v="4"/>
    <n v="0"/>
    <n v="0"/>
    <s v="Non performing"/>
    <s v="Non-Performing"/>
    <x v="2"/>
    <n v="0.13613649364051505"/>
    <s v="Healthy"/>
    <s v="Good"/>
    <s v="Medium"/>
    <s v="High"/>
    <x v="1"/>
    <s v="High"/>
  </r>
  <r>
    <n v="20120"/>
    <n v="75"/>
    <s v="Unemployed"/>
    <x v="3"/>
    <n v="7870.52"/>
    <n v="7870.52"/>
    <n v="9479.58"/>
    <n v="9479.58"/>
    <n v="24"/>
    <n v="21.22"/>
    <m/>
    <s v="NULL"/>
    <n v="8.8000000000000007"/>
    <n v="8.8000000000000007"/>
    <n v="0"/>
    <n v="0"/>
    <s v="Non-Performing"/>
    <s v="Non-Performing"/>
    <x v="3"/>
    <n v="5.0185057658197932E-2"/>
    <s v="Healthy"/>
    <s v="Good"/>
    <s v="Small"/>
    <s v="Low"/>
    <x v="0"/>
    <s v="Medium"/>
  </r>
  <r>
    <n v="20438"/>
    <n v="64"/>
    <s v="Salaried"/>
    <x v="2"/>
    <n v="2617.62"/>
    <n v="2617.62"/>
    <n v="6726.47"/>
    <n v="6726.47"/>
    <n v="6"/>
    <n v="27.92"/>
    <m/>
    <s v="NULL"/>
    <n v="7.8"/>
    <n v="7.8"/>
    <n v="90"/>
    <n v="90"/>
    <s v="Non performing"/>
    <s v="Non-Performing"/>
    <x v="0"/>
    <n v="0.42828154328486695"/>
    <s v="Stretched"/>
    <s v="High Risk"/>
    <s v="Small"/>
    <s v="High"/>
    <x v="0"/>
    <s v="Medium"/>
  </r>
  <r>
    <n v="23928"/>
    <n v="52"/>
    <s v="Self employed"/>
    <x v="0"/>
    <n v="5888.65"/>
    <n v="5888.65"/>
    <n v="16859.13"/>
    <n v="16859.13"/>
    <n v="60"/>
    <n v="13.56"/>
    <n v="1"/>
    <n v="1"/>
    <n v="9.1"/>
    <n v="9.1"/>
    <n v="0"/>
    <n v="0"/>
    <s v="Performing"/>
    <s v="Performing"/>
    <x v="0"/>
    <n v="4.7716454535419839E-2"/>
    <s v="Healthy"/>
    <s v="Good"/>
    <s v="Medium"/>
    <s v="Medium"/>
    <x v="1"/>
    <s v="Medium"/>
  </r>
  <r>
    <n v="25173"/>
    <n v="49"/>
    <s v="Self employed"/>
    <x v="0"/>
    <n v="6224.13"/>
    <n v="6224.13"/>
    <n v="23196.21"/>
    <n v="23196.21"/>
    <n v="24"/>
    <n v="21.31"/>
    <m/>
    <s v="NULL"/>
    <n v="3.3"/>
    <n v="3.3"/>
    <n v="90"/>
    <n v="90"/>
    <s v="Non performing"/>
    <s v="Non-Performing"/>
    <x v="3"/>
    <n v="0.15528415216263156"/>
    <s v="Healthy"/>
    <s v="High Risk"/>
    <s v="Medium"/>
    <s v="Medium"/>
    <x v="0"/>
    <s v="Medium"/>
  </r>
  <r>
    <n v="22827"/>
    <n v="40"/>
    <s v="Salaried"/>
    <x v="2"/>
    <n v="9319.65"/>
    <n v="9319.65"/>
    <n v="36186.78"/>
    <n v="36186.78"/>
    <n v="12"/>
    <n v="19.63"/>
    <n v="2"/>
    <n v="2"/>
    <n v="4.5"/>
    <n v="4.5"/>
    <n v="90"/>
    <n v="90"/>
    <s v="Performing"/>
    <s v="Performing"/>
    <x v="3"/>
    <n v="0.32357062765232603"/>
    <s v="Stretched"/>
    <s v="High Risk"/>
    <s v="High"/>
    <s v="High"/>
    <x v="0"/>
    <s v="High"/>
  </r>
  <r>
    <n v="25257"/>
    <n v="55"/>
    <s v="Self-Employed"/>
    <x v="0"/>
    <n v="4111.8599999999997"/>
    <n v="4111.8599999999997"/>
    <n v="8173.02"/>
    <n v="8173.02"/>
    <n v="48"/>
    <n v="16.190000000000001"/>
    <n v="1"/>
    <n v="1"/>
    <n v="4"/>
    <n v="4"/>
    <n v="15"/>
    <n v="15"/>
    <s v="Performing "/>
    <s v="Performing "/>
    <x v="1"/>
    <n v="4.1409787784603573E-2"/>
    <s v="Healthy"/>
    <s v="Good"/>
    <s v="Small"/>
    <s v="Medium"/>
    <x v="1"/>
    <s v="Medium"/>
  </r>
  <r>
    <n v="21868"/>
    <n v="50"/>
    <s v="Salaried"/>
    <x v="2"/>
    <n v="5451.56"/>
    <n v="5451.56"/>
    <n v="22157.78"/>
    <n v="22157.78"/>
    <n v="12"/>
    <n v="20.55"/>
    <n v="0"/>
    <n v="0"/>
    <n v="1.4"/>
    <n v="1.4"/>
    <n v="0"/>
    <n v="0"/>
    <s v="Performing"/>
    <s v="Performing"/>
    <x v="3"/>
    <n v="0.33870702453365026"/>
    <s v="Stretched"/>
    <s v="Good"/>
    <s v="Medium"/>
    <s v="High"/>
    <x v="0"/>
    <s v="Medium"/>
  </r>
  <r>
    <n v="25752"/>
    <n v="44"/>
    <s v="Contract"/>
    <x v="1"/>
    <n v="8993.64"/>
    <n v="8993.64"/>
    <n v="24311.93"/>
    <n v="24311.93"/>
    <n v="24"/>
    <n v="28.72"/>
    <n v="1"/>
    <n v="1"/>
    <n v="6.2"/>
    <n v="6.2"/>
    <n v="0"/>
    <n v="0"/>
    <s v="Non-Performing"/>
    <s v="Non-Performing"/>
    <x v="4"/>
    <n v="0.11263482675905789"/>
    <s v="Healthy"/>
    <s v="Good"/>
    <s v="Medium"/>
    <s v="Low"/>
    <x v="0"/>
    <s v="High"/>
  </r>
  <r>
    <n v="23897"/>
    <n v="44"/>
    <s v="Unemployed"/>
    <x v="3"/>
    <n v="7114.41"/>
    <n v="7114.41"/>
    <n v="15784.44"/>
    <n v="15784.44"/>
    <n v="60"/>
    <n v="11.38"/>
    <n v="3"/>
    <n v="3"/>
    <n v="8.6999999999999993"/>
    <n v="8.6999999999999993"/>
    <n v="15"/>
    <n v="15"/>
    <s v="Non performing"/>
    <s v="Non-Performing"/>
    <x v="0"/>
    <n v="3.6977627097679218E-2"/>
    <s v="Healthy"/>
    <s v="Good"/>
    <s v="Medium"/>
    <s v="Low"/>
    <x v="0"/>
    <s v="Medium"/>
  </r>
  <r>
    <n v="20324"/>
    <n v="44"/>
    <s v="Salaried "/>
    <x v="2"/>
    <n v="6689.69"/>
    <n v="6689.69"/>
    <n v="30117.439999999999"/>
    <n v="30117.439999999999"/>
    <n v="18"/>
    <n v="23.24"/>
    <n v="4"/>
    <n v="4"/>
    <n v="6.7"/>
    <n v="6.7"/>
    <n v="15"/>
    <n v="15"/>
    <s v="Written Off"/>
    <s v="Written Off"/>
    <x v="3"/>
    <n v="0.25011489487720823"/>
    <s v="Healthy"/>
    <s v="Good"/>
    <s v="High"/>
    <s v="High"/>
    <x v="1"/>
    <s v="Medium"/>
  </r>
  <r>
    <n v="24724"/>
    <n v="62"/>
    <s v="Salaried"/>
    <x v="2"/>
    <n v="7708.27"/>
    <n v="7708.27"/>
    <n v="22956.41"/>
    <n v="22956.41"/>
    <n v="18"/>
    <n v="22.51"/>
    <n v="0"/>
    <n v="0"/>
    <n v="10"/>
    <n v="10"/>
    <n v="0"/>
    <n v="0"/>
    <s v="Written Off"/>
    <s v="Written Off"/>
    <x v="3"/>
    <n v="0.16545296300092122"/>
    <s v="Healthy"/>
    <s v="Good"/>
    <s v="Medium"/>
    <s v="High"/>
    <x v="1"/>
    <s v="Medium"/>
  </r>
  <r>
    <n v="20840"/>
    <n v="23"/>
    <s v="Salaried "/>
    <x v="2"/>
    <n v="5416.16"/>
    <n v="5416.16"/>
    <n v="17858.64"/>
    <n v="17858.64"/>
    <n v="36"/>
    <n v="10.31"/>
    <n v="0"/>
    <n v="0"/>
    <n v="2.2999999999999998"/>
    <n v="2.2999999999999998"/>
    <n v="0"/>
    <n v="0"/>
    <s v="Written Off"/>
    <s v="Written Off"/>
    <x v="0"/>
    <n v="9.1591336543479757E-2"/>
    <s v="Healthy"/>
    <s v="Good"/>
    <s v="Medium"/>
    <s v="High"/>
    <x v="1"/>
    <s v="Medium"/>
  </r>
  <r>
    <n v="20625"/>
    <n v="39"/>
    <s v="Self employed"/>
    <x v="0"/>
    <n v="8027.05"/>
    <n v="8027.05"/>
    <n v="30876.38"/>
    <n v="30876.38"/>
    <n v="60"/>
    <n v="20.77"/>
    <m/>
    <s v="NULL"/>
    <n v="7.8"/>
    <n v="7.8"/>
    <n v="0"/>
    <n v="0"/>
    <s v="Non-Performing"/>
    <s v="Non-Performing"/>
    <x v="1"/>
    <n v="6.4109023032537904E-2"/>
    <s v="Healthy"/>
    <s v="Good"/>
    <s v="High"/>
    <s v="Medium"/>
    <x v="1"/>
    <s v="High"/>
  </r>
  <r>
    <n v="22833"/>
    <n v="34"/>
    <s v="Salaried"/>
    <x v="2"/>
    <n v="2350.23"/>
    <n v="2350.23"/>
    <n v="20096.34"/>
    <n v="20096.34"/>
    <n v="24"/>
    <n v="14.58"/>
    <n v="3"/>
    <n v="3"/>
    <n v="11"/>
    <n v="11"/>
    <n v="15"/>
    <n v="15"/>
    <s v="Non performing"/>
    <s v="Non-Performing"/>
    <x v="0"/>
    <n v="0.35628321483429282"/>
    <s v="Stretched"/>
    <s v="Good"/>
    <s v="Medium"/>
    <s v="High"/>
    <x v="0"/>
    <s v="Medium"/>
  </r>
  <r>
    <n v="22631"/>
    <n v="27"/>
    <s v="Self employed"/>
    <x v="0"/>
    <n v="3025.4"/>
    <n v="3025.4"/>
    <n v="12705.8"/>
    <n v="12705.8"/>
    <n v="18"/>
    <n v="24.82"/>
    <n v="1"/>
    <n v="1"/>
    <n v="10.6"/>
    <n v="10.6"/>
    <n v="0"/>
    <n v="0"/>
    <s v="Performing"/>
    <s v="Performing"/>
    <x v="1"/>
    <n v="0.23331717385396233"/>
    <s v="Healthy"/>
    <s v="Good"/>
    <s v="Medium"/>
    <s v="Medium"/>
    <x v="1"/>
    <s v="Medium"/>
  </r>
  <r>
    <n v="24872"/>
    <n v="29"/>
    <s v="Self employed"/>
    <x v="0"/>
    <n v="155.88"/>
    <n v="155.88"/>
    <n v="27864.39"/>
    <n v="27864.39"/>
    <n v="24"/>
    <n v="12.17"/>
    <n v="1"/>
    <n v="1"/>
    <n v="4.5"/>
    <n v="4.5"/>
    <m/>
    <s v="NULL"/>
    <s v="Written Off"/>
    <s v="Written Off"/>
    <x v="2"/>
    <n v="7.4481411983577113"/>
    <s v="High Stress"/>
    <s v="NULL"/>
    <s v="Medium"/>
    <s v="Medium"/>
    <x v="0"/>
    <s v="Low"/>
  </r>
  <r>
    <n v="21358"/>
    <n v="37"/>
    <s v="Salaried"/>
    <x v="2"/>
    <n v="5240.62"/>
    <n v="5240.62"/>
    <n v="19946.07"/>
    <n v="19946.07"/>
    <n v="60"/>
    <n v="17.05"/>
    <n v="4"/>
    <n v="4"/>
    <n v="6.9"/>
    <n v="6.9"/>
    <n v="0"/>
    <n v="0"/>
    <s v="Performing "/>
    <s v="Performing "/>
    <x v="3"/>
    <n v="6.3434192900839972E-2"/>
    <s v="Healthy"/>
    <s v="Good"/>
    <s v="Medium"/>
    <s v="High"/>
    <x v="1"/>
    <s v="Medium"/>
  </r>
  <r>
    <n v="24861"/>
    <n v="27"/>
    <s v="Salaried "/>
    <x v="2"/>
    <n v="6254.51"/>
    <n v="6254.51"/>
    <n v="10032.61"/>
    <n v="10032.61"/>
    <n v="60"/>
    <n v="23.32"/>
    <n v="4"/>
    <n v="4"/>
    <n v="9.3000000000000007"/>
    <n v="9.3000000000000007"/>
    <n v="0"/>
    <n v="0"/>
    <s v="Non performing"/>
    <s v="Non-Performing"/>
    <x v="2"/>
    <n v="2.67343351704077E-2"/>
    <s v="Healthy"/>
    <s v="Good"/>
    <s v="Medium"/>
    <s v="High"/>
    <x v="1"/>
    <s v="Medium"/>
  </r>
  <r>
    <n v="23075"/>
    <n v="47"/>
    <s v="Contract"/>
    <x v="1"/>
    <n v="1870.18"/>
    <n v="1870.18"/>
    <n v="25971.82"/>
    <n v="25971.82"/>
    <n v="36"/>
    <n v="13.73"/>
    <n v="4"/>
    <n v="4"/>
    <n v="6.6"/>
    <n v="6.6"/>
    <m/>
    <s v="NULL"/>
    <s v="Non performing"/>
    <s v="Non-Performing"/>
    <x v="3"/>
    <n v="0.3857593624380779"/>
    <s v="Stretched"/>
    <s v="NULL"/>
    <s v="Medium"/>
    <s v="Low"/>
    <x v="0"/>
    <s v="Low"/>
  </r>
  <r>
    <n v="21384"/>
    <n v="45"/>
    <s v="Salaried "/>
    <x v="2"/>
    <n v="3583.83"/>
    <n v="3583.83"/>
    <n v="23774.42"/>
    <n v="23774.42"/>
    <n v="24"/>
    <n v="10.25"/>
    <n v="2"/>
    <n v="2"/>
    <n v="0.5"/>
    <n v="0.5"/>
    <n v="90"/>
    <n v="90"/>
    <s v="Performing"/>
    <s v="Performing"/>
    <x v="0"/>
    <n v="0.27640843269165483"/>
    <s v="Healthy"/>
    <s v="High Risk"/>
    <s v="Medium"/>
    <s v="High"/>
    <x v="0"/>
    <s v="Medium"/>
  </r>
  <r>
    <n v="25765"/>
    <n v="58"/>
    <s v="Self employed"/>
    <x v="0"/>
    <n v="7224.63"/>
    <n v="7224.63"/>
    <n v="17986.78"/>
    <n v="17986.78"/>
    <n v="48"/>
    <n v="26.13"/>
    <n v="1"/>
    <n v="1"/>
    <n v="9.5"/>
    <n v="9.5"/>
    <n v="120"/>
    <n v="120"/>
    <s v="Performing"/>
    <s v="Performing"/>
    <x v="1"/>
    <n v="5.1867650431002464E-2"/>
    <s v="Healthy"/>
    <s v="High Risk"/>
    <s v="Medium"/>
    <s v="Medium"/>
    <x v="0"/>
    <s v="Medium"/>
  </r>
  <r>
    <n v="25150"/>
    <n v="33"/>
    <s v="Salaried"/>
    <x v="2"/>
    <n v="-1500"/>
    <n v="1500"/>
    <n v="18134.91"/>
    <n v="18134.91"/>
    <n v="6"/>
    <n v="26.61"/>
    <n v="2"/>
    <n v="2"/>
    <n v="10.7"/>
    <n v="10.7"/>
    <n v="90"/>
    <n v="90"/>
    <s v="Non-Performing"/>
    <s v="Non-Performing"/>
    <x v="3"/>
    <n v="2.0149900000000001"/>
    <s v="High Stress"/>
    <s v="High Risk"/>
    <s v="Medium"/>
    <s v="High"/>
    <x v="0"/>
    <s v="Low"/>
  </r>
  <r>
    <n v="25350"/>
    <n v="22"/>
    <s v="Unemployed"/>
    <x v="3"/>
    <n v="4658.63"/>
    <n v="4658.63"/>
    <n v="33810.79"/>
    <n v="33810.79"/>
    <n v="60"/>
    <n v="22.27"/>
    <n v="3"/>
    <n v="3"/>
    <n v="7.9"/>
    <n v="7.9"/>
    <n v="30"/>
    <n v="30"/>
    <s v="Non performing"/>
    <s v="Non-Performing"/>
    <x v="1"/>
    <n v="0.12096113378110447"/>
    <s v="Healthy"/>
    <s v="At Risk"/>
    <s v="High"/>
    <s v="Low"/>
    <x v="0"/>
    <s v="Medium"/>
  </r>
  <r>
    <n v="22240"/>
    <n v="29"/>
    <s v="Self-Employed"/>
    <x v="0"/>
    <n v="7389.03"/>
    <n v="7389.03"/>
    <n v="13386.71"/>
    <n v="13386.71"/>
    <n v="24"/>
    <n v="18.8"/>
    <n v="0"/>
    <n v="0"/>
    <n v="2.4"/>
    <n v="2.4"/>
    <n v="0"/>
    <n v="0"/>
    <s v="Written Off"/>
    <s v="Written Off"/>
    <x v="1"/>
    <n v="7.5487524523967731E-2"/>
    <s v="Healthy"/>
    <s v="Good"/>
    <s v="Medium"/>
    <s v="Medium"/>
    <x v="1"/>
    <s v="Medium"/>
  </r>
  <r>
    <n v="23265"/>
    <n v="29"/>
    <s v="Unemployed"/>
    <x v="3"/>
    <n v="5137.4799999999996"/>
    <n v="5137.4799999999996"/>
    <n v="10834.8"/>
    <n v="10834.8"/>
    <n v="12"/>
    <n v="19.03"/>
    <n v="1"/>
    <n v="1"/>
    <n v="0.2"/>
    <n v="0.2"/>
    <n v="60"/>
    <n v="60"/>
    <s v="Written Off"/>
    <s v="Written Off"/>
    <x v="0"/>
    <n v="0.17574764281320804"/>
    <s v="Healthy"/>
    <s v="High Risk"/>
    <s v="Medium"/>
    <s v="Low"/>
    <x v="0"/>
    <s v="Medium"/>
  </r>
  <r>
    <n v="21892"/>
    <n v="59"/>
    <s v="Salaried "/>
    <x v="2"/>
    <n v="3725.37"/>
    <n v="3725.37"/>
    <n v="-1600.44"/>
    <n v="1600.44"/>
    <n v="18"/>
    <n v="14.24"/>
    <n v="4"/>
    <n v="4"/>
    <n v="4.5999999999999996"/>
    <n v="4.5999999999999996"/>
    <n v="30"/>
    <n v="30"/>
    <s v="Performing"/>
    <s v="Performing"/>
    <x v="2"/>
    <n v="2.386698055047776E-2"/>
    <s v="Healthy"/>
    <s v="At Risk"/>
    <s v="Small"/>
    <s v="High"/>
    <x v="0"/>
    <s v="Medium"/>
  </r>
  <r>
    <n v="21132"/>
    <n v="62"/>
    <s v="Salaried "/>
    <x v="2"/>
    <n v="1128.19"/>
    <n v="1128.19"/>
    <n v="23204.45"/>
    <n v="23204.45"/>
    <n v="6"/>
    <n v="19.11"/>
    <n v="3"/>
    <n v="3"/>
    <n v="6.3"/>
    <n v="6.3"/>
    <m/>
    <s v="NULL"/>
    <s v="Non performing"/>
    <s v="Non-Performing"/>
    <x v="0"/>
    <n v="3.42797607967925"/>
    <s v="High Stress"/>
    <s v="NULL"/>
    <s v="Medium"/>
    <s v="High"/>
    <x v="0"/>
    <s v="Low"/>
  </r>
  <r>
    <n v="20240"/>
    <n v="26"/>
    <s v="Contract"/>
    <x v="1"/>
    <n v="7304.75"/>
    <n v="7304.75"/>
    <n v="21233.87"/>
    <n v="21233.87"/>
    <n v="6"/>
    <n v="21.92"/>
    <n v="4"/>
    <n v="4"/>
    <n v="4.8"/>
    <n v="4.8"/>
    <n v="90"/>
    <n v="90"/>
    <s v="Performing"/>
    <s v="Performing"/>
    <x v="0"/>
    <n v="0.48447631107612626"/>
    <s v="High Stress"/>
    <s v="High Risk"/>
    <s v="Medium"/>
    <s v="Low"/>
    <x v="2"/>
    <s v="Medium"/>
  </r>
  <r>
    <n v="20219"/>
    <n v="75"/>
    <s v="Self employed"/>
    <x v="0"/>
    <n v="4502.88"/>
    <n v="4502.88"/>
    <n v="18456.93"/>
    <n v="18456.93"/>
    <n v="12"/>
    <n v="12.83"/>
    <n v="3"/>
    <n v="3"/>
    <n v="8.8000000000000007"/>
    <n v="8.8000000000000007"/>
    <n v="60"/>
    <n v="60"/>
    <s v="Written Off"/>
    <s v="Written Off"/>
    <x v="3"/>
    <n v="0.34157639110968979"/>
    <s v="Stretched"/>
    <s v="High Risk"/>
    <s v="Medium"/>
    <s v="Medium"/>
    <x v="0"/>
    <s v="Medium"/>
  </r>
  <r>
    <n v="25854"/>
    <n v="53"/>
    <s v="Contract"/>
    <x v="1"/>
    <n v="3393.76"/>
    <n v="3393.76"/>
    <n v="11701.79"/>
    <n v="11701.79"/>
    <n v="60"/>
    <n v="21.65"/>
    <n v="2"/>
    <n v="2"/>
    <n v="13.9"/>
    <n v="13.9"/>
    <n v="15"/>
    <n v="15"/>
    <s v="Written Off"/>
    <s v="Written Off"/>
    <x v="2"/>
    <n v="5.7467184872628987E-2"/>
    <s v="Healthy"/>
    <s v="Good"/>
    <s v="Medium"/>
    <s v="Low"/>
    <x v="0"/>
    <s v="Medium"/>
  </r>
  <r>
    <n v="22768"/>
    <n v="45"/>
    <s v="Unemployed"/>
    <x v="3"/>
    <n v="9085.36"/>
    <n v="9085.36"/>
    <n v="34632.79"/>
    <n v="34632.79"/>
    <n v="12"/>
    <n v="10.88"/>
    <m/>
    <s v="NULL"/>
    <n v="6.4"/>
    <n v="6.4"/>
    <n v="60"/>
    <n v="60"/>
    <s v="Performing"/>
    <s v="Performing"/>
    <x v="2"/>
    <n v="0.31766114202776041"/>
    <s v="Stretched"/>
    <s v="High Risk"/>
    <s v="High"/>
    <s v="Low"/>
    <x v="0"/>
    <s v="High"/>
  </r>
  <r>
    <n v="22693"/>
    <n v="42"/>
    <s v="Unemployed"/>
    <x v="3"/>
    <n v="5353.09"/>
    <n v="5353.09"/>
    <m/>
    <s v="NULL"/>
    <n v="6"/>
    <n v="25.9"/>
    <n v="3"/>
    <n v="3"/>
    <n v="9.3000000000000007"/>
    <n v="9.3000000000000007"/>
    <n v="0"/>
    <n v="0"/>
    <s v="Performing "/>
    <s v="Performing "/>
    <x v="3"/>
    <s v="NULL"/>
    <s v="NULL"/>
    <s v="Good"/>
    <s v="High"/>
    <s v="Low"/>
    <x v="0"/>
    <s v="Medium"/>
  </r>
  <r>
    <n v="24246"/>
    <n v="31"/>
    <s v="Unemployed"/>
    <x v="3"/>
    <n v="4964.2700000000004"/>
    <n v="4964.2700000000004"/>
    <n v="16536.38"/>
    <n v="16536.38"/>
    <n v="12"/>
    <n v="20.32"/>
    <n v="1"/>
    <n v="1"/>
    <n v="8.5"/>
    <n v="8.5"/>
    <n v="90"/>
    <n v="90"/>
    <s v="Written Off"/>
    <s v="Written Off"/>
    <x v="2"/>
    <n v="0.27758999141196322"/>
    <s v="Healthy"/>
    <s v="High Risk"/>
    <s v="Medium"/>
    <s v="Low"/>
    <x v="0"/>
    <s v="Medium"/>
  </r>
  <r>
    <n v="22716"/>
    <n v="53"/>
    <s v="Self employed"/>
    <x v="0"/>
    <n v="11856.95"/>
    <n v="11856.95"/>
    <n v="10970"/>
    <n v="10970"/>
    <n v="6"/>
    <n v="24.34"/>
    <n v="2"/>
    <n v="2"/>
    <n v="10.5"/>
    <n v="10.5"/>
    <n v="60"/>
    <n v="60"/>
    <s v="Performing "/>
    <s v="Performing "/>
    <x v="3"/>
    <n v="0.15419929520942005"/>
    <s v="Healthy"/>
    <s v="High Risk"/>
    <s v="Medium"/>
    <s v="Medium"/>
    <x v="0"/>
    <s v="High"/>
  </r>
  <r>
    <n v="21453"/>
    <n v="75"/>
    <s v="Salaried"/>
    <x v="2"/>
    <n v="921.09"/>
    <n v="921.09"/>
    <n v="19776.490000000002"/>
    <n v="19776.490000000002"/>
    <n v="18"/>
    <n v="17.75"/>
    <n v="1"/>
    <n v="1"/>
    <n v="8.9"/>
    <n v="8.9"/>
    <n v="0"/>
    <n v="0"/>
    <s v="Written Off"/>
    <s v="Written Off"/>
    <x v="1"/>
    <n v="1.1928192564123907"/>
    <s v="High Stress"/>
    <s v="Good"/>
    <s v="Medium"/>
    <s v="High"/>
    <x v="0"/>
    <s v="Low"/>
  </r>
  <r>
    <n v="25497"/>
    <n v="39"/>
    <s v="Unemployed"/>
    <x v="3"/>
    <n v="5364.69"/>
    <n v="5364.69"/>
    <n v="11725.07"/>
    <n v="11725.07"/>
    <n v="60"/>
    <n v="23.21"/>
    <n v="0"/>
    <n v="0"/>
    <n v="5.6"/>
    <n v="5.6"/>
    <n v="15"/>
    <n v="15"/>
    <s v="Non-Performing"/>
    <s v="Non-Performing"/>
    <x v="0"/>
    <n v="3.6426677652079312E-2"/>
    <s v="Healthy"/>
    <s v="Good"/>
    <s v="Medium"/>
    <s v="Low"/>
    <x v="0"/>
    <s v="Medium"/>
  </r>
  <r>
    <n v="25579"/>
    <n v="59"/>
    <s v="Contract"/>
    <x v="1"/>
    <n v="2923.56"/>
    <n v="2923.56"/>
    <n v="26745.51"/>
    <n v="26745.51"/>
    <n v="48"/>
    <n v="7.93"/>
    <n v="2"/>
    <n v="2"/>
    <n v="3.8"/>
    <n v="3.8"/>
    <n v="15"/>
    <n v="15"/>
    <s v="Non-Performing"/>
    <s v="Non-Performing"/>
    <x v="4"/>
    <n v="0.19058891385844653"/>
    <s v="Healthy"/>
    <s v="Good"/>
    <s v="Medium"/>
    <s v="Low"/>
    <x v="0"/>
    <s v="Medium"/>
  </r>
  <r>
    <n v="25569"/>
    <n v="46"/>
    <s v="Self employed"/>
    <x v="0"/>
    <n v="6506.02"/>
    <n v="6506.02"/>
    <n v="26062.77"/>
    <n v="26062.77"/>
    <n v="48"/>
    <n v="26.82"/>
    <n v="1"/>
    <n v="1"/>
    <n v="5.3"/>
    <n v="5.3"/>
    <n v="0"/>
    <n v="0"/>
    <s v="Written Off"/>
    <s v="Written Off"/>
    <x v="3"/>
    <n v="8.3457225000845361E-2"/>
    <s v="Healthy"/>
    <s v="Good"/>
    <s v="Medium"/>
    <s v="Medium"/>
    <x v="1"/>
    <s v="Medium"/>
  </r>
  <r>
    <n v="20794"/>
    <n v="31"/>
    <s v="Self employed"/>
    <x v="0"/>
    <n v="5056.54"/>
    <n v="5056.54"/>
    <n v="13590.66"/>
    <n v="13590.66"/>
    <n v="60"/>
    <n v="6.82"/>
    <n v="0"/>
    <n v="0"/>
    <n v="3.8"/>
    <n v="3.8"/>
    <n v="15"/>
    <n v="15"/>
    <s v="Non performing"/>
    <s v="Non-Performing"/>
    <x v="4"/>
    <n v="4.4795650780968803E-2"/>
    <s v="Healthy"/>
    <s v="Good"/>
    <s v="Medium"/>
    <s v="Medium"/>
    <x v="1"/>
    <s v="Medium"/>
  </r>
  <r>
    <n v="25060"/>
    <n v="40"/>
    <s v="Salaried"/>
    <x v="2"/>
    <n v="4461.42"/>
    <n v="4461.42"/>
    <n v="29736.62"/>
    <n v="29736.62"/>
    <n v="24"/>
    <n v="20.97"/>
    <n v="3"/>
    <n v="3"/>
    <n v="8.6"/>
    <n v="8.6"/>
    <n v="0"/>
    <n v="0"/>
    <s v="Non-Performing"/>
    <s v="Non-Performing"/>
    <x v="0"/>
    <n v="0.27772006072804922"/>
    <s v="Healthy"/>
    <s v="Good"/>
    <s v="Medium"/>
    <s v="High"/>
    <x v="1"/>
    <s v="Medium"/>
  </r>
  <r>
    <n v="20006"/>
    <n v="44"/>
    <s v="Contract"/>
    <x v="1"/>
    <n v="4121.55"/>
    <n v="4121.55"/>
    <n v="8987.86"/>
    <n v="8987.86"/>
    <n v="6"/>
    <n v="16.309999999999999"/>
    <n v="1"/>
    <n v="1"/>
    <n v="12.2"/>
    <n v="12.2"/>
    <n v="0"/>
    <n v="0"/>
    <s v="Performing "/>
    <s v="Performing "/>
    <x v="4"/>
    <n v="0.36344983481133714"/>
    <s v="Stretched"/>
    <s v="Good"/>
    <s v="Small"/>
    <s v="Low"/>
    <x v="0"/>
    <s v="Medium"/>
  </r>
  <r>
    <n v="22945"/>
    <n v="27"/>
    <s v="Self employed"/>
    <x v="0"/>
    <n v="7132.37"/>
    <n v="7132.37"/>
    <n v="15709.42"/>
    <n v="15709.42"/>
    <n v="48"/>
    <n v="18.190000000000001"/>
    <n v="2"/>
    <n v="2"/>
    <n v="9.3000000000000007"/>
    <n v="9.3000000000000007"/>
    <n v="90"/>
    <n v="90"/>
    <s v="Non-Performing"/>
    <s v="Non-Performing"/>
    <x v="1"/>
    <n v="4.5886512243943224E-2"/>
    <s v="Healthy"/>
    <s v="High Risk"/>
    <s v="Medium"/>
    <s v="Medium"/>
    <x v="0"/>
    <s v="Medium"/>
  </r>
  <r>
    <n v="25806"/>
    <n v="37"/>
    <s v="Salaried "/>
    <x v="2"/>
    <n v="3139.27"/>
    <n v="3139.27"/>
    <n v="16823.57"/>
    <n v="16823.57"/>
    <n v="36"/>
    <n v="13.39"/>
    <n v="0"/>
    <n v="0"/>
    <n v="2.2999999999999998"/>
    <n v="2.2999999999999998"/>
    <n v="0"/>
    <n v="0"/>
    <s v="Performing"/>
    <s v="Performing"/>
    <x v="3"/>
    <n v="0.14886307609376984"/>
    <s v="Healthy"/>
    <s v="Good"/>
    <s v="Medium"/>
    <s v="High"/>
    <x v="1"/>
    <s v="Medium"/>
  </r>
  <r>
    <n v="20274"/>
    <n v="29"/>
    <s v="Self employed"/>
    <x v="0"/>
    <n v="6788.66"/>
    <n v="6788.66"/>
    <n v="33421.93"/>
    <n v="33421.93"/>
    <n v="48"/>
    <n v="12.81"/>
    <n v="3"/>
    <n v="3"/>
    <n v="7.3"/>
    <n v="7.3"/>
    <n v="15"/>
    <n v="15"/>
    <s v="Performing"/>
    <s v="Performing"/>
    <x v="2"/>
    <n v="0.10256666386788164"/>
    <s v="Healthy"/>
    <s v="Good"/>
    <s v="High"/>
    <s v="Medium"/>
    <x v="1"/>
    <s v="Medium"/>
  </r>
  <r>
    <n v="25963"/>
    <n v="34"/>
    <s v="Contract"/>
    <x v="1"/>
    <n v="6522"/>
    <n v="6522"/>
    <n v="26877.21"/>
    <n v="26877.21"/>
    <n v="24"/>
    <n v="22.03"/>
    <m/>
    <s v="NULL"/>
    <n v="15.9"/>
    <n v="15.9"/>
    <m/>
    <s v="NULL"/>
    <s v="Written Off"/>
    <s v="Written Off"/>
    <x v="0"/>
    <n v="0.17170863998773381"/>
    <s v="Healthy"/>
    <s v="NULL"/>
    <s v="Medium"/>
    <s v="Low"/>
    <x v="0"/>
    <s v="Medium"/>
  </r>
  <r>
    <n v="25784"/>
    <n v="28"/>
    <s v="Self-Employed"/>
    <x v="0"/>
    <n v="2425.48"/>
    <n v="2425.48"/>
    <n v="16304.23"/>
    <n v="16304.23"/>
    <n v="36"/>
    <n v="23.7"/>
    <n v="4"/>
    <n v="4"/>
    <n v="5.9"/>
    <n v="5.9"/>
    <m/>
    <s v="NULL"/>
    <s v="Performing"/>
    <s v="Performing"/>
    <x v="1"/>
    <n v="0.18672397949180278"/>
    <s v="Healthy"/>
    <s v="NULL"/>
    <s v="Medium"/>
    <s v="Medium"/>
    <x v="0"/>
    <s v="Medium"/>
  </r>
  <r>
    <n v="24803"/>
    <n v="61"/>
    <s v="Self employed"/>
    <x v="0"/>
    <n v="296.3"/>
    <n v="296.3"/>
    <n v="12214.97"/>
    <n v="12214.97"/>
    <n v="12"/>
    <n v="16.89"/>
    <n v="2"/>
    <n v="2"/>
    <n v="7.1"/>
    <n v="7.1"/>
    <n v="90"/>
    <n v="90"/>
    <s v="Non-Performing"/>
    <s v="Non-Performing"/>
    <x v="1"/>
    <n v="3.4354173697828774"/>
    <s v="High Stress"/>
    <s v="High Risk"/>
    <s v="Medium"/>
    <s v="Medium"/>
    <x v="0"/>
    <s v="Low"/>
  </r>
  <r>
    <n v="25079"/>
    <n v="38"/>
    <s v="Salaried"/>
    <x v="2"/>
    <n v="4746.32"/>
    <n v="4746.32"/>
    <n v="20119.18"/>
    <n v="20119.18"/>
    <n v="6"/>
    <n v="24.06"/>
    <n v="1"/>
    <n v="1"/>
    <n v="9.3000000000000007"/>
    <n v="9.3000000000000007"/>
    <m/>
    <s v="NULL"/>
    <s v="Written Off"/>
    <s v="Written Off"/>
    <x v="2"/>
    <n v="0.70648347913049836"/>
    <s v="High Stress"/>
    <s v="NULL"/>
    <s v="Medium"/>
    <s v="High"/>
    <x v="0"/>
    <s v="Medium"/>
  </r>
  <r>
    <n v="24941"/>
    <n v="23"/>
    <s v="Salaried"/>
    <x v="2"/>
    <n v="7198.46"/>
    <n v="7198.46"/>
    <n v="20630.810000000001"/>
    <n v="20630.810000000001"/>
    <n v="60"/>
    <n v="10.57"/>
    <n v="3"/>
    <n v="3"/>
    <n v="8"/>
    <n v="8"/>
    <n v="0"/>
    <n v="0"/>
    <s v="Performing "/>
    <s v="Performing "/>
    <x v="3"/>
    <n v="4.7766721400595874E-2"/>
    <s v="Healthy"/>
    <s v="Good"/>
    <s v="Medium"/>
    <s v="High"/>
    <x v="1"/>
    <s v="Medium"/>
  </r>
  <r>
    <n v="23125"/>
    <n v="21"/>
    <s v="Unemployed"/>
    <x v="3"/>
    <n v="8010.07"/>
    <n v="8010.07"/>
    <n v="-747.23"/>
    <n v="747.23"/>
    <n v="24"/>
    <n v="15.63"/>
    <n v="3"/>
    <n v="3"/>
    <n v="13.7"/>
    <n v="13.7"/>
    <n v="0"/>
    <n v="0"/>
    <s v="Performing"/>
    <s v="Performing"/>
    <x v="4"/>
    <n v="3.8869302432230101E-3"/>
    <s v="Healthy"/>
    <s v="Good"/>
    <s v="Small"/>
    <s v="Low"/>
    <x v="0"/>
    <s v="High"/>
  </r>
  <r>
    <n v="21736"/>
    <n v="26"/>
    <s v="Contract"/>
    <x v="1"/>
    <n v="3542.04"/>
    <n v="3542.04"/>
    <n v="25809.35"/>
    <n v="25809.35"/>
    <n v="6"/>
    <n v="26.62"/>
    <n v="2"/>
    <n v="2"/>
    <n v="2"/>
    <n v="2"/>
    <n v="30"/>
    <n v="30"/>
    <s v="Performing"/>
    <s v="Performing"/>
    <x v="0"/>
    <n v="1.2144296318882151"/>
    <s v="High Stress"/>
    <s v="At Risk"/>
    <s v="Medium"/>
    <s v="Low"/>
    <x v="0"/>
    <s v="Medium"/>
  </r>
  <r>
    <n v="22525"/>
    <n v="30"/>
    <s v="Salaried"/>
    <x v="2"/>
    <n v="3573.06"/>
    <n v="3573.06"/>
    <n v="21880.93"/>
    <n v="21880.93"/>
    <n v="36"/>
    <n v="22.82"/>
    <n v="0"/>
    <n v="0"/>
    <n v="9.4"/>
    <n v="9.4"/>
    <n v="15"/>
    <n v="15"/>
    <s v="Performing "/>
    <s v="Performing "/>
    <x v="0"/>
    <n v="0.17010730609368752"/>
    <s v="Healthy"/>
    <s v="Good"/>
    <s v="Medium"/>
    <s v="High"/>
    <x v="1"/>
    <s v="Medium"/>
  </r>
  <r>
    <n v="25734"/>
    <n v="57"/>
    <s v="Self employed"/>
    <x v="0"/>
    <n v="4369.55"/>
    <n v="4369.55"/>
    <n v="34421.589999999997"/>
    <n v="34421.589999999997"/>
    <n v="18"/>
    <n v="13.39"/>
    <n v="4"/>
    <n v="4"/>
    <n v="3.9"/>
    <n v="3.9"/>
    <n v="0"/>
    <n v="0"/>
    <s v="Non-Performing"/>
    <s v="Non-Performing"/>
    <x v="4"/>
    <n v="0.43764473585507779"/>
    <s v="Stretched"/>
    <s v="Good"/>
    <s v="High"/>
    <s v="Medium"/>
    <x v="0"/>
    <s v="Medium"/>
  </r>
  <r>
    <n v="25704"/>
    <n v="36"/>
    <s v="Salaried"/>
    <x v="2"/>
    <n v="944.23"/>
    <n v="944.23"/>
    <n v="16500.580000000002"/>
    <n v="16500.580000000002"/>
    <n v="48"/>
    <n v="23.7"/>
    <n v="1"/>
    <n v="1"/>
    <n v="6.2"/>
    <n v="6.2"/>
    <n v="15"/>
    <n v="15"/>
    <s v="Written Off"/>
    <s v="Written Off"/>
    <x v="1"/>
    <n v="0.3640660467612058"/>
    <s v="Stretched"/>
    <s v="Good"/>
    <s v="Medium"/>
    <s v="High"/>
    <x v="0"/>
    <s v="Low"/>
  </r>
  <r>
    <n v="25309"/>
    <n v="54"/>
    <s v="Salaried"/>
    <x v="2"/>
    <n v="5097.2"/>
    <n v="5097.2"/>
    <n v="26973.89"/>
    <n v="26973.89"/>
    <n v="6"/>
    <n v="18.21"/>
    <n v="0"/>
    <n v="0"/>
    <n v="9.4"/>
    <n v="9.4"/>
    <n v="30"/>
    <n v="30"/>
    <s v="Performing"/>
    <s v="Performing"/>
    <x v="3"/>
    <n v="0.88198389965732826"/>
    <s v="High Stress"/>
    <s v="At Risk"/>
    <s v="Medium"/>
    <s v="High"/>
    <x v="0"/>
    <s v="Medium"/>
  </r>
  <r>
    <n v="22794"/>
    <n v="75"/>
    <s v="Self employed"/>
    <x v="0"/>
    <n v="4286.24"/>
    <n v="4286.24"/>
    <n v="33263.21"/>
    <n v="33263.21"/>
    <n v="24"/>
    <n v="21.34"/>
    <n v="1"/>
    <n v="1"/>
    <n v="0.2"/>
    <n v="0.2"/>
    <m/>
    <s v="NULL"/>
    <s v="Performing "/>
    <s v="Performing "/>
    <x v="0"/>
    <n v="0.32335265485211595"/>
    <s v="Stretched"/>
    <s v="NULL"/>
    <s v="High"/>
    <s v="Medium"/>
    <x v="0"/>
    <s v="Medium"/>
  </r>
  <r>
    <n v="22340"/>
    <n v="120"/>
    <s v="Salaried "/>
    <x v="2"/>
    <n v="4385.8100000000004"/>
    <n v="4385.8100000000004"/>
    <n v="16187.89"/>
    <n v="16187.89"/>
    <n v="60"/>
    <n v="15.77"/>
    <n v="4"/>
    <n v="4"/>
    <n v="14.2"/>
    <n v="14.2"/>
    <n v="0"/>
    <n v="0"/>
    <s v="Performing"/>
    <s v="Performing"/>
    <x v="1"/>
    <n v="6.1516154750585778E-2"/>
    <s v="Healthy"/>
    <s v="Good"/>
    <s v="Medium"/>
    <s v="High"/>
    <x v="3"/>
    <s v="Medium"/>
  </r>
  <r>
    <n v="23242"/>
    <n v="18"/>
    <s v="Salaried"/>
    <x v="2"/>
    <n v="1655.64"/>
    <n v="1655.64"/>
    <n v="20562.47"/>
    <n v="20562.47"/>
    <n v="12"/>
    <n v="20.22"/>
    <n v="3"/>
    <n v="3"/>
    <n v="7.5"/>
    <n v="7.5"/>
    <m/>
    <s v="NULL"/>
    <s v="Performing "/>
    <s v="Performing "/>
    <x v="1"/>
    <n v="1.0349708672577775"/>
    <s v="High Stress"/>
    <s v="NULL"/>
    <s v="Medium"/>
    <s v="High"/>
    <x v="0"/>
    <s v="Low"/>
  </r>
  <r>
    <n v="20725"/>
    <n v="18"/>
    <s v="Self employed"/>
    <x v="0"/>
    <n v="4708.43"/>
    <n v="4708.43"/>
    <n v="18480.919999999998"/>
    <n v="18480.919999999998"/>
    <n v="24"/>
    <n v="6.84"/>
    <n v="0"/>
    <n v="0"/>
    <n v="9.1999999999999993"/>
    <n v="9.1999999999999993"/>
    <m/>
    <s v="NULL"/>
    <s v="Non performing"/>
    <s v="Non-Performing"/>
    <x v="0"/>
    <n v="0.1635446068717881"/>
    <s v="Healthy"/>
    <s v="NULL"/>
    <s v="Medium"/>
    <s v="Medium"/>
    <x v="0"/>
    <s v="Medium"/>
  </r>
  <r>
    <n v="24027"/>
    <n v="36"/>
    <s v="Salaried"/>
    <x v="2"/>
    <n v="3400.7"/>
    <n v="3400.7"/>
    <n v="6670.62"/>
    <n v="6670.62"/>
    <n v="18"/>
    <n v="13.98"/>
    <n v="4"/>
    <n v="4"/>
    <n v="0.1"/>
    <n v="0.1"/>
    <m/>
    <s v="NULL"/>
    <s v="Written Off"/>
    <s v="Written Off"/>
    <x v="4"/>
    <n v="0.1089746228717617"/>
    <s v="Healthy"/>
    <s v="NULL"/>
    <s v="Small"/>
    <s v="High"/>
    <x v="0"/>
    <s v="Medium"/>
  </r>
  <r>
    <n v="25940"/>
    <n v="39"/>
    <s v="Contract"/>
    <x v="1"/>
    <n v="6383.46"/>
    <n v="6383.46"/>
    <n v="12307.91"/>
    <n v="12307.91"/>
    <n v="18"/>
    <n v="22.29"/>
    <n v="2"/>
    <n v="2"/>
    <n v="7.2"/>
    <n v="7.2"/>
    <n v="0"/>
    <n v="0"/>
    <s v="Non performing"/>
    <s v="Non-Performing"/>
    <x v="2"/>
    <n v="0.10711632528092567"/>
    <s v="Healthy"/>
    <s v="Good"/>
    <s v="Medium"/>
    <s v="Low"/>
    <x v="0"/>
    <s v="Medium"/>
  </r>
  <r>
    <n v="25382"/>
    <n v="21"/>
    <s v="Salaried "/>
    <x v="2"/>
    <n v="6200.98"/>
    <n v="6200.98"/>
    <n v="28074.6"/>
    <n v="28074.6"/>
    <n v="36"/>
    <n v="17.600000000000001"/>
    <n v="2"/>
    <n v="2"/>
    <n v="11"/>
    <n v="11"/>
    <n v="0"/>
    <n v="0"/>
    <s v="Written Off"/>
    <s v="Written Off"/>
    <x v="1"/>
    <n v="0.12576237949485405"/>
    <s v="Healthy"/>
    <s v="Good"/>
    <s v="Medium"/>
    <s v="High"/>
    <x v="1"/>
    <s v="Medium"/>
  </r>
  <r>
    <n v="23965"/>
    <n v="28"/>
    <s v="Contract"/>
    <x v="1"/>
    <n v="3330.99"/>
    <n v="3330.99"/>
    <n v="33795.68"/>
    <n v="33795.68"/>
    <n v="48"/>
    <n v="16.63"/>
    <n v="2"/>
    <n v="2"/>
    <n v="11.4"/>
    <n v="11.4"/>
    <n v="120"/>
    <n v="120"/>
    <s v="Written Off"/>
    <s v="Written Off"/>
    <x v="0"/>
    <n v="0.21137159423074423"/>
    <s v="Healthy"/>
    <s v="High Risk"/>
    <s v="High"/>
    <s v="Low"/>
    <x v="0"/>
    <s v="Medium"/>
  </r>
  <r>
    <n v="22816"/>
    <n v="36"/>
    <s v="Unemployed"/>
    <x v="3"/>
    <n v="5688"/>
    <n v="5688"/>
    <n v="16253.4"/>
    <n v="16253.4"/>
    <n v="60"/>
    <n v="10.76"/>
    <m/>
    <s v="NULL"/>
    <n v="7"/>
    <n v="7"/>
    <m/>
    <s v="NULL"/>
    <s v="Non-Performing"/>
    <s v="Non-Performing"/>
    <x v="0"/>
    <n v="4.7624824191279884E-2"/>
    <s v="Healthy"/>
    <s v="NULL"/>
    <s v="Medium"/>
    <s v="Low"/>
    <x v="0"/>
    <s v="Medium"/>
  </r>
  <r>
    <n v="24688"/>
    <n v="23"/>
    <s v="Self-Employed"/>
    <x v="0"/>
    <n v="6424.31"/>
    <n v="6424.31"/>
    <n v="27291.03"/>
    <n v="27291.03"/>
    <n v="18"/>
    <n v="15.32"/>
    <n v="0"/>
    <n v="0"/>
    <n v="6.9"/>
    <n v="6.9"/>
    <n v="60"/>
    <n v="60"/>
    <s v="Non performing"/>
    <s v="Non-Performing"/>
    <x v="0"/>
    <n v="0.2360048524017884"/>
    <s v="Healthy"/>
    <s v="High Risk"/>
    <s v="Medium"/>
    <s v="Medium"/>
    <x v="0"/>
    <s v="Medium"/>
  </r>
  <r>
    <n v="22345"/>
    <n v="62"/>
    <s v="Contract"/>
    <x v="1"/>
    <n v="4612.8900000000003"/>
    <n v="4612.8900000000003"/>
    <n v="22866.89"/>
    <n v="22866.89"/>
    <n v="6"/>
    <n v="22.52"/>
    <n v="2"/>
    <n v="2"/>
    <n v="8.9"/>
    <n v="8.9"/>
    <n v="60"/>
    <n v="60"/>
    <s v="Performing "/>
    <s v="Performing "/>
    <x v="1"/>
    <n v="0.82619536414987849"/>
    <s v="High Stress"/>
    <s v="High Risk"/>
    <s v="Medium"/>
    <s v="Low"/>
    <x v="2"/>
    <s v="Medium"/>
  </r>
  <r>
    <n v="23333"/>
    <n v="22"/>
    <s v="Contract"/>
    <x v="1"/>
    <n v="6867.49"/>
    <n v="6867.49"/>
    <n v="19448.650000000001"/>
    <n v="19448.650000000001"/>
    <n v="36"/>
    <n v="14.2"/>
    <n v="4"/>
    <n v="4"/>
    <n v="9.1"/>
    <n v="9.1"/>
    <n v="120"/>
    <n v="120"/>
    <s v="Performing"/>
    <s v="Performing"/>
    <x v="1"/>
    <n v="7.8666336285568364E-2"/>
    <s v="Healthy"/>
    <s v="High Risk"/>
    <s v="Medium"/>
    <s v="Low"/>
    <x v="0"/>
    <s v="Medium"/>
  </r>
  <r>
    <n v="23484"/>
    <n v="41"/>
    <s v="Self-Employed"/>
    <x v="0"/>
    <n v="4489.25"/>
    <n v="4489.25"/>
    <n v="17503.96"/>
    <n v="17503.96"/>
    <n v="12"/>
    <n v="20.88"/>
    <n v="3"/>
    <n v="3"/>
    <n v="14.5"/>
    <n v="14.5"/>
    <n v="120"/>
    <n v="120"/>
    <s v="Performing"/>
    <s v="Performing"/>
    <x v="1"/>
    <n v="0.32492361381819529"/>
    <s v="Stretched"/>
    <s v="High Risk"/>
    <s v="Medium"/>
    <s v="Medium"/>
    <x v="0"/>
    <s v="Medium"/>
  </r>
  <r>
    <n v="24617"/>
    <n v="35"/>
    <s v="Contract"/>
    <x v="1"/>
    <n v="-349.13"/>
    <n v="349.13"/>
    <n v="11897.1"/>
    <n v="11897.1"/>
    <n v="36"/>
    <n v="20.23"/>
    <n v="4"/>
    <n v="4"/>
    <n v="6.2"/>
    <n v="6.2"/>
    <n v="60"/>
    <n v="60"/>
    <s v="Non-Performing"/>
    <s v="Non-Performing"/>
    <x v="2"/>
    <n v="0.94656718127917971"/>
    <s v="High Stress"/>
    <s v="High Risk"/>
    <s v="Medium"/>
    <s v="Low"/>
    <x v="2"/>
    <s v="Low"/>
  </r>
  <r>
    <n v="22581"/>
    <n v="59"/>
    <s v="Contract"/>
    <x v="1"/>
    <n v="7341.52"/>
    <n v="7341.52"/>
    <n v="10745.4"/>
    <n v="10745.4"/>
    <n v="6"/>
    <n v="24.16"/>
    <m/>
    <s v="NULL"/>
    <n v="2.6"/>
    <n v="2.6"/>
    <n v="60"/>
    <n v="60"/>
    <s v="Non-Performing"/>
    <s v="Non-Performing"/>
    <x v="4"/>
    <n v="0.24394130915668688"/>
    <s v="Healthy"/>
    <s v="High Risk"/>
    <s v="Medium"/>
    <s v="Low"/>
    <x v="0"/>
    <s v="Medium"/>
  </r>
  <r>
    <n v="22735"/>
    <n v="34"/>
    <s v="Salaried"/>
    <x v="2"/>
    <n v="2132.7800000000002"/>
    <n v="2132.7800000000002"/>
    <n v="6494.86"/>
    <n v="6494.86"/>
    <n v="36"/>
    <n v="14.22"/>
    <n v="2"/>
    <n v="2"/>
    <n v="12.3"/>
    <n v="12.3"/>
    <n v="60"/>
    <n v="60"/>
    <s v="Performing"/>
    <s v="Performing"/>
    <x v="1"/>
    <n v="8.4590430226173241E-2"/>
    <s v="Healthy"/>
    <s v="High Risk"/>
    <s v="Small"/>
    <s v="High"/>
    <x v="0"/>
    <s v="Medium"/>
  </r>
  <r>
    <n v="24588"/>
    <n v="52"/>
    <s v="Salaried"/>
    <x v="2"/>
    <n v="6420.68"/>
    <n v="6420.68"/>
    <n v="3042.35"/>
    <n v="3042.35"/>
    <n v="18"/>
    <n v="17.059999999999999"/>
    <m/>
    <s v="NULL"/>
    <n v="5.5"/>
    <n v="5.5"/>
    <n v="0"/>
    <n v="0"/>
    <s v="Performing"/>
    <s v="Performing"/>
    <x v="4"/>
    <n v="2.6324228032614059E-2"/>
    <s v="Healthy"/>
    <s v="Good"/>
    <s v="Small"/>
    <s v="High"/>
    <x v="1"/>
    <s v="Medium"/>
  </r>
  <r>
    <n v="24174"/>
    <n v="50"/>
    <s v="Unemployed"/>
    <x v="3"/>
    <n v="4422.91"/>
    <n v="4422.91"/>
    <n v="40021.35"/>
    <n v="40021.35"/>
    <n v="24"/>
    <n v="16.36"/>
    <n v="0"/>
    <n v="0"/>
    <n v="12.8"/>
    <n v="12.8"/>
    <n v="120"/>
    <n v="120"/>
    <s v="Performing"/>
    <s v="Performing"/>
    <x v="1"/>
    <n v="0.37702694606039916"/>
    <s v="Stretched"/>
    <s v="High Risk"/>
    <s v="High"/>
    <s v="Low"/>
    <x v="0"/>
    <s v="Medium"/>
  </r>
  <r>
    <n v="20777"/>
    <n v="47"/>
    <s v="Self employed"/>
    <x v="0"/>
    <n v="7507.36"/>
    <n v="7507.36"/>
    <n v="23903.46"/>
    <n v="23903.46"/>
    <n v="48"/>
    <n v="14.62"/>
    <n v="4"/>
    <n v="4"/>
    <n v="8.6"/>
    <n v="8.6"/>
    <n v="90"/>
    <n v="90"/>
    <s v="Performing"/>
    <s v="Performing"/>
    <x v="3"/>
    <n v="6.6333404818737882E-2"/>
    <s v="Healthy"/>
    <s v="High Risk"/>
    <s v="Medium"/>
    <s v="Medium"/>
    <x v="0"/>
    <s v="Medium"/>
  </r>
  <r>
    <n v="23212"/>
    <n v="64"/>
    <s v="Unemployed"/>
    <x v="3"/>
    <n v="7402.09"/>
    <n v="7402.09"/>
    <n v="25601.86"/>
    <n v="25601.86"/>
    <n v="12"/>
    <n v="21.78"/>
    <n v="2"/>
    <n v="2"/>
    <n v="6.2"/>
    <n v="6.2"/>
    <n v="15"/>
    <n v="15"/>
    <s v="Written Off"/>
    <s v="Written Off"/>
    <x v="0"/>
    <n v="0.28822782934729696"/>
    <s v="Healthy"/>
    <s v="Good"/>
    <s v="Medium"/>
    <s v="Low"/>
    <x v="0"/>
    <s v="Medium"/>
  </r>
  <r>
    <n v="20065"/>
    <n v="75"/>
    <s v="Contract"/>
    <x v="1"/>
    <n v="3744.8"/>
    <n v="3744.8"/>
    <n v="31376.31"/>
    <n v="31376.31"/>
    <n v="18"/>
    <n v="18.27"/>
    <n v="2"/>
    <n v="2"/>
    <n v="4.0999999999999996"/>
    <n v="4.0999999999999996"/>
    <n v="0"/>
    <n v="0"/>
    <s v="Non-Performing"/>
    <s v="Non-Performing"/>
    <x v="4"/>
    <n v="0.46547968738873458"/>
    <s v="High Stress"/>
    <s v="Good"/>
    <s v="High"/>
    <s v="Low"/>
    <x v="0"/>
    <s v="Medium"/>
  </r>
  <r>
    <n v="24107"/>
    <n v="24"/>
    <s v="Salaried "/>
    <x v="2"/>
    <n v="4917.1499999999996"/>
    <n v="4917.1499999999996"/>
    <n v="5426.41"/>
    <n v="5426.41"/>
    <n v="60"/>
    <n v="27.41"/>
    <n v="4"/>
    <n v="4"/>
    <n v="6.4"/>
    <n v="6.4"/>
    <n v="15"/>
    <n v="15"/>
    <s v="Non-Performing"/>
    <s v="Non-Performing"/>
    <x v="1"/>
    <n v="1.8392802063525959E-2"/>
    <s v="Healthy"/>
    <s v="Good"/>
    <s v="Small"/>
    <s v="High"/>
    <x v="1"/>
    <s v="Medium"/>
  </r>
  <r>
    <n v="24970"/>
    <n v="28"/>
    <s v="Salaried"/>
    <x v="2"/>
    <n v="3333.14"/>
    <n v="3333.14"/>
    <n v="11304.53"/>
    <n v="11304.53"/>
    <n v="12"/>
    <n v="19.53"/>
    <n v="0"/>
    <n v="0"/>
    <n v="14.1"/>
    <n v="14.1"/>
    <n v="60"/>
    <n v="60"/>
    <s v="Performing"/>
    <s v="Performing"/>
    <x v="0"/>
    <n v="0.28262964251926614"/>
    <s v="Healthy"/>
    <s v="High Risk"/>
    <s v="Medium"/>
    <s v="High"/>
    <x v="0"/>
    <s v="Medium"/>
  </r>
  <r>
    <n v="22930"/>
    <n v="34"/>
    <s v="Unemployed"/>
    <x v="3"/>
    <n v="6884.5"/>
    <n v="6884.5"/>
    <n v="8222.2000000000007"/>
    <n v="8222.2000000000007"/>
    <n v="24"/>
    <n v="27.75"/>
    <n v="3"/>
    <n v="3"/>
    <n v="9.8000000000000007"/>
    <n v="9.8000000000000007"/>
    <n v="90"/>
    <n v="90"/>
    <s v="Performing"/>
    <s v="Performing"/>
    <x v="2"/>
    <n v="4.9762752075919341E-2"/>
    <s v="Healthy"/>
    <s v="High Risk"/>
    <s v="Small"/>
    <s v="Low"/>
    <x v="0"/>
    <s v="Medium"/>
  </r>
  <r>
    <n v="22466"/>
    <n v="39"/>
    <s v="Self-Employed"/>
    <x v="0"/>
    <n v="2465.29"/>
    <n v="2465.29"/>
    <n v="19597.63"/>
    <n v="19597.63"/>
    <n v="18"/>
    <n v="55"/>
    <n v="3"/>
    <n v="3"/>
    <n v="2.7"/>
    <n v="2.7"/>
    <n v="120"/>
    <n v="120"/>
    <s v="Performing "/>
    <s v="Performing "/>
    <x v="3"/>
    <n v="0.44163454288226628"/>
    <s v="Stretched"/>
    <s v="High Risk"/>
    <s v="Medium"/>
    <s v="Medium"/>
    <x v="0"/>
    <s v="Medium"/>
  </r>
  <r>
    <n v="23868"/>
    <n v="43"/>
    <s v="Salaried"/>
    <x v="2"/>
    <n v="4733.8999999999996"/>
    <n v="4733.8999999999996"/>
    <n v="21147.59"/>
    <n v="21147.59"/>
    <n v="6"/>
    <n v="18.399999999999999"/>
    <n v="3"/>
    <n v="3"/>
    <n v="7.8"/>
    <n v="7.8"/>
    <n v="0"/>
    <n v="0"/>
    <s v="Non performing"/>
    <s v="Non-Performing"/>
    <x v="4"/>
    <n v="0.74454431511720431"/>
    <s v="High Stress"/>
    <s v="Good"/>
    <s v="Medium"/>
    <s v="High"/>
    <x v="0"/>
    <s v="Medium"/>
  </r>
  <r>
    <n v="24128"/>
    <n v="55"/>
    <s v="Contract"/>
    <x v="1"/>
    <n v="4476.25"/>
    <n v="4476.25"/>
    <n v="2382.75"/>
    <n v="2382.75"/>
    <n v="6"/>
    <n v="22.89"/>
    <n v="4"/>
    <n v="4"/>
    <n v="14.6"/>
    <n v="14.6"/>
    <n v="0"/>
    <n v="0"/>
    <s v="Performing"/>
    <s v="Performing"/>
    <x v="0"/>
    <n v="8.8718235129851997E-2"/>
    <s v="Healthy"/>
    <s v="Good"/>
    <s v="Small"/>
    <s v="Low"/>
    <x v="0"/>
    <s v="Medium"/>
  </r>
  <r>
    <n v="25004"/>
    <n v="59"/>
    <s v="Self-Employed"/>
    <x v="0"/>
    <n v="4300.3100000000004"/>
    <n v="4300.3100000000004"/>
    <n v="19225.98"/>
    <n v="19225.98"/>
    <n v="48"/>
    <n v="21.94"/>
    <m/>
    <s v="NULL"/>
    <n v="10.8"/>
    <n v="10.8"/>
    <n v="0"/>
    <n v="0"/>
    <s v="Performing "/>
    <s v="Performing "/>
    <x v="2"/>
    <n v="9.3142412988831039E-2"/>
    <s v="Healthy"/>
    <s v="Good"/>
    <s v="Medium"/>
    <s v="Medium"/>
    <x v="1"/>
    <s v="Medium"/>
  </r>
  <r>
    <n v="23104"/>
    <n v="26"/>
    <s v="Salaried"/>
    <x v="2"/>
    <n v="7879.9"/>
    <n v="7879.9"/>
    <n v="30611.42"/>
    <n v="30611.42"/>
    <n v="48"/>
    <n v="15.63"/>
    <n v="4"/>
    <n v="4"/>
    <n v="6.3"/>
    <n v="6.3"/>
    <n v="0"/>
    <n v="0"/>
    <s v="Performing"/>
    <s v="Performing"/>
    <x v="1"/>
    <n v="8.0932234757632296E-2"/>
    <s v="Healthy"/>
    <s v="Good"/>
    <s v="High"/>
    <s v="High"/>
    <x v="1"/>
    <s v="Medium"/>
  </r>
  <r>
    <n v="25093"/>
    <n v="41"/>
    <s v="Unemployed"/>
    <x v="3"/>
    <n v="2871.05"/>
    <n v="2871.05"/>
    <n v="16580.23"/>
    <n v="16580.23"/>
    <n v="48"/>
    <n v="18.989999999999998"/>
    <n v="3"/>
    <n v="3"/>
    <n v="8.4"/>
    <n v="8.4"/>
    <n v="0"/>
    <n v="0"/>
    <s v="Non-Performing"/>
    <s v="Non-Performing"/>
    <x v="0"/>
    <n v="0.12031189228098893"/>
    <s v="Healthy"/>
    <s v="Good"/>
    <s v="Medium"/>
    <s v="Low"/>
    <x v="0"/>
    <s v="Medium"/>
  </r>
  <r>
    <n v="22850"/>
    <n v="60"/>
    <s v="Contract"/>
    <x v="1"/>
    <n v="4487.79"/>
    <n v="4487.79"/>
    <m/>
    <s v="NULL"/>
    <n v="12"/>
    <n v="27.74"/>
    <n v="4"/>
    <n v="4"/>
    <n v="8.6999999999999993"/>
    <n v="8.6999999999999993"/>
    <n v="30"/>
    <n v="30"/>
    <s v="Non-Performing"/>
    <s v="Non-Performing"/>
    <x v="2"/>
    <s v="NULL"/>
    <s v="NULL"/>
    <s v="At Risk"/>
    <s v="High"/>
    <s v="Low"/>
    <x v="0"/>
    <s v="Medium"/>
  </r>
  <r>
    <n v="22314"/>
    <n v="24"/>
    <s v="Salaried "/>
    <x v="2"/>
    <n v="4442.5600000000004"/>
    <n v="4442.5600000000004"/>
    <n v="14768.43"/>
    <n v="14768.43"/>
    <n v="6"/>
    <n v="28.64"/>
    <n v="0"/>
    <n v="0"/>
    <n v="7.1"/>
    <n v="7.1"/>
    <n v="15"/>
    <n v="15"/>
    <s v="Performing"/>
    <s v="Performing"/>
    <x v="2"/>
    <n v="0.55405104264208027"/>
    <s v="High Stress"/>
    <s v="Good"/>
    <s v="Medium"/>
    <s v="High"/>
    <x v="0"/>
    <s v="Medium"/>
  </r>
  <r>
    <n v="24163"/>
    <n v="34"/>
    <s v="Self-Employed"/>
    <x v="0"/>
    <n v="4437.07"/>
    <n v="4437.07"/>
    <n v="18128.98"/>
    <n v="18128.98"/>
    <n v="24"/>
    <n v="20.88"/>
    <n v="4"/>
    <n v="4"/>
    <n v="0.9"/>
    <n v="0.9"/>
    <n v="0"/>
    <n v="0"/>
    <s v="Non-Performing"/>
    <s v="Non-Performing"/>
    <x v="1"/>
    <n v="0.1702416609759744"/>
    <s v="Healthy"/>
    <s v="Good"/>
    <s v="Medium"/>
    <s v="Medium"/>
    <x v="1"/>
    <s v="Medium"/>
  </r>
  <r>
    <n v="22252"/>
    <n v="35"/>
    <s v="Unemployed"/>
    <x v="3"/>
    <n v="-1500"/>
    <n v="1500"/>
    <n v="20165.39"/>
    <n v="20165.39"/>
    <n v="6"/>
    <n v="23.12"/>
    <n v="0"/>
    <n v="0"/>
    <n v="1.6"/>
    <n v="1.6"/>
    <m/>
    <s v="NULL"/>
    <s v="Non performing"/>
    <s v="Non-Performing"/>
    <x v="2"/>
    <n v="2.240598888888889"/>
    <s v="High Stress"/>
    <s v="NULL"/>
    <s v="Medium"/>
    <s v="Low"/>
    <x v="0"/>
    <s v="Low"/>
  </r>
  <r>
    <n v="25242"/>
    <n v="40"/>
    <s v="Contract"/>
    <x v="1"/>
    <n v="7372.23"/>
    <n v="7372.23"/>
    <n v="29107.13"/>
    <n v="29107.13"/>
    <n v="18"/>
    <n v="19.22"/>
    <n v="0"/>
    <n v="0"/>
    <n v="15.7"/>
    <n v="15.7"/>
    <n v="60"/>
    <n v="60"/>
    <s v="Non performing"/>
    <s v="Non-Performing"/>
    <x v="2"/>
    <n v="0.21934513407446296"/>
    <s v="Healthy"/>
    <s v="High Risk"/>
    <s v="Medium"/>
    <s v="Low"/>
    <x v="0"/>
    <s v="Medium"/>
  </r>
  <r>
    <n v="23394"/>
    <n v="60"/>
    <s v="Unemployed"/>
    <x v="3"/>
    <n v="2621.23"/>
    <n v="2621.23"/>
    <n v="14198.69"/>
    <n v="14198.69"/>
    <n v="18"/>
    <n v="27.14"/>
    <m/>
    <s v="NULL"/>
    <n v="3.5"/>
    <n v="3.5"/>
    <n v="90"/>
    <n v="90"/>
    <s v="Non-Performing"/>
    <s v="Non-Performing"/>
    <x v="4"/>
    <n v="0.30093357359373696"/>
    <s v="Stretched"/>
    <s v="High Risk"/>
    <s v="Medium"/>
    <s v="Low"/>
    <x v="0"/>
    <s v="Medium"/>
  </r>
  <r>
    <n v="20483"/>
    <n v="64"/>
    <s v="Self-Employed"/>
    <x v="0"/>
    <n v="6226.78"/>
    <n v="6226.78"/>
    <n v="24877.43"/>
    <n v="24877.43"/>
    <n v="24"/>
    <n v="20.65"/>
    <n v="2"/>
    <n v="2"/>
    <n v="7.6"/>
    <n v="7.6"/>
    <n v="0"/>
    <n v="0"/>
    <s v="Performing "/>
    <s v="Performing "/>
    <x v="3"/>
    <n v="0.16646799522920888"/>
    <s v="Healthy"/>
    <s v="Good"/>
    <s v="Medium"/>
    <s v="Medium"/>
    <x v="1"/>
    <s v="Medium"/>
  </r>
  <r>
    <n v="24800"/>
    <n v="75"/>
    <s v="Salaried "/>
    <x v="2"/>
    <n v="6546.23"/>
    <n v="6546.23"/>
    <n v="18286.8"/>
    <n v="18286.8"/>
    <n v="18"/>
    <n v="28.08"/>
    <n v="1"/>
    <n v="1"/>
    <n v="6.3"/>
    <n v="6.3"/>
    <n v="15"/>
    <n v="15"/>
    <s v="Written Off"/>
    <s v="Written Off"/>
    <x v="0"/>
    <n v="0.1551936509003401"/>
    <s v="Healthy"/>
    <s v="Good"/>
    <s v="Medium"/>
    <s v="High"/>
    <x v="1"/>
    <s v="Medium"/>
  </r>
  <r>
    <n v="25202"/>
    <n v="59"/>
    <s v="Self-Employed"/>
    <x v="0"/>
    <n v="7933.06"/>
    <n v="7933.06"/>
    <n v="14358.75"/>
    <n v="14358.75"/>
    <n v="18"/>
    <n v="24.18"/>
    <n v="1"/>
    <n v="1"/>
    <n v="1.9"/>
    <n v="1.9"/>
    <n v="120"/>
    <n v="120"/>
    <s v="Performing"/>
    <s v="Performing"/>
    <x v="0"/>
    <n v="0.10055493508599875"/>
    <s v="Healthy"/>
    <s v="High Risk"/>
    <s v="Medium"/>
    <s v="Medium"/>
    <x v="0"/>
    <s v="Medium"/>
  </r>
  <r>
    <n v="24230"/>
    <n v="50"/>
    <s v="Self-Employed"/>
    <x v="0"/>
    <n v="6550.17"/>
    <n v="6550.17"/>
    <n v="13333.49"/>
    <n v="13333.49"/>
    <n v="18"/>
    <n v="17.39"/>
    <m/>
    <s v="NULL"/>
    <n v="10.8"/>
    <n v="10.8"/>
    <m/>
    <s v="NULL"/>
    <s v="Written Off"/>
    <s v="Written Off"/>
    <x v="0"/>
    <n v="0.11308858311226189"/>
    <s v="Healthy"/>
    <s v="NULL"/>
    <s v="Medium"/>
    <s v="Medium"/>
    <x v="0"/>
    <s v="Medium"/>
  </r>
  <r>
    <n v="23696"/>
    <n v="37"/>
    <s v="Contract"/>
    <x v="1"/>
    <n v="1136.78"/>
    <n v="1136.78"/>
    <n v="39268.92"/>
    <n v="39268.92"/>
    <n v="60"/>
    <n v="11.26"/>
    <n v="2"/>
    <n v="2"/>
    <n v="4.8"/>
    <n v="4.8"/>
    <n v="0"/>
    <n v="0"/>
    <s v="Performing"/>
    <s v="Performing"/>
    <x v="4"/>
    <n v="0.5757332113513608"/>
    <s v="High Stress"/>
    <s v="Good"/>
    <s v="High"/>
    <s v="Low"/>
    <x v="0"/>
    <s v="Low"/>
  </r>
  <r>
    <n v="25799"/>
    <n v="28"/>
    <s v="Salaried"/>
    <x v="2"/>
    <n v="5731.42"/>
    <n v="5731.42"/>
    <n v="13303.12"/>
    <n v="13303.12"/>
    <n v="18"/>
    <n v="30.83"/>
    <n v="3"/>
    <n v="3"/>
    <n v="2.5"/>
    <n v="2.5"/>
    <n v="120"/>
    <n v="120"/>
    <s v="Non performing"/>
    <s v="Non-Performing"/>
    <x v="4"/>
    <n v="0.12894923460891408"/>
    <s v="Healthy"/>
    <s v="High Risk"/>
    <s v="Medium"/>
    <s v="High"/>
    <x v="0"/>
    <s v="Medium"/>
  </r>
  <r>
    <n v="21888"/>
    <n v="55"/>
    <s v="Self-Employed"/>
    <x v="0"/>
    <n v="6825.11"/>
    <n v="6825.11"/>
    <n v="27607.439999999999"/>
    <n v="27607.439999999999"/>
    <n v="60"/>
    <n v="23.78"/>
    <n v="2"/>
    <n v="2"/>
    <n v="11.9"/>
    <n v="11.9"/>
    <n v="90"/>
    <n v="90"/>
    <s v="Performing"/>
    <s v="Performing"/>
    <x v="4"/>
    <n v="6.7416349333563858E-2"/>
    <s v="Healthy"/>
    <s v="High Risk"/>
    <s v="Medium"/>
    <s v="Medium"/>
    <x v="0"/>
    <s v="Medium"/>
  </r>
  <r>
    <n v="20051"/>
    <n v="36"/>
    <s v="Salaried"/>
    <x v="2"/>
    <n v="-1500"/>
    <n v="1500"/>
    <n v="16058.5"/>
    <n v="16058.5"/>
    <n v="12"/>
    <n v="22.07"/>
    <n v="1"/>
    <n v="1"/>
    <n v="10"/>
    <n v="10"/>
    <n v="0"/>
    <n v="0"/>
    <s v="Performing"/>
    <s v="Performing"/>
    <x v="4"/>
    <n v="0.89213888888888893"/>
    <s v="High Stress"/>
    <s v="Good"/>
    <s v="Medium"/>
    <s v="High"/>
    <x v="0"/>
    <s v="Low"/>
  </r>
  <r>
    <n v="23575"/>
    <n v="53"/>
    <s v="Self employed"/>
    <x v="0"/>
    <n v="6724.09"/>
    <n v="6724.09"/>
    <n v="13445.32"/>
    <n v="13445.32"/>
    <n v="12"/>
    <n v="22.6"/>
    <n v="2"/>
    <n v="2"/>
    <n v="1.5"/>
    <n v="1.5"/>
    <n v="0"/>
    <n v="0"/>
    <s v="Performing "/>
    <s v="Performing "/>
    <x v="2"/>
    <n v="0.16663122196956515"/>
    <s v="Healthy"/>
    <s v="Good"/>
    <s v="Medium"/>
    <s v="Medium"/>
    <x v="1"/>
    <s v="Medium"/>
  </r>
  <r>
    <n v="23794"/>
    <n v="62"/>
    <s v="Contract"/>
    <x v="1"/>
    <n v="4557.1099999999997"/>
    <n v="4557.1099999999997"/>
    <n v="10942.37"/>
    <n v="10942.37"/>
    <n v="12"/>
    <n v="26.42"/>
    <m/>
    <s v="NULL"/>
    <n v="8.9"/>
    <n v="8.9"/>
    <n v="120"/>
    <n v="120"/>
    <s v="Non-Performing"/>
    <s v="Non-Performing"/>
    <x v="0"/>
    <n v="0.20009702786780809"/>
    <s v="Healthy"/>
    <s v="High Risk"/>
    <s v="Medium"/>
    <s v="Low"/>
    <x v="0"/>
    <s v="Medium"/>
  </r>
  <r>
    <n v="23543"/>
    <n v="41"/>
    <s v="Salaried "/>
    <x v="2"/>
    <n v="6560.08"/>
    <n v="6560.08"/>
    <n v="26945.03"/>
    <n v="26945.03"/>
    <n v="48"/>
    <n v="16.72"/>
    <n v="4"/>
    <n v="4"/>
    <n v="3.3"/>
    <n v="3.3"/>
    <n v="30"/>
    <n v="30"/>
    <s v="Written Off"/>
    <s v="Written Off"/>
    <x v="1"/>
    <n v="8.5571333225611071E-2"/>
    <s v="Healthy"/>
    <s v="At Risk"/>
    <s v="Medium"/>
    <s v="High"/>
    <x v="0"/>
    <s v="Medium"/>
  </r>
  <r>
    <n v="21425"/>
    <n v="32"/>
    <s v="Salaried "/>
    <x v="2"/>
    <n v="8169.4"/>
    <n v="8169.4"/>
    <n v="16025.72"/>
    <n v="16025.72"/>
    <n v="36"/>
    <n v="23.97"/>
    <n v="1"/>
    <n v="1"/>
    <n v="8"/>
    <n v="8"/>
    <m/>
    <s v="NULL"/>
    <s v="Non performing"/>
    <s v="Non-Performing"/>
    <x v="0"/>
    <n v="5.4491013891949096E-2"/>
    <s v="Healthy"/>
    <s v="NULL"/>
    <s v="Medium"/>
    <s v="High"/>
    <x v="0"/>
    <s v="High"/>
  </r>
  <r>
    <n v="24977"/>
    <n v="60"/>
    <s v="Contract"/>
    <x v="1"/>
    <n v="3703.9"/>
    <n v="3703.9"/>
    <n v="10291.64"/>
    <n v="10291.64"/>
    <n v="6"/>
    <n v="21.14"/>
    <n v="3"/>
    <n v="3"/>
    <n v="5.5"/>
    <n v="5.5"/>
    <m/>
    <s v="NULL"/>
    <s v="Performing"/>
    <s v="Performing"/>
    <x v="3"/>
    <n v="0.46309925573944577"/>
    <s v="High Stress"/>
    <s v="NULL"/>
    <s v="Medium"/>
    <s v="Low"/>
    <x v="0"/>
    <s v="Medium"/>
  </r>
  <r>
    <n v="22822"/>
    <n v="53"/>
    <s v="Unemployed"/>
    <x v="3"/>
    <n v="5099.7700000000004"/>
    <n v="5099.7700000000004"/>
    <n v="22203.01"/>
    <n v="22203.01"/>
    <n v="24"/>
    <n v="16.760000000000002"/>
    <n v="3"/>
    <n v="3"/>
    <n v="8.8000000000000007"/>
    <n v="8.8000000000000007"/>
    <n v="90"/>
    <n v="90"/>
    <s v="Non performing"/>
    <s v="Non-Performing"/>
    <x v="3"/>
    <n v="0.18140532154718086"/>
    <s v="Healthy"/>
    <s v="High Risk"/>
    <s v="Medium"/>
    <s v="Low"/>
    <x v="0"/>
    <s v="Medium"/>
  </r>
  <r>
    <n v="23496"/>
    <n v="55"/>
    <s v="Salaried "/>
    <x v="2"/>
    <n v="7731.54"/>
    <n v="7731.54"/>
    <n v="12500.85"/>
    <n v="12500.85"/>
    <n v="6"/>
    <n v="10.65"/>
    <n v="4"/>
    <n v="4"/>
    <n v="9.4"/>
    <n v="9.4"/>
    <n v="0"/>
    <n v="0"/>
    <s v="Non performing"/>
    <s v="Non-Performing"/>
    <x v="1"/>
    <n v="0.26947736156056878"/>
    <s v="Healthy"/>
    <s v="Good"/>
    <s v="Medium"/>
    <s v="High"/>
    <x v="1"/>
    <s v="Medium"/>
  </r>
  <r>
    <n v="23971"/>
    <n v="38"/>
    <s v="Salaried "/>
    <x v="2"/>
    <n v="5499.89"/>
    <n v="5499.89"/>
    <n v="33320.910000000003"/>
    <n v="33320.910000000003"/>
    <n v="24"/>
    <n v="21.4"/>
    <n v="4"/>
    <n v="4"/>
    <n v="3.2"/>
    <n v="3.2"/>
    <n v="0"/>
    <n v="0"/>
    <s v="Non-Performing"/>
    <s v="Non-Performing"/>
    <x v="0"/>
    <n v="0.25243618508733812"/>
    <s v="Healthy"/>
    <s v="Good"/>
    <s v="High"/>
    <s v="High"/>
    <x v="1"/>
    <s v="Medium"/>
  </r>
  <r>
    <n v="22071"/>
    <n v="25"/>
    <s v="Unemployed"/>
    <x v="3"/>
    <n v="5047.8500000000004"/>
    <n v="5047.8500000000004"/>
    <n v="22603.11"/>
    <n v="22603.11"/>
    <n v="48"/>
    <n v="17.739999999999998"/>
    <n v="0"/>
    <n v="0"/>
    <n v="7.2"/>
    <n v="7.2"/>
    <n v="0"/>
    <n v="0"/>
    <s v="Written Off"/>
    <s v="Written Off"/>
    <x v="3"/>
    <n v="9.3286869657378882E-2"/>
    <s v="Healthy"/>
    <s v="Good"/>
    <s v="Medium"/>
    <s v="Low"/>
    <x v="0"/>
    <s v="Medium"/>
  </r>
  <r>
    <n v="20389"/>
    <n v="30"/>
    <s v="Self employed"/>
    <x v="0"/>
    <n v="5089.5"/>
    <n v="5089.5"/>
    <n v="10595.49"/>
    <n v="10595.49"/>
    <n v="60"/>
    <n v="22.4"/>
    <n v="4"/>
    <n v="4"/>
    <n v="12.6"/>
    <n v="12.6"/>
    <n v="120"/>
    <n v="120"/>
    <s v="Performing"/>
    <s v="Performing"/>
    <x v="3"/>
    <n v="3.4697219766185283E-2"/>
    <s v="Healthy"/>
    <s v="High Risk"/>
    <s v="Medium"/>
    <s v="Medium"/>
    <x v="0"/>
    <s v="Medium"/>
  </r>
  <r>
    <n v="25992"/>
    <n v="120"/>
    <s v="Salaried "/>
    <x v="2"/>
    <n v="4355.99"/>
    <n v="4355.99"/>
    <n v="4834.43"/>
    <n v="4834.43"/>
    <n v="18"/>
    <n v="20.260000000000002"/>
    <m/>
    <s v="NULL"/>
    <n v="6.2"/>
    <n v="6.2"/>
    <n v="0"/>
    <n v="0"/>
    <s v="Performing "/>
    <s v="Performing "/>
    <x v="4"/>
    <n v="6.1657497938343402E-2"/>
    <s v="Healthy"/>
    <s v="Good"/>
    <s v="Small"/>
    <s v="High"/>
    <x v="3"/>
    <s v="Medium"/>
  </r>
  <r>
    <n v="22612"/>
    <n v="62"/>
    <s v="Self employed"/>
    <x v="0"/>
    <n v="3665.9"/>
    <n v="3665.9"/>
    <n v="14703.5"/>
    <n v="14703.5"/>
    <n v="6"/>
    <n v="18.510000000000002"/>
    <n v="4"/>
    <n v="4"/>
    <n v="7.7"/>
    <n v="7.7"/>
    <n v="15"/>
    <n v="15"/>
    <s v="Non performing"/>
    <s v="Non-Performing"/>
    <x v="1"/>
    <n v="0.66848068232448599"/>
    <s v="High Stress"/>
    <s v="Good"/>
    <s v="Medium"/>
    <s v="Medium"/>
    <x v="0"/>
    <s v="Medium"/>
  </r>
  <r>
    <n v="23425"/>
    <n v="35"/>
    <s v="Contract"/>
    <x v="1"/>
    <n v="2758.36"/>
    <n v="2758.36"/>
    <n v="20644.38"/>
    <n v="20644.38"/>
    <n v="12"/>
    <n v="55"/>
    <n v="3"/>
    <n v="3"/>
    <n v="7.3"/>
    <n v="7.3"/>
    <n v="15"/>
    <n v="15"/>
    <s v="Performing"/>
    <s v="Performing"/>
    <x v="0"/>
    <n v="0.6236912513232501"/>
    <s v="High Stress"/>
    <s v="Good"/>
    <s v="Medium"/>
    <s v="Low"/>
    <x v="0"/>
    <s v="Medium"/>
  </r>
  <r>
    <n v="21714"/>
    <n v="33"/>
    <s v="Contract"/>
    <x v="1"/>
    <n v="4936.91"/>
    <n v="4936.91"/>
    <n v="20891.060000000001"/>
    <n v="20891.060000000001"/>
    <n v="24"/>
    <n v="21.86"/>
    <n v="0"/>
    <n v="0"/>
    <n v="14.9"/>
    <n v="14.9"/>
    <n v="0"/>
    <n v="0"/>
    <s v="Performing "/>
    <s v="Performing "/>
    <x v="1"/>
    <n v="0.17631693373655452"/>
    <s v="Healthy"/>
    <s v="Good"/>
    <s v="Medium"/>
    <s v="Low"/>
    <x v="0"/>
    <s v="Medium"/>
  </r>
  <r>
    <n v="25003"/>
    <n v="21"/>
    <s v="Self employed"/>
    <x v="0"/>
    <n v="4256.25"/>
    <n v="4256.25"/>
    <n v="33868.94"/>
    <n v="33868.94"/>
    <n v="18"/>
    <n v="24.09"/>
    <n v="0"/>
    <n v="0"/>
    <n v="6.5"/>
    <n v="6.5"/>
    <n v="0"/>
    <n v="0"/>
    <s v="Non performing"/>
    <s v="Non-Performing"/>
    <x v="1"/>
    <n v="0.44208112253222387"/>
    <s v="Stretched"/>
    <s v="Good"/>
    <s v="High"/>
    <s v="Medium"/>
    <x v="0"/>
    <s v="Medium"/>
  </r>
  <r>
    <n v="25546"/>
    <n v="53"/>
    <s v="Unemployed"/>
    <x v="3"/>
    <n v="4157.6400000000003"/>
    <n v="4157.6400000000003"/>
    <n v="20526.439999999999"/>
    <n v="20526.439999999999"/>
    <n v="6"/>
    <n v="23.08"/>
    <n v="2"/>
    <n v="2"/>
    <n v="8.1999999999999993"/>
    <n v="8.1999999999999993"/>
    <m/>
    <s v="NULL"/>
    <s v="Performing "/>
    <s v="Performing "/>
    <x v="2"/>
    <n v="0.82284020101147104"/>
    <s v="High Stress"/>
    <s v="NULL"/>
    <s v="Medium"/>
    <s v="Low"/>
    <x v="0"/>
    <s v="Medium"/>
  </r>
  <r>
    <n v="24577"/>
    <n v="59"/>
    <s v="Salaried"/>
    <x v="2"/>
    <n v="6700.75"/>
    <n v="6700.75"/>
    <n v="14443.61"/>
    <n v="14443.61"/>
    <n v="18"/>
    <n v="12.72"/>
    <n v="4"/>
    <n v="4"/>
    <n v="11.6"/>
    <n v="11.6"/>
    <n v="120"/>
    <n v="120"/>
    <s v="Non-Performing"/>
    <s v="Non-Performing"/>
    <x v="3"/>
    <n v="0.11975118871436448"/>
    <s v="Healthy"/>
    <s v="High Risk"/>
    <s v="Medium"/>
    <s v="High"/>
    <x v="0"/>
    <s v="Medium"/>
  </r>
  <r>
    <n v="25496"/>
    <n v="31"/>
    <s v="Unemployed"/>
    <x v="3"/>
    <n v="-1500"/>
    <n v="1500"/>
    <n v="30122.79"/>
    <n v="30122.79"/>
    <n v="12"/>
    <n v="16.28"/>
    <n v="2"/>
    <n v="2"/>
    <n v="13.4"/>
    <n v="13.4"/>
    <n v="120"/>
    <n v="120"/>
    <s v="Performing"/>
    <s v="Performing"/>
    <x v="0"/>
    <n v="1.6734883333333335"/>
    <s v="High Stress"/>
    <s v="High Risk"/>
    <s v="High"/>
    <s v="Low"/>
    <x v="2"/>
    <s v="Low"/>
  </r>
  <r>
    <n v="25420"/>
    <n v="59"/>
    <s v="Contract"/>
    <x v="1"/>
    <n v="3632.74"/>
    <n v="3632.74"/>
    <n v="8429.44"/>
    <n v="8429.44"/>
    <n v="60"/>
    <n v="14.22"/>
    <n v="2"/>
    <n v="2"/>
    <n v="8.5"/>
    <n v="8.5"/>
    <n v="30"/>
    <n v="30"/>
    <s v="Performing "/>
    <s v="Performing "/>
    <x v="0"/>
    <n v="3.8673471447630899E-2"/>
    <s v="Healthy"/>
    <s v="At Risk"/>
    <s v="Small"/>
    <s v="Low"/>
    <x v="0"/>
    <s v="Medium"/>
  </r>
  <r>
    <n v="21467"/>
    <n v="58"/>
    <s v="Salaried "/>
    <x v="2"/>
    <n v="5719.4"/>
    <n v="5719.4"/>
    <n v="11665.55"/>
    <n v="11665.55"/>
    <n v="48"/>
    <n v="17.71"/>
    <n v="2"/>
    <n v="2"/>
    <n v="7.9"/>
    <n v="7.9"/>
    <n v="90"/>
    <n v="90"/>
    <s v="Non performing"/>
    <s v="Non-Performing"/>
    <x v="2"/>
    <n v="4.2492620146635435E-2"/>
    <s v="Healthy"/>
    <s v="High Risk"/>
    <s v="Medium"/>
    <s v="High"/>
    <x v="0"/>
    <s v="Medium"/>
  </r>
  <r>
    <n v="22835"/>
    <n v="48"/>
    <s v="Unemployed"/>
    <x v="3"/>
    <n v="2095.16"/>
    <n v="2095.16"/>
    <n v="9916.9500000000007"/>
    <n v="9916.9500000000007"/>
    <n v="18"/>
    <n v="22.11"/>
    <n v="0"/>
    <n v="0"/>
    <n v="8.1"/>
    <n v="8.1"/>
    <n v="15"/>
    <n v="15"/>
    <s v="Performing "/>
    <s v="Performing "/>
    <x v="0"/>
    <n v="0.26295923302595831"/>
    <s v="Healthy"/>
    <s v="Good"/>
    <s v="Small"/>
    <s v="Low"/>
    <x v="0"/>
    <s v="Medium"/>
  </r>
  <r>
    <n v="25037"/>
    <n v="31"/>
    <s v="Self-Employed"/>
    <x v="0"/>
    <n v="5316.93"/>
    <n v="5316.93"/>
    <n v="29565.98"/>
    <n v="29565.98"/>
    <n v="24"/>
    <n v="19.12"/>
    <n v="0"/>
    <n v="0"/>
    <n v="12.7"/>
    <n v="12.7"/>
    <m/>
    <s v="NULL"/>
    <s v="Written Off"/>
    <s v="Written Off"/>
    <x v="0"/>
    <n v="0.23169683131681879"/>
    <s v="Healthy"/>
    <s v="NULL"/>
    <s v="Medium"/>
    <s v="Medium"/>
    <x v="0"/>
    <s v="Medium"/>
  </r>
  <r>
    <n v="25562"/>
    <n v="54"/>
    <s v="Salaried"/>
    <x v="2"/>
    <n v="7633.77"/>
    <n v="7633.77"/>
    <n v="14257.96"/>
    <n v="14257.96"/>
    <n v="24"/>
    <n v="20.18"/>
    <n v="4"/>
    <n v="4"/>
    <n v="2.2000000000000002"/>
    <n v="2.2000000000000002"/>
    <m/>
    <s v="NULL"/>
    <s v="Non performing"/>
    <s v="Non-Performing"/>
    <x v="2"/>
    <n v="7.7822840702125765E-2"/>
    <s v="Healthy"/>
    <s v="NULL"/>
    <s v="Medium"/>
    <s v="High"/>
    <x v="0"/>
    <s v="Medium"/>
  </r>
  <r>
    <n v="21025"/>
    <n v="48"/>
    <s v="Salaried"/>
    <x v="2"/>
    <n v="5668.62"/>
    <n v="5668.62"/>
    <n v="29792.36"/>
    <n v="29792.36"/>
    <n v="24"/>
    <n v="23.67"/>
    <m/>
    <s v="NULL"/>
    <n v="3.6"/>
    <n v="3.6"/>
    <n v="60"/>
    <n v="60"/>
    <s v="Performing"/>
    <s v="Performing"/>
    <x v="0"/>
    <n v="0.21898598483111115"/>
    <s v="Healthy"/>
    <s v="High Risk"/>
    <s v="Medium"/>
    <s v="High"/>
    <x v="0"/>
    <s v="Medium"/>
  </r>
  <r>
    <n v="21549"/>
    <n v="34"/>
    <s v="Salaried "/>
    <x v="2"/>
    <n v="611.16999999999996"/>
    <n v="611.16999999999996"/>
    <n v="13470.39"/>
    <n v="13470.39"/>
    <n v="6"/>
    <n v="24.39"/>
    <m/>
    <s v="NULL"/>
    <n v="8.4"/>
    <n v="8.4"/>
    <m/>
    <s v="NULL"/>
    <s v="Performing"/>
    <s v="Performing"/>
    <x v="3"/>
    <n v="3.6733887461753687"/>
    <s v="High Stress"/>
    <s v="NULL"/>
    <s v="Medium"/>
    <s v="High"/>
    <x v="0"/>
    <s v="Low"/>
  </r>
  <r>
    <n v="21070"/>
    <n v="61"/>
    <s v="Salaried "/>
    <x v="2"/>
    <n v="7604.24"/>
    <n v="7604.24"/>
    <n v="23215.95"/>
    <n v="23215.95"/>
    <n v="36"/>
    <n v="27.97"/>
    <n v="2"/>
    <n v="2"/>
    <n v="7.2"/>
    <n v="7.2"/>
    <n v="60"/>
    <n v="60"/>
    <s v="Performing"/>
    <s v="Performing"/>
    <x v="0"/>
    <n v="8.4806305429602435E-2"/>
    <s v="Healthy"/>
    <s v="High Risk"/>
    <s v="Medium"/>
    <s v="High"/>
    <x v="0"/>
    <s v="Medium"/>
  </r>
  <r>
    <n v="20278"/>
    <n v="30"/>
    <s v="Self employed"/>
    <x v="0"/>
    <n v="5016.79"/>
    <n v="5016.79"/>
    <n v="11543.31"/>
    <n v="11543.31"/>
    <n v="18"/>
    <n v="14.4"/>
    <n v="1"/>
    <n v="1"/>
    <n v="11.7"/>
    <n v="11.7"/>
    <n v="120"/>
    <n v="120"/>
    <s v="Performing"/>
    <s v="Performing"/>
    <x v="2"/>
    <n v="0.12782974770719921"/>
    <s v="Healthy"/>
    <s v="High Risk"/>
    <s v="Medium"/>
    <s v="Medium"/>
    <x v="0"/>
    <s v="Medium"/>
  </r>
  <r>
    <n v="24881"/>
    <n v="58"/>
    <s v="Unemployed"/>
    <x v="3"/>
    <n v="6461.82"/>
    <n v="6461.82"/>
    <n v="22826.62"/>
    <n v="22826.62"/>
    <n v="60"/>
    <n v="22.57"/>
    <n v="1"/>
    <n v="1"/>
    <n v="4.5999999999999996"/>
    <n v="4.5999999999999996"/>
    <n v="90"/>
    <n v="90"/>
    <s v="Non performing"/>
    <s v="Non-Performing"/>
    <x v="4"/>
    <n v="5.8875621213012229E-2"/>
    <s v="Healthy"/>
    <s v="High Risk"/>
    <s v="Medium"/>
    <s v="Low"/>
    <x v="0"/>
    <s v="Medium"/>
  </r>
  <r>
    <n v="20175"/>
    <n v="46"/>
    <s v="Salaried "/>
    <x v="2"/>
    <n v="3703.17"/>
    <n v="3703.17"/>
    <n v="19657.5"/>
    <n v="19657.5"/>
    <n v="6"/>
    <n v="15.79"/>
    <n v="2"/>
    <n v="2"/>
    <n v="12.8"/>
    <n v="12.8"/>
    <m/>
    <s v="NULL"/>
    <s v="Written Off"/>
    <s v="Written Off"/>
    <x v="3"/>
    <n v="0.88471498742968857"/>
    <s v="High Stress"/>
    <s v="NULL"/>
    <s v="Medium"/>
    <s v="High"/>
    <x v="0"/>
    <s v="Medium"/>
  </r>
  <r>
    <n v="25596"/>
    <n v="51"/>
    <s v="Contract"/>
    <x v="1"/>
    <n v="4203.08"/>
    <n v="4203.08"/>
    <n v="19573.990000000002"/>
    <n v="19573.990000000002"/>
    <n v="6"/>
    <n v="17.170000000000002"/>
    <m/>
    <s v="NULL"/>
    <n v="9"/>
    <n v="9"/>
    <n v="15"/>
    <n v="15"/>
    <s v="Non performing"/>
    <s v="Non-Performing"/>
    <x v="4"/>
    <n v="0.77617643886546694"/>
    <s v="High Stress"/>
    <s v="Good"/>
    <s v="Medium"/>
    <s v="Low"/>
    <x v="0"/>
    <s v="Medium"/>
  </r>
  <r>
    <n v="24029"/>
    <n v="42"/>
    <s v="Salaried "/>
    <x v="2"/>
    <n v="3751.95"/>
    <n v="3751.95"/>
    <n v="9914.94"/>
    <n v="9914.94"/>
    <n v="18"/>
    <n v="13.23"/>
    <n v="0"/>
    <n v="0"/>
    <n v="8.9"/>
    <n v="8.9"/>
    <n v="60"/>
    <n v="60"/>
    <s v="Written Off"/>
    <s v="Written Off"/>
    <x v="0"/>
    <n v="0.14681165793787232"/>
    <s v="Healthy"/>
    <s v="High Risk"/>
    <s v="Small"/>
    <s v="High"/>
    <x v="0"/>
    <s v="Medium"/>
  </r>
  <r>
    <n v="20467"/>
    <n v="51"/>
    <s v="Salaried"/>
    <x v="2"/>
    <n v="7842.26"/>
    <n v="7842.26"/>
    <n v="21572.42"/>
    <n v="21572.42"/>
    <n v="24"/>
    <n v="18.52"/>
    <m/>
    <s v="NULL"/>
    <n v="4.7"/>
    <n v="4.7"/>
    <n v="30"/>
    <n v="30"/>
    <s v="Non performing"/>
    <s v="Non-Performing"/>
    <x v="2"/>
    <n v="0.11461630108327617"/>
    <s v="Healthy"/>
    <s v="At Risk"/>
    <s v="Medium"/>
    <s v="High"/>
    <x v="0"/>
    <s v="Medium"/>
  </r>
  <r>
    <n v="21296"/>
    <n v="47"/>
    <s v="Self employed"/>
    <x v="0"/>
    <n v="6303.9"/>
    <n v="6303.9"/>
    <n v="23695.61"/>
    <n v="23695.61"/>
    <n v="36"/>
    <n v="28.43"/>
    <n v="3"/>
    <n v="3"/>
    <n v="6.2"/>
    <n v="6.2"/>
    <n v="90"/>
    <n v="90"/>
    <s v="Performing"/>
    <s v="Performing"/>
    <x v="0"/>
    <n v="0.10441336139356414"/>
    <s v="Healthy"/>
    <s v="High Risk"/>
    <s v="Medium"/>
    <s v="Medium"/>
    <x v="0"/>
    <s v="Medium"/>
  </r>
  <r>
    <n v="25483"/>
    <n v="45"/>
    <s v="Salaried "/>
    <x v="2"/>
    <n v="5881.31"/>
    <n v="5881.31"/>
    <n v="32699.17"/>
    <n v="32699.17"/>
    <n v="36"/>
    <n v="15.14"/>
    <n v="0"/>
    <n v="0"/>
    <n v="9.1"/>
    <n v="9.1"/>
    <n v="60"/>
    <n v="60"/>
    <s v="Non-Performing"/>
    <s v="Non-Performing"/>
    <x v="4"/>
    <n v="0.15444012945717497"/>
    <s v="Healthy"/>
    <s v="High Risk"/>
    <s v="High"/>
    <s v="High"/>
    <x v="0"/>
    <s v="Medium"/>
  </r>
  <r>
    <n v="23323"/>
    <n v="64"/>
    <s v="Salaried "/>
    <x v="2"/>
    <n v="1590.76"/>
    <n v="1590.76"/>
    <n v="31226.26"/>
    <n v="31226.26"/>
    <n v="6"/>
    <n v="23.81"/>
    <m/>
    <s v="NULL"/>
    <n v="6.3"/>
    <n v="6.3"/>
    <n v="120"/>
    <n v="120"/>
    <s v="Performing "/>
    <s v="Performing "/>
    <x v="3"/>
    <n v="3.271629074572322"/>
    <s v="High Stress"/>
    <s v="High Risk"/>
    <s v="High"/>
    <s v="High"/>
    <x v="0"/>
    <s v="Low"/>
  </r>
  <r>
    <n v="21428"/>
    <n v="44"/>
    <s v="Unemployed"/>
    <x v="3"/>
    <n v="8833.2000000000007"/>
    <n v="8833.2000000000007"/>
    <n v="20272.13"/>
    <n v="20272.13"/>
    <n v="48"/>
    <n v="18.510000000000002"/>
    <n v="2"/>
    <n v="2"/>
    <n v="9.1999999999999993"/>
    <n v="9.1999999999999993"/>
    <n v="30"/>
    <n v="30"/>
    <s v="Performing "/>
    <s v="Performing "/>
    <x v="3"/>
    <n v="4.7812349054325347E-2"/>
    <s v="Healthy"/>
    <s v="At Risk"/>
    <s v="Medium"/>
    <s v="Low"/>
    <x v="0"/>
    <s v="High"/>
  </r>
  <r>
    <n v="25835"/>
    <n v="37"/>
    <s v="Salaried"/>
    <x v="2"/>
    <n v="3068.27"/>
    <n v="3068.27"/>
    <n v="23102.94"/>
    <n v="23102.94"/>
    <n v="24"/>
    <n v="17.61"/>
    <n v="0"/>
    <n v="0"/>
    <n v="0.9"/>
    <n v="0.9"/>
    <m/>
    <s v="NULL"/>
    <s v="Non-Performing"/>
    <s v="Non-Performing"/>
    <x v="2"/>
    <n v="0.31373461266446562"/>
    <s v="Stretched"/>
    <s v="NULL"/>
    <s v="Medium"/>
    <s v="High"/>
    <x v="0"/>
    <s v="Medium"/>
  </r>
  <r>
    <n v="21014"/>
    <n v="26"/>
    <s v="Self employed"/>
    <x v="0"/>
    <n v="4666.53"/>
    <n v="4666.53"/>
    <n v="19955.41"/>
    <n v="19955.41"/>
    <n v="36"/>
    <n v="13.91"/>
    <n v="3"/>
    <n v="3"/>
    <n v="8.1999999999999993"/>
    <n v="8.1999999999999993"/>
    <n v="0"/>
    <n v="0"/>
    <s v="Written Off"/>
    <s v="Written Off"/>
    <x v="0"/>
    <n v="0.11878568110447045"/>
    <s v="Healthy"/>
    <s v="Good"/>
    <s v="Medium"/>
    <s v="Medium"/>
    <x v="1"/>
    <s v="Medium"/>
  </r>
  <r>
    <n v="21965"/>
    <n v="120"/>
    <s v="Unemployed"/>
    <x v="3"/>
    <n v="5152.76"/>
    <n v="5152.76"/>
    <n v="25335.43"/>
    <n v="25335.43"/>
    <n v="18"/>
    <n v="26.91"/>
    <m/>
    <s v="NULL"/>
    <n v="11.3"/>
    <n v="11.3"/>
    <n v="0"/>
    <n v="0"/>
    <s v="Performing "/>
    <s v="Performing "/>
    <x v="2"/>
    <n v="0.27315921736872839"/>
    <s v="Healthy"/>
    <s v="Good"/>
    <s v="Medium"/>
    <s v="Low"/>
    <x v="3"/>
    <s v="Medium"/>
  </r>
  <r>
    <n v="23564"/>
    <n v="36"/>
    <s v="Contract"/>
    <x v="1"/>
    <n v="8026.16"/>
    <n v="8026.16"/>
    <n v="32634.9"/>
    <n v="32634.9"/>
    <n v="12"/>
    <n v="30.06"/>
    <n v="2"/>
    <n v="2"/>
    <n v="10.1"/>
    <n v="10.1"/>
    <m/>
    <s v="NULL"/>
    <s v="Written Off"/>
    <s v="Written Off"/>
    <x v="0"/>
    <n v="0.33883887188892325"/>
    <s v="Stretched"/>
    <s v="NULL"/>
    <s v="High"/>
    <s v="Low"/>
    <x v="0"/>
    <s v="High"/>
  </r>
  <r>
    <n v="24698"/>
    <n v="53"/>
    <s v="Salaried"/>
    <x v="2"/>
    <n v="708.56"/>
    <n v="708.56"/>
    <n v="22980.19"/>
    <n v="22980.19"/>
    <n v="48"/>
    <n v="20.82"/>
    <n v="4"/>
    <n v="4"/>
    <n v="11"/>
    <n v="11"/>
    <n v="60"/>
    <n v="60"/>
    <s v="Non performing"/>
    <s v="Non-Performing"/>
    <x v="1"/>
    <n v="0.67567172622407889"/>
    <s v="High Stress"/>
    <s v="High Risk"/>
    <s v="Medium"/>
    <s v="High"/>
    <x v="0"/>
    <s v="Low"/>
  </r>
  <r>
    <n v="21857"/>
    <n v="33"/>
    <s v="Self-Employed"/>
    <x v="0"/>
    <n v="4684.5600000000004"/>
    <n v="4684.5600000000004"/>
    <n v="35134.58"/>
    <n v="35134.58"/>
    <n v="24"/>
    <n v="15.57"/>
    <n v="4"/>
    <n v="4"/>
    <n v="11.1"/>
    <n v="11.1"/>
    <n v="30"/>
    <n v="30"/>
    <s v="Written Off"/>
    <s v="Written Off"/>
    <x v="4"/>
    <n v="0.31250337989764959"/>
    <s v="Stretched"/>
    <s v="At Risk"/>
    <s v="High"/>
    <s v="Medium"/>
    <x v="0"/>
    <s v="Medium"/>
  </r>
  <r>
    <n v="22649"/>
    <n v="62"/>
    <s v="Contract"/>
    <x v="1"/>
    <n v="5845.23"/>
    <n v="5845.23"/>
    <n v="9749.5400000000009"/>
    <n v="9749.5400000000009"/>
    <n v="18"/>
    <n v="16.149999999999999"/>
    <n v="2"/>
    <n v="2"/>
    <n v="10.8"/>
    <n v="10.8"/>
    <n v="30"/>
    <n v="30"/>
    <s v="Performing "/>
    <s v="Performing "/>
    <x v="3"/>
    <n v="9.2663780742778507E-2"/>
    <s v="Healthy"/>
    <s v="At Risk"/>
    <s v="Small"/>
    <s v="Low"/>
    <x v="0"/>
    <s v="Medium"/>
  </r>
  <r>
    <n v="24648"/>
    <n v="30"/>
    <s v="Contract"/>
    <x v="1"/>
    <n v="3445.93"/>
    <n v="3445.93"/>
    <n v="26949.360000000001"/>
    <n v="26949.360000000001"/>
    <n v="60"/>
    <n v="26.84"/>
    <n v="4"/>
    <n v="4"/>
    <n v="4.9000000000000004"/>
    <n v="4.9000000000000004"/>
    <n v="120"/>
    <n v="120"/>
    <s v="Performing "/>
    <s v="Performing "/>
    <x v="4"/>
    <n v="0.13034391296398942"/>
    <s v="Healthy"/>
    <s v="High Risk"/>
    <s v="Medium"/>
    <s v="Low"/>
    <x v="0"/>
    <s v="Medium"/>
  </r>
  <r>
    <n v="25809"/>
    <n v="41"/>
    <s v="Unemployed"/>
    <x v="3"/>
    <n v="3399.41"/>
    <n v="3399.41"/>
    <n v="15699.25"/>
    <n v="15699.25"/>
    <n v="48"/>
    <n v="23.7"/>
    <n v="2"/>
    <n v="2"/>
    <n v="11.4"/>
    <n v="11.4"/>
    <n v="0"/>
    <n v="0"/>
    <s v="Performing "/>
    <s v="Performing "/>
    <x v="3"/>
    <n v="9.6213080603202716E-2"/>
    <s v="Healthy"/>
    <s v="Good"/>
    <s v="Medium"/>
    <s v="Low"/>
    <x v="0"/>
    <s v="Medium"/>
  </r>
  <r>
    <n v="23023"/>
    <n v="59"/>
    <s v="Salaried"/>
    <x v="2"/>
    <n v="6385.07"/>
    <n v="6385.07"/>
    <n v="30837.200000000001"/>
    <n v="30837.200000000001"/>
    <n v="18"/>
    <n v="16.100000000000001"/>
    <n v="4"/>
    <n v="4"/>
    <n v="8.3000000000000007"/>
    <n v="8.3000000000000007"/>
    <n v="0"/>
    <n v="0"/>
    <s v="Non-Performing"/>
    <s v="Non-Performing"/>
    <x v="0"/>
    <n v="0.26830994457034579"/>
    <s v="Healthy"/>
    <s v="Good"/>
    <s v="High"/>
    <s v="High"/>
    <x v="1"/>
    <s v="Medium"/>
  </r>
  <r>
    <n v="23494"/>
    <n v="22"/>
    <s v="Unemployed"/>
    <x v="3"/>
    <n v="4360.75"/>
    <n v="4360.75"/>
    <n v="37467.71"/>
    <n v="37467.71"/>
    <n v="6"/>
    <n v="19.739999999999998"/>
    <n v="0"/>
    <n v="0"/>
    <n v="7.6"/>
    <n v="7.6"/>
    <n v="120"/>
    <n v="120"/>
    <s v="Performing "/>
    <s v="Performing "/>
    <x v="3"/>
    <n v="1.4320055800798792"/>
    <s v="High Stress"/>
    <s v="High Risk"/>
    <s v="High"/>
    <s v="Low"/>
    <x v="2"/>
    <s v="Medium"/>
  </r>
  <r>
    <n v="21659"/>
    <n v="64"/>
    <s v="Self-Employed"/>
    <x v="0"/>
    <n v="2993.17"/>
    <n v="2993.17"/>
    <n v="13889.81"/>
    <n v="13889.81"/>
    <n v="18"/>
    <n v="26.15"/>
    <n v="2"/>
    <n v="2"/>
    <n v="9.1"/>
    <n v="9.1"/>
    <n v="90"/>
    <n v="90"/>
    <s v="Performing "/>
    <s v="Performing "/>
    <x v="0"/>
    <n v="0.25780564121353317"/>
    <s v="Healthy"/>
    <s v="High Risk"/>
    <s v="Medium"/>
    <s v="Medium"/>
    <x v="0"/>
    <s v="Medium"/>
  </r>
  <r>
    <n v="21935"/>
    <n v="31"/>
    <s v="Contract"/>
    <x v="1"/>
    <n v="9232.5300000000007"/>
    <n v="9232.5300000000007"/>
    <n v="21678.89"/>
    <n v="21678.89"/>
    <n v="60"/>
    <n v="23.49"/>
    <n v="3"/>
    <n v="3"/>
    <n v="4.3"/>
    <n v="4.3"/>
    <n v="0"/>
    <n v="0"/>
    <s v="Non performing"/>
    <s v="Non-Performing"/>
    <x v="0"/>
    <n v="3.9134975281242879E-2"/>
    <s v="Healthy"/>
    <s v="Good"/>
    <s v="Medium"/>
    <s v="Low"/>
    <x v="0"/>
    <s v="High"/>
  </r>
  <r>
    <n v="21564"/>
    <n v="34"/>
    <s v="Salaried"/>
    <x v="2"/>
    <n v="6245.17"/>
    <n v="6245.17"/>
    <n v="26567.18"/>
    <n v="26567.18"/>
    <n v="48"/>
    <n v="17.649999999999999"/>
    <n v="0"/>
    <n v="0"/>
    <n v="10.4"/>
    <n v="10.4"/>
    <n v="60"/>
    <n v="60"/>
    <s v="Performing"/>
    <s v="Performing"/>
    <x v="0"/>
    <n v="8.8625756651406859E-2"/>
    <s v="Healthy"/>
    <s v="High Risk"/>
    <s v="Medium"/>
    <s v="High"/>
    <x v="0"/>
    <s v="Medium"/>
  </r>
  <r>
    <n v="24532"/>
    <n v="22"/>
    <s v="Contract"/>
    <x v="1"/>
    <n v="9203.98"/>
    <n v="9203.98"/>
    <n v="20546.919999999998"/>
    <n v="20546.919999999998"/>
    <n v="24"/>
    <n v="19.95"/>
    <n v="0"/>
    <n v="0"/>
    <n v="9.1"/>
    <n v="9.1"/>
    <n v="0"/>
    <n v="0"/>
    <s v="Performing"/>
    <s v="Performing"/>
    <x v="2"/>
    <n v="9.3016463167745547E-2"/>
    <s v="Healthy"/>
    <s v="Good"/>
    <s v="Medium"/>
    <s v="Low"/>
    <x v="0"/>
    <s v="High"/>
  </r>
  <r>
    <n v="20754"/>
    <n v="33"/>
    <s v="Unemployed"/>
    <x v="3"/>
    <n v="9607.27"/>
    <n v="9607.27"/>
    <n v="14722.23"/>
    <n v="14722.23"/>
    <n v="60"/>
    <n v="22.24"/>
    <n v="3"/>
    <n v="3"/>
    <n v="4.5999999999999996"/>
    <n v="4.5999999999999996"/>
    <n v="0"/>
    <n v="0"/>
    <s v="Performing"/>
    <s v="Performing"/>
    <x v="3"/>
    <n v="2.5540085789199217E-2"/>
    <s v="Healthy"/>
    <s v="Good"/>
    <s v="Medium"/>
    <s v="Low"/>
    <x v="0"/>
    <s v="High"/>
  </r>
  <r>
    <n v="23825"/>
    <n v="31"/>
    <s v="Self-Employed"/>
    <x v="0"/>
    <n v="7733.68"/>
    <n v="7733.68"/>
    <n v="6671.66"/>
    <n v="6671.66"/>
    <n v="48"/>
    <n v="18.53"/>
    <n v="1"/>
    <n v="1"/>
    <n v="4.7"/>
    <n v="4.7"/>
    <n v="0"/>
    <n v="0"/>
    <s v="Non-Performing"/>
    <s v="Non-Performing"/>
    <x v="2"/>
    <n v="1.7972416322716567E-2"/>
    <s v="Healthy"/>
    <s v="Good"/>
    <s v="Small"/>
    <s v="Medium"/>
    <x v="1"/>
    <s v="Medium"/>
  </r>
  <r>
    <n v="22819"/>
    <n v="31"/>
    <s v="Salaried "/>
    <x v="2"/>
    <n v="-1500"/>
    <n v="1500"/>
    <n v="25474.39"/>
    <n v="25474.39"/>
    <n v="24"/>
    <n v="22.76"/>
    <n v="4"/>
    <n v="4"/>
    <n v="7.5"/>
    <n v="7.5"/>
    <n v="30"/>
    <n v="30"/>
    <s v="Non performing"/>
    <s v="Non-Performing"/>
    <x v="3"/>
    <n v="0.70762194444444437"/>
    <s v="High Stress"/>
    <s v="At Risk"/>
    <s v="Medium"/>
    <s v="High"/>
    <x v="0"/>
    <s v="Low"/>
  </r>
  <r>
    <n v="22258"/>
    <n v="31"/>
    <s v="Unemployed"/>
    <x v="3"/>
    <n v="3572.39"/>
    <n v="3572.39"/>
    <n v="26691.71"/>
    <n v="26691.71"/>
    <n v="24"/>
    <n v="11.78"/>
    <n v="3"/>
    <n v="3"/>
    <n v="9.5"/>
    <n v="9.5"/>
    <m/>
    <s v="NULL"/>
    <s v="Non-Performing"/>
    <s v="Non-Performing"/>
    <x v="1"/>
    <n v="0.31131947613035904"/>
    <s v="Stretched"/>
    <s v="NULL"/>
    <s v="Medium"/>
    <s v="Low"/>
    <x v="0"/>
    <s v="Medium"/>
  </r>
  <r>
    <n v="24793"/>
    <n v="18"/>
    <s v="Self-Employed"/>
    <x v="0"/>
    <n v="4653.26"/>
    <n v="4653.26"/>
    <n v="26737.03"/>
    <n v="26737.03"/>
    <n v="24"/>
    <n v="25.75"/>
    <n v="3"/>
    <n v="3"/>
    <n v="8.9"/>
    <n v="8.9"/>
    <n v="60"/>
    <n v="60"/>
    <s v="Non performing"/>
    <s v="Non-Performing"/>
    <x v="1"/>
    <n v="0.239411276538742"/>
    <s v="Healthy"/>
    <s v="High Risk"/>
    <s v="Medium"/>
    <s v="Medium"/>
    <x v="0"/>
    <s v="Medium"/>
  </r>
  <r>
    <n v="24738"/>
    <n v="60"/>
    <s v="Unemployed"/>
    <x v="3"/>
    <n v="1405.57"/>
    <n v="1405.57"/>
    <n v="21137.93"/>
    <n v="21137.93"/>
    <n v="6"/>
    <n v="22.54"/>
    <n v="1"/>
    <n v="1"/>
    <n v="8.8000000000000007"/>
    <n v="8.8000000000000007"/>
    <n v="90"/>
    <n v="90"/>
    <s v="Non-Performing"/>
    <s v="Non-Performing"/>
    <x v="0"/>
    <n v="2.5064481550782483"/>
    <s v="High Stress"/>
    <s v="High Risk"/>
    <s v="Medium"/>
    <s v="Low"/>
    <x v="2"/>
    <s v="Low"/>
  </r>
  <r>
    <n v="22543"/>
    <n v="62"/>
    <s v="Salaried "/>
    <x v="2"/>
    <n v="5034.62"/>
    <n v="5034.62"/>
    <n v="20021.099999999999"/>
    <n v="20021.099999999999"/>
    <n v="48"/>
    <n v="20.43"/>
    <n v="1"/>
    <n v="1"/>
    <n v="4.7"/>
    <n v="4.7"/>
    <m/>
    <s v="NULL"/>
    <s v="Non-Performing"/>
    <s v="Non-Performing"/>
    <x v="3"/>
    <n v="8.2847613126710642E-2"/>
    <s v="Healthy"/>
    <s v="NULL"/>
    <s v="Medium"/>
    <s v="High"/>
    <x v="0"/>
    <s v="Medium"/>
  </r>
  <r>
    <n v="20243"/>
    <n v="62"/>
    <s v="Self employed"/>
    <x v="0"/>
    <n v="5797.42"/>
    <n v="5797.42"/>
    <n v="24649.29"/>
    <n v="24649.29"/>
    <n v="48"/>
    <n v="7.56"/>
    <m/>
    <s v="NULL"/>
    <n v="5.3"/>
    <n v="5.3"/>
    <n v="30"/>
    <n v="30"/>
    <s v="Performing "/>
    <s v="Performing "/>
    <x v="2"/>
    <n v="8.8578518547905785E-2"/>
    <s v="Healthy"/>
    <s v="At Risk"/>
    <s v="Medium"/>
    <s v="Medium"/>
    <x v="0"/>
    <s v="Medium"/>
  </r>
  <r>
    <n v="23103"/>
    <n v="24"/>
    <s v="Salaried "/>
    <x v="2"/>
    <n v="4688.07"/>
    <n v="4688.07"/>
    <n v="283.97000000000003"/>
    <n v="283.97000000000003"/>
    <n v="60"/>
    <n v="27.57"/>
    <n v="1"/>
    <n v="1"/>
    <n v="7.3"/>
    <n v="7.3"/>
    <n v="60"/>
    <n v="60"/>
    <s v="Non performing"/>
    <s v="Non-Performing"/>
    <x v="1"/>
    <n v="1.0095483500317476E-3"/>
    <s v="Healthy"/>
    <s v="High Risk"/>
    <s v="Small"/>
    <s v="High"/>
    <x v="0"/>
    <s v="Medium"/>
  </r>
  <r>
    <n v="20330"/>
    <n v="64"/>
    <s v="Salaried "/>
    <x v="2"/>
    <n v="7704.39"/>
    <n v="7704.39"/>
    <n v="21967.87"/>
    <n v="21967.87"/>
    <n v="48"/>
    <n v="14.09"/>
    <n v="1"/>
    <n v="1"/>
    <n v="-3.5"/>
    <n v="3.5"/>
    <n v="120"/>
    <n v="120"/>
    <s v="Performing"/>
    <s v="Performing"/>
    <x v="3"/>
    <n v="5.9403010275094238E-2"/>
    <s v="Healthy"/>
    <s v="High Risk"/>
    <s v="Medium"/>
    <s v="High"/>
    <x v="0"/>
    <s v="Medium"/>
  </r>
  <r>
    <n v="21240"/>
    <n v="30"/>
    <s v="Contract"/>
    <x v="1"/>
    <n v="5449.63"/>
    <n v="5449.63"/>
    <n v="13439.48"/>
    <n v="13439.48"/>
    <n v="6"/>
    <n v="23.91"/>
    <m/>
    <s v="NULL"/>
    <n v="8.1"/>
    <n v="8.1"/>
    <m/>
    <s v="NULL"/>
    <s v="Performing "/>
    <s v="Performing "/>
    <x v="0"/>
    <n v="0.41102117636120861"/>
    <s v="Stretched"/>
    <s v="NULL"/>
    <s v="Medium"/>
    <s v="Low"/>
    <x v="0"/>
    <s v="Medium"/>
  </r>
  <r>
    <n v="22801"/>
    <n v="45"/>
    <s v="Self-Employed"/>
    <x v="0"/>
    <n v="4154.72"/>
    <n v="4154.72"/>
    <n v="28345.33"/>
    <n v="28345.33"/>
    <n v="18"/>
    <n v="27.19"/>
    <n v="1"/>
    <n v="1"/>
    <n v="14.3"/>
    <n v="14.3"/>
    <n v="0"/>
    <n v="0"/>
    <s v="Performing "/>
    <s v="Performing "/>
    <x v="1"/>
    <n v="0.37902447230031278"/>
    <s v="Stretched"/>
    <s v="Good"/>
    <s v="Medium"/>
    <s v="Medium"/>
    <x v="0"/>
    <s v="Medium"/>
  </r>
  <r>
    <n v="22885"/>
    <n v="58"/>
    <s v="Unemployed"/>
    <x v="3"/>
    <n v="7711.12"/>
    <n v="7711.12"/>
    <n v="40216.01"/>
    <n v="40216.01"/>
    <n v="48"/>
    <n v="28.36"/>
    <n v="4"/>
    <n v="4"/>
    <n v="4.8"/>
    <n v="4.8"/>
    <n v="30"/>
    <n v="30"/>
    <s v="Non-Performing"/>
    <s v="Non-Performing"/>
    <x v="4"/>
    <n v="0.108652639521453"/>
    <s v="Healthy"/>
    <s v="At Risk"/>
    <s v="High"/>
    <s v="Low"/>
    <x v="0"/>
    <s v="Medium"/>
  </r>
  <r>
    <n v="22350"/>
    <n v="35"/>
    <s v="Self-Employed"/>
    <x v="0"/>
    <n v="9114.7800000000007"/>
    <n v="9114.7800000000007"/>
    <n v="13850.52"/>
    <n v="13850.52"/>
    <n v="48"/>
    <n v="17.350000000000001"/>
    <m/>
    <s v="NULL"/>
    <n v="8.5"/>
    <n v="8.5"/>
    <n v="60"/>
    <n v="60"/>
    <s v="Non-Performing"/>
    <s v="Non-Performing"/>
    <x v="3"/>
    <n v="3.1657648346970518E-2"/>
    <s v="Healthy"/>
    <s v="High Risk"/>
    <s v="Medium"/>
    <s v="Medium"/>
    <x v="0"/>
    <s v="High"/>
  </r>
  <r>
    <n v="23885"/>
    <n v="55"/>
    <s v="Unemployed"/>
    <x v="3"/>
    <n v="4468.1499999999996"/>
    <n v="4468.1499999999996"/>
    <n v="22611.35"/>
    <n v="22611.35"/>
    <n v="12"/>
    <n v="18.04"/>
    <m/>
    <s v="NULL"/>
    <n v="-0.3"/>
    <n v="0.3"/>
    <m/>
    <s v="NULL"/>
    <s v="Performing "/>
    <s v="Performing "/>
    <x v="3"/>
    <n v="0.42171349812935255"/>
    <s v="Stretched"/>
    <s v="NULL"/>
    <s v="Medium"/>
    <s v="Low"/>
    <x v="0"/>
    <s v="Medium"/>
  </r>
  <r>
    <n v="21951"/>
    <n v="52"/>
    <s v="Contract"/>
    <x v="1"/>
    <n v="4445.8500000000004"/>
    <n v="4445.8500000000004"/>
    <n v="8700.93"/>
    <n v="8700.93"/>
    <n v="18"/>
    <n v="20.41"/>
    <n v="3"/>
    <n v="3"/>
    <n v="9.1999999999999993"/>
    <n v="9.1999999999999993"/>
    <n v="0"/>
    <n v="0"/>
    <s v="Performing"/>
    <s v="Performing"/>
    <x v="0"/>
    <n v="0.10872724001034673"/>
    <s v="Healthy"/>
    <s v="Good"/>
    <s v="Small"/>
    <s v="Low"/>
    <x v="0"/>
    <s v="Medium"/>
  </r>
  <r>
    <n v="24177"/>
    <n v="31"/>
    <s v="Salaried"/>
    <x v="2"/>
    <n v="2873.79"/>
    <n v="2873.79"/>
    <n v="37892.019999999997"/>
    <n v="37892.019999999997"/>
    <n v="60"/>
    <n v="14.02"/>
    <m/>
    <s v="NULL"/>
    <n v="0.2"/>
    <n v="0.2"/>
    <n v="15"/>
    <n v="15"/>
    <s v="Non-Performing"/>
    <s v="Non-Performing"/>
    <x v="0"/>
    <n v="0.21975637282705648"/>
    <s v="Healthy"/>
    <s v="Good"/>
    <s v="High"/>
    <s v="High"/>
    <x v="1"/>
    <s v="Medium"/>
  </r>
  <r>
    <n v="21094"/>
    <n v="55"/>
    <s v="Self employed"/>
    <x v="0"/>
    <n v="1766.85"/>
    <n v="1766.85"/>
    <n v="24088.14"/>
    <n v="24088.14"/>
    <n v="60"/>
    <n v="12.81"/>
    <n v="0"/>
    <n v="0"/>
    <n v="5.4"/>
    <n v="5.4"/>
    <n v="120"/>
    <n v="120"/>
    <s v="Performing"/>
    <s v="Performing"/>
    <x v="0"/>
    <n v="0.22722302402580863"/>
    <s v="Healthy"/>
    <s v="High Risk"/>
    <s v="Medium"/>
    <s v="Medium"/>
    <x v="0"/>
    <s v="Low"/>
  </r>
  <r>
    <n v="21717"/>
    <n v="120"/>
    <s v="Self employed"/>
    <x v="0"/>
    <n v="5832.05"/>
    <n v="5832.05"/>
    <n v="27376.95"/>
    <n v="27376.95"/>
    <n v="60"/>
    <n v="30.89"/>
    <n v="3"/>
    <n v="3"/>
    <n v="10.9"/>
    <n v="10.9"/>
    <n v="0"/>
    <n v="0"/>
    <s v="Performing "/>
    <s v="Performing "/>
    <x v="2"/>
    <n v="7.8237069298102729E-2"/>
    <s v="Healthy"/>
    <s v="Good"/>
    <s v="Medium"/>
    <s v="Medium"/>
    <x v="3"/>
    <s v="Medium"/>
  </r>
  <r>
    <n v="24776"/>
    <n v="37"/>
    <s v="Salaried "/>
    <x v="2"/>
    <n v="4181.24"/>
    <n v="4181.24"/>
    <n v="11278.64"/>
    <n v="11278.64"/>
    <n v="48"/>
    <n v="21.08"/>
    <n v="3"/>
    <n v="3"/>
    <n v="10.7"/>
    <n v="10.7"/>
    <n v="120"/>
    <n v="120"/>
    <s v="Performing "/>
    <s v="Performing "/>
    <x v="4"/>
    <n v="5.619664660882099E-2"/>
    <s v="Healthy"/>
    <s v="High Risk"/>
    <s v="Medium"/>
    <s v="High"/>
    <x v="0"/>
    <s v="Medium"/>
  </r>
  <r>
    <n v="21774"/>
    <n v="28"/>
    <s v="Self employed"/>
    <x v="0"/>
    <n v="6258.79"/>
    <n v="6258.79"/>
    <n v="4667.78"/>
    <n v="4667.78"/>
    <n v="18"/>
    <n v="20.09"/>
    <n v="2"/>
    <n v="2"/>
    <n v="-0.6"/>
    <n v="0.6"/>
    <n v="0"/>
    <n v="0"/>
    <s v="Non performing"/>
    <s v="Non-Performing"/>
    <x v="4"/>
    <n v="4.1433106257137739E-2"/>
    <s v="Healthy"/>
    <s v="Good"/>
    <s v="Small"/>
    <s v="Medium"/>
    <x v="1"/>
    <s v="Medium"/>
  </r>
  <r>
    <n v="21474"/>
    <n v="56"/>
    <s v="Self employed"/>
    <x v="0"/>
    <n v="5996.19"/>
    <n v="5996.19"/>
    <n v="4978.79"/>
    <n v="4978.79"/>
    <n v="36"/>
    <n v="14.32"/>
    <n v="3"/>
    <n v="3"/>
    <n v="5.6"/>
    <n v="5.6"/>
    <n v="120"/>
    <n v="120"/>
    <s v="Performing"/>
    <s v="Performing"/>
    <x v="2"/>
    <n v="2.3064599724528779E-2"/>
    <s v="Healthy"/>
    <s v="High Risk"/>
    <s v="Small"/>
    <s v="Medium"/>
    <x v="0"/>
    <s v="Medium"/>
  </r>
  <r>
    <n v="22267"/>
    <n v="41"/>
    <s v="Salaried"/>
    <x v="2"/>
    <n v="3936.89"/>
    <n v="3936.89"/>
    <n v="9278.35"/>
    <n v="9278.35"/>
    <n v="12"/>
    <n v="23.58"/>
    <n v="1"/>
    <n v="1"/>
    <n v="7.2"/>
    <n v="7.2"/>
    <n v="0"/>
    <n v="0"/>
    <s v="Performing"/>
    <s v="Performing"/>
    <x v="4"/>
    <n v="0.1963976218114637"/>
    <s v="Healthy"/>
    <s v="Good"/>
    <s v="Small"/>
    <s v="High"/>
    <x v="1"/>
    <s v="Medium"/>
  </r>
  <r>
    <n v="22401"/>
    <n v="56"/>
    <s v="Self-Employed"/>
    <x v="0"/>
    <n v="1156.23"/>
    <n v="1156.23"/>
    <n v="21434.53"/>
    <n v="21434.53"/>
    <n v="12"/>
    <n v="19.420000000000002"/>
    <n v="3"/>
    <n v="3"/>
    <n v="11.7"/>
    <n v="11.7"/>
    <n v="15"/>
    <n v="15"/>
    <s v="Performing "/>
    <s v="Performing "/>
    <x v="1"/>
    <n v="1.5448577128541321"/>
    <s v="High Stress"/>
    <s v="Good"/>
    <s v="Medium"/>
    <s v="Medium"/>
    <x v="0"/>
    <s v="Low"/>
  </r>
  <r>
    <n v="20816"/>
    <n v="43"/>
    <s v="Unemployed"/>
    <x v="3"/>
    <n v="2770.93"/>
    <n v="2770.93"/>
    <n v="6263.01"/>
    <n v="6263.01"/>
    <n v="36"/>
    <n v="17.829999999999998"/>
    <n v="3"/>
    <n v="3"/>
    <n v="8.3000000000000007"/>
    <n v="8.3000000000000007"/>
    <n v="120"/>
    <n v="120"/>
    <s v="Written Off"/>
    <s v="Written Off"/>
    <x v="0"/>
    <n v="6.2784877279469353E-2"/>
    <s v="Healthy"/>
    <s v="High Risk"/>
    <s v="Small"/>
    <s v="Low"/>
    <x v="0"/>
    <s v="Medium"/>
  </r>
  <r>
    <n v="21664"/>
    <n v="21"/>
    <s v="Unemployed"/>
    <x v="3"/>
    <n v="4456.68"/>
    <n v="4456.68"/>
    <n v="26664.83"/>
    <n v="26664.83"/>
    <n v="36"/>
    <n v="19.29"/>
    <n v="1"/>
    <n v="1"/>
    <n v="9.4"/>
    <n v="9.4"/>
    <n v="60"/>
    <n v="60"/>
    <s v="Written Off"/>
    <s v="Written Off"/>
    <x v="1"/>
    <n v="0.16619764538226264"/>
    <s v="Healthy"/>
    <s v="High Risk"/>
    <s v="Medium"/>
    <s v="Low"/>
    <x v="0"/>
    <s v="Medium"/>
  </r>
  <r>
    <n v="23532"/>
    <n v="43"/>
    <s v="Self-Employed"/>
    <x v="0"/>
    <n v="4125"/>
    <n v="4125"/>
    <n v="10245.91"/>
    <n v="10245.91"/>
    <n v="6"/>
    <n v="15.11"/>
    <n v="0"/>
    <n v="0"/>
    <n v="4.9000000000000004"/>
    <n v="4.9000000000000004"/>
    <n v="60"/>
    <n v="60"/>
    <s v="Non performing"/>
    <s v="Non-Performing"/>
    <x v="4"/>
    <n v="0.41397616161616163"/>
    <s v="Stretched"/>
    <s v="High Risk"/>
    <s v="Medium"/>
    <s v="Medium"/>
    <x v="0"/>
    <s v="Medium"/>
  </r>
  <r>
    <n v="21320"/>
    <n v="39"/>
    <s v="Self employed"/>
    <x v="0"/>
    <n v="6294.2"/>
    <n v="6294.2"/>
    <n v="7982.85"/>
    <n v="7982.85"/>
    <n v="24"/>
    <n v="25.71"/>
    <n v="1"/>
    <n v="1"/>
    <n v="3.8"/>
    <n v="3.8"/>
    <n v="30"/>
    <n v="30"/>
    <s v="Non performing"/>
    <s v="Non-Performing"/>
    <x v="2"/>
    <n v="5.2845278192621782E-2"/>
    <s v="Healthy"/>
    <s v="At Risk"/>
    <s v="Small"/>
    <s v="Medium"/>
    <x v="0"/>
    <s v="Medium"/>
  </r>
  <r>
    <n v="20311"/>
    <n v="49"/>
    <s v="Contract"/>
    <x v="1"/>
    <n v="4984.38"/>
    <n v="4984.38"/>
    <n v="31751.58"/>
    <n v="31751.58"/>
    <n v="12"/>
    <n v="11.71"/>
    <n v="3"/>
    <n v="3"/>
    <n v="6"/>
    <n v="6"/>
    <n v="30"/>
    <n v="30"/>
    <s v="Non-Performing"/>
    <s v="Non-Performing"/>
    <x v="2"/>
    <n v="0.53085137971021479"/>
    <s v="High Stress"/>
    <s v="At Risk"/>
    <s v="High"/>
    <s v="Low"/>
    <x v="0"/>
    <s v="Medium"/>
  </r>
  <r>
    <n v="21625"/>
    <n v="38"/>
    <s v="Salaried "/>
    <x v="2"/>
    <n v="7738.5"/>
    <n v="7738.5"/>
    <n v="17031.61"/>
    <n v="17031.61"/>
    <n v="18"/>
    <n v="19.600000000000001"/>
    <n v="2"/>
    <n v="2"/>
    <n v="12.1"/>
    <n v="12.1"/>
    <n v="120"/>
    <n v="120"/>
    <s v="Performing"/>
    <s v="Performing"/>
    <x v="4"/>
    <n v="0.12227182988377018"/>
    <s v="Healthy"/>
    <s v="High Risk"/>
    <s v="Medium"/>
    <s v="High"/>
    <x v="0"/>
    <s v="Medium"/>
  </r>
  <r>
    <n v="20923"/>
    <n v="36"/>
    <s v="Self-Employed"/>
    <x v="0"/>
    <n v="6550.56"/>
    <n v="6550.56"/>
    <n v="12245.25"/>
    <n v="12245.25"/>
    <n v="24"/>
    <n v="25.52"/>
    <n v="2"/>
    <n v="2"/>
    <n v="14.2"/>
    <n v="14.2"/>
    <n v="15"/>
    <n v="15"/>
    <s v="Performing"/>
    <s v="Performing"/>
    <x v="2"/>
    <n v="7.7889333125717497E-2"/>
    <s v="Healthy"/>
    <s v="Good"/>
    <s v="Medium"/>
    <s v="Medium"/>
    <x v="1"/>
    <s v="Medium"/>
  </r>
  <r>
    <n v="21953"/>
    <n v="52"/>
    <s v="Self employed"/>
    <x v="0"/>
    <n v="3670.93"/>
    <n v="3670.93"/>
    <n v="20717.650000000001"/>
    <n v="20717.650000000001"/>
    <n v="18"/>
    <n v="25.5"/>
    <n v="3"/>
    <n v="3"/>
    <n v="9.1"/>
    <n v="9.1"/>
    <n v="0"/>
    <n v="0"/>
    <s v="Performing "/>
    <s v="Performing "/>
    <x v="4"/>
    <n v="0.3135392272681734"/>
    <s v="Stretched"/>
    <s v="Good"/>
    <s v="Medium"/>
    <s v="Medium"/>
    <x v="0"/>
    <s v="Medium"/>
  </r>
  <r>
    <n v="21447"/>
    <n v="56"/>
    <s v="Self employed"/>
    <x v="0"/>
    <n v="-493.57"/>
    <n v="493.57"/>
    <n v="17254.07"/>
    <n v="17254.07"/>
    <n v="60"/>
    <n v="21.46"/>
    <m/>
    <s v="NULL"/>
    <n v="8.1"/>
    <n v="8.1"/>
    <n v="120"/>
    <n v="120"/>
    <s v="Non performing"/>
    <s v="Non-Performing"/>
    <x v="4"/>
    <n v="0.58262826616960783"/>
    <s v="High Stress"/>
    <s v="High Risk"/>
    <s v="Medium"/>
    <s v="Medium"/>
    <x v="0"/>
    <s v="Low"/>
  </r>
  <r>
    <n v="23194"/>
    <n v="48"/>
    <s v="Contract"/>
    <x v="1"/>
    <n v="7451.04"/>
    <n v="7451.04"/>
    <n v="17259.21"/>
    <n v="17259.21"/>
    <n v="48"/>
    <n v="24.56"/>
    <n v="0"/>
    <n v="0"/>
    <n v="5.5"/>
    <n v="5.5"/>
    <n v="0"/>
    <n v="0"/>
    <s v="Non performing"/>
    <s v="Non-Performing"/>
    <x v="0"/>
    <n v="4.8257273481285834E-2"/>
    <s v="Healthy"/>
    <s v="Good"/>
    <s v="Medium"/>
    <s v="Low"/>
    <x v="0"/>
    <s v="Medium"/>
  </r>
  <r>
    <n v="23380"/>
    <n v="38"/>
    <s v="Self employed"/>
    <x v="0"/>
    <n v="2084.1799999999998"/>
    <n v="2084.1799999999998"/>
    <n v="31816.6"/>
    <n v="31816.6"/>
    <n v="48"/>
    <n v="11.78"/>
    <n v="0"/>
    <n v="0"/>
    <n v="12.8"/>
    <n v="12.8"/>
    <n v="30"/>
    <n v="30"/>
    <s v="Non performing"/>
    <s v="Non-Performing"/>
    <x v="2"/>
    <n v="0.31803674986485497"/>
    <s v="Stretched"/>
    <s v="At Risk"/>
    <s v="High"/>
    <s v="Medium"/>
    <x v="0"/>
    <s v="Medium"/>
  </r>
  <r>
    <n v="20851"/>
    <n v="30"/>
    <s v="Self-Employed"/>
    <x v="0"/>
    <n v="2046.76"/>
    <n v="2046.76"/>
    <n v="6146.2"/>
    <n v="6146.2"/>
    <n v="18"/>
    <n v="17.98"/>
    <n v="2"/>
    <n v="2"/>
    <n v="3.7"/>
    <n v="3.7"/>
    <n v="120"/>
    <n v="120"/>
    <s v="Performing "/>
    <s v="Performing "/>
    <x v="1"/>
    <n v="0.16682735423574602"/>
    <s v="Healthy"/>
    <s v="High Risk"/>
    <s v="Small"/>
    <s v="Medium"/>
    <x v="0"/>
    <s v="Medium"/>
  </r>
  <r>
    <n v="24209"/>
    <n v="23"/>
    <s v="Salaried "/>
    <x v="2"/>
    <n v="4855.33"/>
    <n v="4855.33"/>
    <n v="12864.51"/>
    <n v="12864.51"/>
    <n v="36"/>
    <n v="16.64"/>
    <n v="4"/>
    <n v="4"/>
    <n v="6.9"/>
    <n v="6.9"/>
    <n v="90"/>
    <n v="90"/>
    <s v="Performing "/>
    <s v="Performing "/>
    <x v="4"/>
    <n v="7.3599013867234567E-2"/>
    <s v="Healthy"/>
    <s v="High Risk"/>
    <s v="Medium"/>
    <s v="High"/>
    <x v="0"/>
    <s v="Medium"/>
  </r>
  <r>
    <n v="22690"/>
    <n v="30"/>
    <s v="Unemployed"/>
    <x v="3"/>
    <n v="6570.26"/>
    <n v="6570.26"/>
    <n v="23596.35"/>
    <n v="23596.35"/>
    <n v="36"/>
    <n v="21.9"/>
    <m/>
    <s v="NULL"/>
    <n v="8.4"/>
    <n v="8.4"/>
    <n v="0"/>
    <n v="0"/>
    <s v="Written Off"/>
    <s v="Written Off"/>
    <x v="0"/>
    <n v="9.9760765428866832E-2"/>
    <s v="Healthy"/>
    <s v="Good"/>
    <s v="Medium"/>
    <s v="Low"/>
    <x v="0"/>
    <s v="Medium"/>
  </r>
  <r>
    <n v="23501"/>
    <n v="23"/>
    <s v="Unemployed"/>
    <x v="3"/>
    <n v="5305.26"/>
    <n v="5305.26"/>
    <n v="12671.84"/>
    <n v="12671.84"/>
    <n v="24"/>
    <n v="18.86"/>
    <n v="4"/>
    <n v="4"/>
    <n v="0.2"/>
    <n v="0.2"/>
    <n v="30"/>
    <n v="30"/>
    <s v="Written Off"/>
    <s v="Written Off"/>
    <x v="2"/>
    <n v="9.9522612149702996E-2"/>
    <s v="Healthy"/>
    <s v="At Risk"/>
    <s v="Medium"/>
    <s v="Low"/>
    <x v="0"/>
    <s v="Medium"/>
  </r>
  <r>
    <n v="22891"/>
    <n v="49"/>
    <s v="Self employed"/>
    <x v="0"/>
    <n v="6309.24"/>
    <n v="6309.24"/>
    <n v="8776.6200000000008"/>
    <n v="8776.6200000000008"/>
    <n v="24"/>
    <n v="21.6"/>
    <n v="0"/>
    <n v="0"/>
    <n v="11.6"/>
    <n v="11.6"/>
    <n v="15"/>
    <n v="15"/>
    <s v="Non performing"/>
    <s v="Non-Performing"/>
    <x v="1"/>
    <n v="5.7961418490975143E-2"/>
    <s v="Healthy"/>
    <s v="Good"/>
    <s v="Small"/>
    <s v="Medium"/>
    <x v="1"/>
    <s v="Medium"/>
  </r>
  <r>
    <n v="22251"/>
    <n v="27"/>
    <s v="Salaried "/>
    <x v="2"/>
    <n v="3685.4"/>
    <n v="3685.4"/>
    <n v="7783.74"/>
    <n v="7783.74"/>
    <n v="12"/>
    <n v="15.51"/>
    <n v="2"/>
    <n v="2"/>
    <n v="11.5"/>
    <n v="11.5"/>
    <m/>
    <s v="NULL"/>
    <s v="Performing"/>
    <s v="Performing"/>
    <x v="1"/>
    <n v="0.17600396157811904"/>
    <s v="Healthy"/>
    <s v="NULL"/>
    <s v="Small"/>
    <s v="High"/>
    <x v="0"/>
    <s v="Medium"/>
  </r>
  <r>
    <n v="20561"/>
    <n v="61"/>
    <s v="Unemployed"/>
    <x v="3"/>
    <n v="7973.86"/>
    <n v="7973.86"/>
    <n v="17225.71"/>
    <n v="17225.71"/>
    <n v="48"/>
    <n v="18.239999999999998"/>
    <n v="3"/>
    <n v="3"/>
    <n v="3.5"/>
    <n v="3.5"/>
    <n v="15"/>
    <n v="15"/>
    <s v="Performing"/>
    <s v="Performing"/>
    <x v="4"/>
    <n v="4.5005675837465585E-2"/>
    <s v="Healthy"/>
    <s v="Good"/>
    <s v="Medium"/>
    <s v="Low"/>
    <x v="0"/>
    <s v="Medium"/>
  </r>
  <r>
    <n v="25123"/>
    <n v="55"/>
    <s v="Contract"/>
    <x v="1"/>
    <n v="5318.29"/>
    <n v="5318.29"/>
    <n v="16199.56"/>
    <n v="16199.56"/>
    <n v="12"/>
    <n v="26.78"/>
    <n v="0"/>
    <n v="0"/>
    <n v="4.5999999999999996"/>
    <n v="4.5999999999999996"/>
    <n v="15"/>
    <n v="15"/>
    <s v="Performing "/>
    <s v="Performing "/>
    <x v="3"/>
    <n v="0.25383409579645588"/>
    <s v="Healthy"/>
    <s v="Good"/>
    <s v="Medium"/>
    <s v="Low"/>
    <x v="0"/>
    <s v="Medium"/>
  </r>
  <r>
    <n v="23872"/>
    <n v="22"/>
    <s v="Contract"/>
    <x v="1"/>
    <n v="3008.08"/>
    <n v="3008.08"/>
    <n v="21157.09"/>
    <n v="21157.09"/>
    <n v="24"/>
    <n v="17.309999999999999"/>
    <n v="4"/>
    <n v="4"/>
    <n v="11.1"/>
    <n v="11.1"/>
    <n v="0"/>
    <n v="0"/>
    <s v="Performing "/>
    <s v="Performing "/>
    <x v="1"/>
    <n v="0.2930591662012535"/>
    <s v="Healthy"/>
    <s v="Good"/>
    <s v="Medium"/>
    <s v="Low"/>
    <x v="0"/>
    <s v="Medium"/>
  </r>
  <r>
    <n v="25096"/>
    <n v="49"/>
    <s v="Self employed"/>
    <x v="0"/>
    <n v="5336.36"/>
    <n v="5336.36"/>
    <n v="21243.32"/>
    <n v="21243.32"/>
    <n v="36"/>
    <n v="17.09"/>
    <n v="4"/>
    <n v="4"/>
    <n v="2.8"/>
    <n v="2.8"/>
    <n v="30"/>
    <n v="30"/>
    <s v="Performing"/>
    <s v="Performing"/>
    <x v="3"/>
    <n v="0.1105795377789771"/>
    <s v="Healthy"/>
    <s v="At Risk"/>
    <s v="Medium"/>
    <s v="Medium"/>
    <x v="0"/>
    <s v="Medium"/>
  </r>
  <r>
    <n v="24256"/>
    <n v="18"/>
    <s v="Salaried"/>
    <x v="2"/>
    <n v="7181.13"/>
    <n v="7181.13"/>
    <n v="17490.12"/>
    <n v="17490.12"/>
    <n v="36"/>
    <n v="23.56"/>
    <n v="2"/>
    <n v="2"/>
    <n v="5.2"/>
    <n v="5.2"/>
    <n v="0"/>
    <n v="0"/>
    <s v="Written Off"/>
    <s v="Written Off"/>
    <x v="1"/>
    <n v="6.7654626314614358E-2"/>
    <s v="Healthy"/>
    <s v="Good"/>
    <s v="Medium"/>
    <s v="High"/>
    <x v="1"/>
    <s v="Medium"/>
  </r>
  <r>
    <n v="21552"/>
    <n v="45"/>
    <s v="Self employed"/>
    <x v="0"/>
    <n v="3580.97"/>
    <n v="3580.97"/>
    <n v="9869.7199999999993"/>
    <n v="9869.7199999999993"/>
    <n v="12"/>
    <n v="11.44"/>
    <n v="1"/>
    <n v="1"/>
    <n v="12.4"/>
    <n v="12.4"/>
    <n v="0"/>
    <n v="0"/>
    <s v="Non performing"/>
    <s v="Non-Performing"/>
    <x v="3"/>
    <n v="0.22967985396880361"/>
    <s v="Healthy"/>
    <s v="Good"/>
    <s v="Small"/>
    <s v="Medium"/>
    <x v="1"/>
    <s v="Medium"/>
  </r>
  <r>
    <n v="20686"/>
    <n v="54"/>
    <s v="Self employed"/>
    <x v="0"/>
    <n v="10567.91"/>
    <n v="10567.91"/>
    <n v="17549.189999999999"/>
    <n v="17549.189999999999"/>
    <n v="48"/>
    <n v="22.46"/>
    <n v="4"/>
    <n v="4"/>
    <n v="15.5"/>
    <n v="15.5"/>
    <m/>
    <s v="NULL"/>
    <s v="Written Off"/>
    <s v="Written Off"/>
    <x v="1"/>
    <n v="3.4596067245084412E-2"/>
    <s v="Healthy"/>
    <s v="NULL"/>
    <s v="Medium"/>
    <s v="Medium"/>
    <x v="0"/>
    <s v="High"/>
  </r>
  <r>
    <n v="22810"/>
    <n v="64"/>
    <s v="Contract"/>
    <x v="1"/>
    <n v="5536.76"/>
    <n v="5536.76"/>
    <n v="22478.41"/>
    <n v="22478.41"/>
    <n v="24"/>
    <n v="12.69"/>
    <n v="3"/>
    <n v="3"/>
    <n v="8.3000000000000007"/>
    <n v="8.3000000000000007"/>
    <n v="0"/>
    <n v="0"/>
    <s v="Performing "/>
    <s v="Performing "/>
    <x v="4"/>
    <n v="0.16916037839217643"/>
    <s v="Healthy"/>
    <s v="Good"/>
    <s v="Medium"/>
    <s v="Low"/>
    <x v="0"/>
    <s v="Medium"/>
  </r>
  <r>
    <n v="24999"/>
    <n v="43"/>
    <s v="Salaried "/>
    <x v="2"/>
    <n v="7166.38"/>
    <n v="7166.38"/>
    <n v="32120.07"/>
    <n v="32120.07"/>
    <n v="6"/>
    <n v="16.079999999999998"/>
    <n v="1"/>
    <n v="1"/>
    <n v="0.5"/>
    <n v="0.5"/>
    <n v="60"/>
    <n v="60"/>
    <s v="Non-Performing"/>
    <s v="Non-Performing"/>
    <x v="0"/>
    <n v="0.74700825242312019"/>
    <s v="High Stress"/>
    <s v="High Risk"/>
    <s v="High"/>
    <s v="High"/>
    <x v="0"/>
    <s v="Medium"/>
  </r>
  <r>
    <n v="21530"/>
    <n v="22"/>
    <s v="Salaried"/>
    <x v="2"/>
    <n v="1903.63"/>
    <n v="1903.63"/>
    <n v="13832.48"/>
    <n v="13832.48"/>
    <n v="18"/>
    <n v="21.34"/>
    <n v="1"/>
    <n v="1"/>
    <n v="10"/>
    <n v="10"/>
    <n v="15"/>
    <n v="15"/>
    <s v="Performing "/>
    <s v="Performing "/>
    <x v="4"/>
    <n v="0.40368722446647248"/>
    <s v="Stretched"/>
    <s v="Good"/>
    <s v="Medium"/>
    <s v="High"/>
    <x v="0"/>
    <s v="Low"/>
  </r>
  <r>
    <n v="25717"/>
    <n v="50"/>
    <s v="Self employed"/>
    <x v="0"/>
    <n v="4442.16"/>
    <n v="4442.16"/>
    <n v="14635.57"/>
    <n v="14635.57"/>
    <n v="18"/>
    <n v="19.77"/>
    <n v="4"/>
    <n v="4"/>
    <n v="3.3"/>
    <n v="3.3"/>
    <n v="0"/>
    <n v="0"/>
    <s v="Written Off"/>
    <s v="Written Off"/>
    <x v="1"/>
    <n v="0.18303870689534418"/>
    <s v="Healthy"/>
    <s v="Good"/>
    <s v="Medium"/>
    <s v="Medium"/>
    <x v="1"/>
    <s v="Medium"/>
  </r>
  <r>
    <n v="22711"/>
    <n v="63"/>
    <s v="Unemployed"/>
    <x v="3"/>
    <n v="962.63"/>
    <n v="962.63"/>
    <n v="8842.7000000000007"/>
    <n v="8842.7000000000007"/>
    <n v="18"/>
    <n v="24.31"/>
    <n v="3"/>
    <n v="3"/>
    <n v="5.0999999999999996"/>
    <n v="5.0999999999999996"/>
    <n v="120"/>
    <n v="120"/>
    <s v="Performing"/>
    <s v="Performing"/>
    <x v="3"/>
    <n v="0.51033222641213249"/>
    <s v="High Stress"/>
    <s v="High Risk"/>
    <s v="Small"/>
    <s v="Low"/>
    <x v="2"/>
    <s v="Low"/>
  </r>
  <r>
    <n v="22592"/>
    <n v="27"/>
    <s v="Salaried"/>
    <x v="2"/>
    <n v="6520.06"/>
    <n v="6520.06"/>
    <n v="24937.56"/>
    <n v="24937.56"/>
    <n v="18"/>
    <n v="12.64"/>
    <n v="4"/>
    <n v="4"/>
    <n v="8.6999999999999993"/>
    <n v="8.6999999999999993"/>
    <n v="0"/>
    <n v="0"/>
    <s v="Performing"/>
    <s v="Performing"/>
    <x v="4"/>
    <n v="0.21248577467078525"/>
    <s v="Healthy"/>
    <s v="Good"/>
    <s v="Medium"/>
    <s v="High"/>
    <x v="1"/>
    <s v="Medium"/>
  </r>
  <r>
    <n v="25576"/>
    <n v="55"/>
    <s v="Self-Employed"/>
    <x v="0"/>
    <n v="1888.34"/>
    <n v="1888.34"/>
    <n v="28827.34"/>
    <n v="28827.34"/>
    <n v="12"/>
    <n v="22.06"/>
    <n v="1"/>
    <n v="1"/>
    <n v="1.9"/>
    <n v="1.9"/>
    <n v="0"/>
    <n v="0"/>
    <s v="Performing"/>
    <s v="Performing"/>
    <x v="0"/>
    <n v="1.27216408768195"/>
    <s v="High Stress"/>
    <s v="Good"/>
    <s v="Medium"/>
    <s v="Medium"/>
    <x v="0"/>
    <s v="Low"/>
  </r>
  <r>
    <n v="23371"/>
    <n v="55"/>
    <s v="Self-Employed"/>
    <x v="0"/>
    <n v="7303.21"/>
    <n v="7303.21"/>
    <n v="14348.48"/>
    <n v="14348.48"/>
    <n v="6"/>
    <n v="19.239999999999998"/>
    <n v="4"/>
    <n v="4"/>
    <n v="2.2000000000000002"/>
    <n v="2.2000000000000002"/>
    <n v="0"/>
    <n v="0"/>
    <s v="Non performing"/>
    <s v="Non-Performing"/>
    <x v="0"/>
    <n v="0.32744688066389072"/>
    <s v="Stretched"/>
    <s v="Good"/>
    <s v="Medium"/>
    <s v="Medium"/>
    <x v="0"/>
    <s v="Medium"/>
  </r>
  <r>
    <n v="21866"/>
    <n v="59"/>
    <s v="Self employed"/>
    <x v="0"/>
    <n v="2142.1799999999998"/>
    <n v="2142.1799999999998"/>
    <n v="22920.04"/>
    <n v="22920.04"/>
    <n v="48"/>
    <n v="19.87"/>
    <n v="3"/>
    <n v="3"/>
    <n v="8.1"/>
    <n v="8.1"/>
    <n v="15"/>
    <n v="15"/>
    <s v="Non-Performing"/>
    <s v="Non-Performing"/>
    <x v="4"/>
    <n v="0.22290415993676227"/>
    <s v="Healthy"/>
    <s v="Good"/>
    <s v="Medium"/>
    <s v="Medium"/>
    <x v="1"/>
    <s v="Medium"/>
  </r>
  <r>
    <n v="25980"/>
    <n v="51"/>
    <s v="Unemployed"/>
    <x v="3"/>
    <n v="7496.69"/>
    <n v="7496.69"/>
    <n v="8935.01"/>
    <n v="8935.01"/>
    <n v="24"/>
    <n v="22.48"/>
    <n v="4"/>
    <n v="4"/>
    <n v="6.6"/>
    <n v="6.6"/>
    <n v="0"/>
    <n v="0"/>
    <s v="Non performing"/>
    <s v="Non-Performing"/>
    <x v="1"/>
    <n v="4.9660861437959065E-2"/>
    <s v="Healthy"/>
    <s v="Good"/>
    <s v="Small"/>
    <s v="Low"/>
    <x v="0"/>
    <s v="Medium"/>
  </r>
  <r>
    <n v="23430"/>
    <n v="75"/>
    <s v="Contract"/>
    <x v="1"/>
    <n v="5847.11"/>
    <n v="5847.11"/>
    <n v="16398.740000000002"/>
    <n v="16398.740000000002"/>
    <n v="18"/>
    <n v="19.11"/>
    <m/>
    <s v="NULL"/>
    <n v="0"/>
    <n v="0"/>
    <n v="120"/>
    <n v="120"/>
    <s v="Non-Performing"/>
    <s v="Non-Performing"/>
    <x v="3"/>
    <n v="0.15581049631546376"/>
    <s v="Healthy"/>
    <s v="High Risk"/>
    <s v="Medium"/>
    <s v="Low"/>
    <x v="0"/>
    <s v="Medium"/>
  </r>
  <r>
    <n v="23070"/>
    <n v="46"/>
    <s v="Self employed"/>
    <x v="0"/>
    <n v="7287.43"/>
    <n v="7287.43"/>
    <n v="-1636.18"/>
    <n v="1636.18"/>
    <n v="24"/>
    <n v="14.71"/>
    <n v="1"/>
    <n v="1"/>
    <n v="7.4"/>
    <n v="7.4"/>
    <n v="90"/>
    <n v="90"/>
    <s v="Performing"/>
    <s v="Performing"/>
    <x v="3"/>
    <n v="9.3550355429371755E-3"/>
    <s v="Healthy"/>
    <s v="High Risk"/>
    <s v="Small"/>
    <s v="Medium"/>
    <x v="0"/>
    <s v="Medium"/>
  </r>
  <r>
    <n v="22363"/>
    <n v="44"/>
    <s v="Salaried"/>
    <x v="2"/>
    <n v="6320.71"/>
    <n v="6320.71"/>
    <n v="12575.26"/>
    <n v="12575.26"/>
    <n v="6"/>
    <n v="22.44"/>
    <n v="1"/>
    <n v="1"/>
    <n v="5.7"/>
    <n v="5.7"/>
    <m/>
    <s v="NULL"/>
    <s v="Performing "/>
    <s v="Performing "/>
    <x v="4"/>
    <n v="0.3315888035785009"/>
    <s v="Stretched"/>
    <s v="NULL"/>
    <s v="Medium"/>
    <s v="High"/>
    <x v="0"/>
    <s v="Medium"/>
  </r>
  <r>
    <n v="23913"/>
    <n v="58"/>
    <s v="Unemployed"/>
    <x v="3"/>
    <n v="-1500"/>
    <n v="1500"/>
    <n v="24980.09"/>
    <n v="24980.09"/>
    <n v="18"/>
    <n v="24.99"/>
    <n v="4"/>
    <n v="4"/>
    <n v="6.7"/>
    <n v="6.7"/>
    <n v="90"/>
    <n v="90"/>
    <s v="Performing "/>
    <s v="Performing "/>
    <x v="1"/>
    <n v="0.92518851851851858"/>
    <s v="High Stress"/>
    <s v="High Risk"/>
    <s v="Medium"/>
    <s v="Low"/>
    <x v="2"/>
    <s v="Low"/>
  </r>
  <r>
    <n v="24519"/>
    <n v="60"/>
    <s v="Salaried "/>
    <x v="2"/>
    <n v="7416.62"/>
    <n v="7416.62"/>
    <n v="22717.45"/>
    <n v="22717.45"/>
    <n v="60"/>
    <n v="27.96"/>
    <n v="1"/>
    <n v="1"/>
    <n v="5.7"/>
    <n v="5.7"/>
    <m/>
    <s v="NULL"/>
    <s v="Non-Performing"/>
    <s v="Non-Performing"/>
    <x v="3"/>
    <n v="5.1050770656534468E-2"/>
    <s v="Healthy"/>
    <s v="NULL"/>
    <s v="Medium"/>
    <s v="High"/>
    <x v="0"/>
    <s v="Medium"/>
  </r>
  <r>
    <n v="21202"/>
    <n v="55"/>
    <s v="Salaried"/>
    <x v="2"/>
    <n v="4583.42"/>
    <n v="4583.42"/>
    <n v="27497.88"/>
    <n v="27497.88"/>
    <n v="24"/>
    <n v="17.11"/>
    <n v="4"/>
    <n v="4"/>
    <n v="-2.8"/>
    <n v="2.8"/>
    <n v="90"/>
    <n v="90"/>
    <s v="Written Off"/>
    <s v="Written Off"/>
    <x v="2"/>
    <n v="0.2499760004538096"/>
    <s v="Healthy"/>
    <s v="High Risk"/>
    <s v="Medium"/>
    <s v="High"/>
    <x v="0"/>
    <s v="Medium"/>
  </r>
  <r>
    <n v="24896"/>
    <n v="29"/>
    <s v="Unemployed"/>
    <x v="3"/>
    <n v="2375.12"/>
    <n v="2375.12"/>
    <n v="27347.93"/>
    <n v="27347.93"/>
    <n v="60"/>
    <n v="20.81"/>
    <n v="3"/>
    <n v="3"/>
    <n v="9.5"/>
    <n v="9.5"/>
    <n v="90"/>
    <n v="90"/>
    <s v="Performing"/>
    <s v="Performing"/>
    <x v="2"/>
    <n v="0.19190560196256753"/>
    <s v="Healthy"/>
    <s v="High Risk"/>
    <s v="Medium"/>
    <s v="Low"/>
    <x v="0"/>
    <s v="Medium"/>
  </r>
  <r>
    <n v="20792"/>
    <n v="29"/>
    <s v="Self-Employed"/>
    <x v="0"/>
    <n v="9762.86"/>
    <n v="9762.86"/>
    <n v="17759"/>
    <n v="17759"/>
    <n v="24"/>
    <n v="10.3"/>
    <n v="4"/>
    <n v="4"/>
    <n v="7.8"/>
    <n v="7.8"/>
    <n v="90"/>
    <n v="90"/>
    <s v="Written Off"/>
    <s v="Written Off"/>
    <x v="2"/>
    <n v="7.5793193114859103E-2"/>
    <s v="Healthy"/>
    <s v="High Risk"/>
    <s v="Medium"/>
    <s v="Medium"/>
    <x v="0"/>
    <s v="High"/>
  </r>
  <r>
    <n v="23681"/>
    <n v="56"/>
    <s v="Self-Employed"/>
    <x v="0"/>
    <n v="4682.17"/>
    <n v="4682.17"/>
    <n v="32497.23"/>
    <n v="32497.23"/>
    <n v="36"/>
    <n v="14.54"/>
    <n v="0"/>
    <n v="0"/>
    <n v="7.9"/>
    <n v="7.9"/>
    <n v="0"/>
    <n v="0"/>
    <s v="Non-Performing"/>
    <s v="Non-Performing"/>
    <x v="4"/>
    <n v="0.19279539899946677"/>
    <s v="Healthy"/>
    <s v="Good"/>
    <s v="High"/>
    <s v="Medium"/>
    <x v="1"/>
    <s v="Medium"/>
  </r>
  <r>
    <n v="25128"/>
    <n v="32"/>
    <s v="Self employed"/>
    <x v="0"/>
    <n v="7582.2"/>
    <n v="7582.2"/>
    <n v="10695.34"/>
    <n v="10695.34"/>
    <n v="12"/>
    <n v="10.78"/>
    <m/>
    <s v="NULL"/>
    <n v="14.5"/>
    <n v="14.5"/>
    <n v="0"/>
    <n v="0"/>
    <s v="Performing "/>
    <s v="Performing "/>
    <x v="0"/>
    <n v="0.11754877652044703"/>
    <s v="Healthy"/>
    <s v="Good"/>
    <s v="Medium"/>
    <s v="Medium"/>
    <x v="1"/>
    <s v="Medium"/>
  </r>
  <r>
    <n v="21281"/>
    <n v="64"/>
    <s v="Salaried"/>
    <x v="2"/>
    <n v="6428.58"/>
    <n v="6428.58"/>
    <n v="8744.9699999999993"/>
    <n v="8744.9699999999993"/>
    <n v="36"/>
    <n v="20.149999999999999"/>
    <n v="2"/>
    <n v="2"/>
    <n v="6.2"/>
    <n v="6.2"/>
    <m/>
    <s v="NULL"/>
    <s v="Performing "/>
    <s v="Performing "/>
    <x v="0"/>
    <n v="3.778685702493137E-2"/>
    <s v="Healthy"/>
    <s v="NULL"/>
    <s v="Small"/>
    <s v="High"/>
    <x v="0"/>
    <s v="Medium"/>
  </r>
  <r>
    <n v="25436"/>
    <n v="31"/>
    <s v="Contract"/>
    <x v="1"/>
    <n v="5037.1899999999996"/>
    <n v="5037.1899999999996"/>
    <n v="26453.81"/>
    <n v="26453.81"/>
    <n v="6"/>
    <n v="18.89"/>
    <n v="4"/>
    <n v="4"/>
    <n v="10.5"/>
    <n v="10.5"/>
    <n v="30"/>
    <n v="30"/>
    <s v="Non-Performing"/>
    <s v="Non-Performing"/>
    <x v="4"/>
    <n v="0.87528330941126575"/>
    <s v="High Stress"/>
    <s v="At Risk"/>
    <s v="Medium"/>
    <s v="Low"/>
    <x v="0"/>
    <s v="Medium"/>
  </r>
  <r>
    <n v="25279"/>
    <n v="42"/>
    <s v="Self employed"/>
    <x v="0"/>
    <n v="5743.87"/>
    <n v="5743.87"/>
    <n v="17518.240000000002"/>
    <n v="17518.240000000002"/>
    <n v="18"/>
    <n v="25.23"/>
    <n v="4"/>
    <n v="4"/>
    <n v="7.5"/>
    <n v="7.5"/>
    <n v="60"/>
    <n v="60"/>
    <s v="Performing "/>
    <s v="Performing "/>
    <x v="4"/>
    <n v="0.16943899418955435"/>
    <s v="Healthy"/>
    <s v="High Risk"/>
    <s v="Medium"/>
    <s v="Medium"/>
    <x v="0"/>
    <s v="Medium"/>
  </r>
  <r>
    <n v="20484"/>
    <n v="46"/>
    <s v="Self employed"/>
    <x v="0"/>
    <n v="5449.85"/>
    <n v="5449.85"/>
    <n v="21592.77"/>
    <n v="21592.77"/>
    <n v="36"/>
    <n v="16.190000000000001"/>
    <n v="0"/>
    <n v="0"/>
    <n v="9"/>
    <n v="9"/>
    <n v="60"/>
    <n v="60"/>
    <s v="Performing "/>
    <s v="Performing "/>
    <x v="0"/>
    <n v="0.11005792208348242"/>
    <s v="Healthy"/>
    <s v="High Risk"/>
    <s v="Medium"/>
    <s v="Medium"/>
    <x v="0"/>
    <s v="Medium"/>
  </r>
  <r>
    <n v="22299"/>
    <n v="61"/>
    <s v="Salaried"/>
    <x v="2"/>
    <n v="5853.39"/>
    <n v="5853.39"/>
    <n v="20914.48"/>
    <n v="20914.48"/>
    <n v="18"/>
    <n v="19.600000000000001"/>
    <n v="4"/>
    <n v="4"/>
    <n v="8.9"/>
    <n v="8.9"/>
    <n v="0"/>
    <n v="0"/>
    <s v="Non-Performing"/>
    <s v="Non-Performing"/>
    <x v="2"/>
    <n v="0.1985030137331624"/>
    <s v="Healthy"/>
    <s v="Good"/>
    <s v="Medium"/>
    <s v="High"/>
    <x v="1"/>
    <s v="Medium"/>
  </r>
  <r>
    <n v="25041"/>
    <n v="75"/>
    <s v="Self-Employed"/>
    <x v="0"/>
    <n v="3538.3"/>
    <n v="3538.3"/>
    <n v="12625.1"/>
    <n v="12625.1"/>
    <n v="24"/>
    <n v="18.059999999999999"/>
    <n v="4"/>
    <n v="4"/>
    <n v="4.2"/>
    <n v="4.2"/>
    <n v="15"/>
    <n v="15"/>
    <s v="Performing"/>
    <s v="Performing"/>
    <x v="1"/>
    <n v="0.14867191400766844"/>
    <s v="Healthy"/>
    <s v="Good"/>
    <s v="Medium"/>
    <s v="Medium"/>
    <x v="1"/>
    <s v="Medium"/>
  </r>
  <r>
    <n v="24501"/>
    <n v="30"/>
    <s v="Salaried"/>
    <x v="2"/>
    <n v="3528.79"/>
    <n v="3528.79"/>
    <n v="23671.27"/>
    <n v="23671.27"/>
    <n v="12"/>
    <n v="23.08"/>
    <m/>
    <s v="NULL"/>
    <n v="12.3"/>
    <n v="12.3"/>
    <m/>
    <s v="NULL"/>
    <s v="Non-Performing"/>
    <s v="Non-Performing"/>
    <x v="2"/>
    <n v="0.55900346388799949"/>
    <s v="High Stress"/>
    <s v="NULL"/>
    <s v="Medium"/>
    <s v="High"/>
    <x v="0"/>
    <s v="Medium"/>
  </r>
  <r>
    <n v="22241"/>
    <n v="53"/>
    <s v="Contract"/>
    <x v="1"/>
    <n v="1571.47"/>
    <n v="1571.47"/>
    <n v="8871.58"/>
    <n v="8871.58"/>
    <n v="18"/>
    <n v="14.39"/>
    <m/>
    <s v="NULL"/>
    <n v="7.7"/>
    <n v="7.7"/>
    <n v="0"/>
    <n v="0"/>
    <s v="Performing "/>
    <s v="Performing "/>
    <x v="3"/>
    <n v="0.31363344865352538"/>
    <s v="Stretched"/>
    <s v="Good"/>
    <s v="Small"/>
    <s v="Low"/>
    <x v="0"/>
    <s v="Low"/>
  </r>
  <r>
    <n v="22876"/>
    <n v="32"/>
    <s v="Salaried"/>
    <x v="2"/>
    <n v="6577.19"/>
    <n v="6577.19"/>
    <n v="9557.49"/>
    <n v="9557.49"/>
    <n v="48"/>
    <n v="55"/>
    <n v="2"/>
    <n v="2"/>
    <n v="8.1"/>
    <n v="8.1"/>
    <n v="60"/>
    <n v="60"/>
    <s v="Performing"/>
    <s v="Performing"/>
    <x v="3"/>
    <n v="3.0273471649747079E-2"/>
    <s v="Healthy"/>
    <s v="High Risk"/>
    <s v="Small"/>
    <s v="High"/>
    <x v="0"/>
    <s v="Medium"/>
  </r>
  <r>
    <n v="21769"/>
    <n v="63"/>
    <s v="Self employed"/>
    <x v="0"/>
    <n v="-1500"/>
    <n v="1500"/>
    <n v="21730.67"/>
    <n v="21730.67"/>
    <n v="60"/>
    <n v="26.14"/>
    <n v="2"/>
    <n v="2"/>
    <n v="7.8"/>
    <n v="7.8"/>
    <n v="60"/>
    <n v="60"/>
    <s v="Non-Performing"/>
    <s v="Non-Performing"/>
    <x v="2"/>
    <n v="0.24145188888888888"/>
    <s v="Healthy"/>
    <s v="High Risk"/>
    <s v="Medium"/>
    <s v="Medium"/>
    <x v="0"/>
    <s v="Low"/>
  </r>
  <r>
    <n v="23575"/>
    <n v="59"/>
    <s v="Unemployed"/>
    <x v="3"/>
    <n v="1691.67"/>
    <n v="1691.67"/>
    <n v="22409.040000000001"/>
    <n v="22409.040000000001"/>
    <n v="6"/>
    <n v="19.079999999999998"/>
    <n v="0"/>
    <n v="0"/>
    <n v="6.4"/>
    <n v="6.4"/>
    <m/>
    <s v="NULL"/>
    <s v="Non-Performing"/>
    <s v="Non-Performing"/>
    <x v="1"/>
    <n v="2.2077828418072083"/>
    <s v="High Stress"/>
    <s v="NULL"/>
    <s v="Medium"/>
    <s v="Low"/>
    <x v="0"/>
    <s v="Low"/>
  </r>
  <r>
    <n v="23843"/>
    <n v="53"/>
    <s v="Self employed"/>
    <x v="0"/>
    <n v="-71.03"/>
    <n v="71.03"/>
    <n v="3756.11"/>
    <n v="3756.11"/>
    <n v="24"/>
    <n v="12.93"/>
    <n v="1"/>
    <n v="1"/>
    <n v="10.199999999999999"/>
    <n v="10.199999999999999"/>
    <n v="30"/>
    <n v="30"/>
    <s v="Written Off"/>
    <s v="Written Off"/>
    <x v="1"/>
    <n v="2.2033589093810129"/>
    <s v="High Stress"/>
    <s v="At Risk"/>
    <s v="Small"/>
    <s v="Medium"/>
    <x v="0"/>
    <s v="Low"/>
  </r>
  <r>
    <n v="24295"/>
    <n v="61"/>
    <s v="Self employed"/>
    <x v="0"/>
    <n v="608.54999999999995"/>
    <n v="608.54999999999995"/>
    <n v="23950.23"/>
    <n v="23950.23"/>
    <n v="60"/>
    <n v="13.24"/>
    <n v="4"/>
    <n v="4"/>
    <n v="3.4"/>
    <n v="3.4"/>
    <n v="0"/>
    <n v="0"/>
    <s v="Non performing"/>
    <s v="Non-Performing"/>
    <x v="4"/>
    <n v="0.65593706351162595"/>
    <s v="High Stress"/>
    <s v="Good"/>
    <s v="Medium"/>
    <s v="Medium"/>
    <x v="0"/>
    <s v="Low"/>
  </r>
  <r>
    <n v="22211"/>
    <n v="31"/>
    <s v="Salaried "/>
    <x v="2"/>
    <n v="3173.04"/>
    <n v="3173.04"/>
    <n v="15305.11"/>
    <n v="15305.11"/>
    <n v="12"/>
    <n v="13.47"/>
    <n v="0"/>
    <n v="0"/>
    <n v="13.1"/>
    <n v="13.1"/>
    <n v="15"/>
    <n v="15"/>
    <s v="Non-Performing"/>
    <s v="Non-Performing"/>
    <x v="0"/>
    <n v="0.40195706115691371"/>
    <s v="Stretched"/>
    <s v="Good"/>
    <s v="Medium"/>
    <s v="High"/>
    <x v="0"/>
    <s v="Medium"/>
  </r>
  <r>
    <n v="21905"/>
    <n v="52"/>
    <s v="Contract"/>
    <x v="1"/>
    <n v="2499.85"/>
    <n v="2499.85"/>
    <n v="522.58000000000004"/>
    <n v="522.58000000000004"/>
    <n v="36"/>
    <n v="21.79"/>
    <m/>
    <s v="NULL"/>
    <n v="11.8"/>
    <n v="11.8"/>
    <n v="30"/>
    <n v="30"/>
    <s v="Non performing"/>
    <s v="Non-Performing"/>
    <x v="2"/>
    <n v="5.8067928520155665E-3"/>
    <s v="Healthy"/>
    <s v="At Risk"/>
    <s v="Small"/>
    <s v="Low"/>
    <x v="0"/>
    <s v="Medium"/>
  </r>
  <r>
    <n v="25810"/>
    <n v="30"/>
    <s v="Unemployed"/>
    <x v="3"/>
    <n v="4341.95"/>
    <n v="4341.95"/>
    <n v="17915.11"/>
    <n v="17915.11"/>
    <n v="36"/>
    <n v="25.57"/>
    <n v="3"/>
    <n v="3"/>
    <n v="10.6"/>
    <n v="10.6"/>
    <n v="0"/>
    <n v="0"/>
    <s v="Performing"/>
    <s v="Performing"/>
    <x v="1"/>
    <n v="0.11461254607824699"/>
    <s v="Healthy"/>
    <s v="Good"/>
    <s v="Medium"/>
    <s v="Low"/>
    <x v="0"/>
    <s v="Medium"/>
  </r>
  <r>
    <n v="22638"/>
    <n v="31"/>
    <s v="Self-Employed"/>
    <x v="0"/>
    <n v="1209.6300000000001"/>
    <n v="1209.6300000000001"/>
    <n v="15342.34"/>
    <n v="15342.34"/>
    <n v="6"/>
    <n v="29.19"/>
    <n v="4"/>
    <n v="4"/>
    <n v="6.4"/>
    <n v="6.4"/>
    <n v="15"/>
    <n v="15"/>
    <s v="Written Off"/>
    <s v="Written Off"/>
    <x v="0"/>
    <n v="2.1139163766330751"/>
    <s v="High Stress"/>
    <s v="Good"/>
    <s v="Medium"/>
    <s v="Medium"/>
    <x v="0"/>
    <s v="Low"/>
  </r>
  <r>
    <n v="21271"/>
    <n v="25"/>
    <s v="Unemployed"/>
    <x v="3"/>
    <n v="6127.56"/>
    <n v="6127.56"/>
    <n v="3525.13"/>
    <n v="3525.13"/>
    <n v="60"/>
    <n v="17.32"/>
    <n v="0"/>
    <n v="0"/>
    <n v="3.9"/>
    <n v="3.9"/>
    <n v="0"/>
    <n v="0"/>
    <s v="Non-Performing"/>
    <s v="Non-Performing"/>
    <x v="2"/>
    <n v="9.5881830070479387E-3"/>
    <s v="Healthy"/>
    <s v="Good"/>
    <s v="Small"/>
    <s v="Low"/>
    <x v="0"/>
    <s v="Medium"/>
  </r>
  <r>
    <n v="25149"/>
    <n v="43"/>
    <s v="Contract"/>
    <x v="1"/>
    <n v="3755.31"/>
    <n v="3755.31"/>
    <n v="12321.44"/>
    <n v="12321.44"/>
    <n v="12"/>
    <n v="22.22"/>
    <n v="0"/>
    <n v="0"/>
    <n v="3.1"/>
    <n v="3.1"/>
    <n v="0"/>
    <n v="0"/>
    <s v="Non-Performing"/>
    <s v="Non-Performing"/>
    <x v="0"/>
    <n v="0.27342261136009188"/>
    <s v="Healthy"/>
    <s v="Good"/>
    <s v="Medium"/>
    <s v="Low"/>
    <x v="0"/>
    <s v="Medium"/>
  </r>
  <r>
    <n v="21925"/>
    <n v="41"/>
    <s v="Self employed"/>
    <x v="0"/>
    <n v="7443.6"/>
    <n v="7443.6"/>
    <n v="5961.95"/>
    <n v="5961.95"/>
    <n v="48"/>
    <n v="17.75"/>
    <m/>
    <s v="NULL"/>
    <n v="7.3"/>
    <n v="7.3"/>
    <n v="0"/>
    <n v="0"/>
    <s v="Performing"/>
    <s v="Performing"/>
    <x v="4"/>
    <n v="1.6686454359001915E-2"/>
    <s v="Healthy"/>
    <s v="Good"/>
    <s v="Small"/>
    <s v="Medium"/>
    <x v="1"/>
    <s v="Medium"/>
  </r>
  <r>
    <n v="25114"/>
    <n v="62"/>
    <s v="Unemployed"/>
    <x v="3"/>
    <n v="6345.9"/>
    <n v="6345.9"/>
    <n v="10910.05"/>
    <n v="10910.05"/>
    <n v="36"/>
    <n v="12.71"/>
    <n v="3"/>
    <n v="3"/>
    <n v="12.1"/>
    <n v="12.1"/>
    <n v="0"/>
    <n v="0"/>
    <s v="Non performing"/>
    <s v="Non-Performing"/>
    <x v="4"/>
    <n v="4.7756337862942123E-2"/>
    <s v="Healthy"/>
    <s v="Good"/>
    <s v="Medium"/>
    <s v="Low"/>
    <x v="0"/>
    <s v="Medium"/>
  </r>
  <r>
    <n v="20304"/>
    <n v="38"/>
    <s v="Contract"/>
    <x v="1"/>
    <n v="10953.67"/>
    <n v="10953.67"/>
    <n v="35963.14"/>
    <n v="35963.14"/>
    <n v="60"/>
    <n v="13.75"/>
    <n v="2"/>
    <n v="2"/>
    <n v="13.4"/>
    <n v="13.4"/>
    <n v="15"/>
    <n v="15"/>
    <s v="Written Off"/>
    <s v="Written Off"/>
    <x v="4"/>
    <n v="5.4720077076145866E-2"/>
    <s v="Healthy"/>
    <s v="Good"/>
    <s v="High"/>
    <s v="Low"/>
    <x v="0"/>
    <s v="High"/>
  </r>
  <r>
    <n v="20149"/>
    <n v="45"/>
    <s v="Salaried"/>
    <x v="2"/>
    <n v="8011.85"/>
    <n v="8011.85"/>
    <n v="19273.099999999999"/>
    <n v="19273.099999999999"/>
    <n v="48"/>
    <n v="19.940000000000001"/>
    <n v="1"/>
    <n v="1"/>
    <n v="6.2"/>
    <n v="6.2"/>
    <m/>
    <s v="NULL"/>
    <s v="Non-Performing"/>
    <s v="Non-Performing"/>
    <x v="2"/>
    <n v="5.0116130065673545E-2"/>
    <s v="Healthy"/>
    <s v="NULL"/>
    <s v="Medium"/>
    <s v="High"/>
    <x v="0"/>
    <s v="High"/>
  </r>
  <r>
    <n v="23730"/>
    <n v="40"/>
    <s v="Self-Employed"/>
    <x v="0"/>
    <n v="4597.6899999999996"/>
    <n v="4597.6899999999996"/>
    <n v="12531.35"/>
    <n v="12531.35"/>
    <n v="18"/>
    <n v="11.15"/>
    <n v="4"/>
    <n v="4"/>
    <n v="5"/>
    <n v="5"/>
    <n v="90"/>
    <n v="90"/>
    <s v="Non-Performing"/>
    <s v="Non-Performing"/>
    <x v="2"/>
    <n v="0.15142084636221911"/>
    <s v="Healthy"/>
    <s v="High Risk"/>
    <s v="Medium"/>
    <s v="Medium"/>
    <x v="0"/>
    <s v="Medium"/>
  </r>
  <r>
    <n v="23368"/>
    <n v="50"/>
    <s v="Salaried "/>
    <x v="2"/>
    <n v="7279.15"/>
    <n v="7279.15"/>
    <n v="1004.5"/>
    <n v="1004.5"/>
    <n v="36"/>
    <n v="15.05"/>
    <n v="1"/>
    <n v="1"/>
    <n v="1"/>
    <n v="1"/>
    <m/>
    <s v="NULL"/>
    <s v="Non performing"/>
    <s v="Non-Performing"/>
    <x v="3"/>
    <n v="3.8332467084450489E-3"/>
    <s v="Healthy"/>
    <s v="NULL"/>
    <s v="Small"/>
    <s v="High"/>
    <x v="0"/>
    <s v="Medium"/>
  </r>
  <r>
    <n v="25079"/>
    <n v="61"/>
    <s v="Salaried"/>
    <x v="2"/>
    <n v="5458.04"/>
    <n v="5458.04"/>
    <n v="30520.68"/>
    <n v="30520.68"/>
    <n v="24"/>
    <n v="12.2"/>
    <n v="2"/>
    <n v="2"/>
    <n v="5"/>
    <n v="5"/>
    <n v="60"/>
    <n v="60"/>
    <s v="Performing "/>
    <s v="Performing "/>
    <x v="2"/>
    <n v="0.23299481132421163"/>
    <s v="Healthy"/>
    <s v="High Risk"/>
    <s v="High"/>
    <s v="High"/>
    <x v="0"/>
    <s v="Medium"/>
  </r>
  <r>
    <n v="25459"/>
    <n v="62"/>
    <s v="Unemployed"/>
    <x v="3"/>
    <n v="2485.1999999999998"/>
    <n v="2485.1999999999998"/>
    <n v="24809.67"/>
    <n v="24809.67"/>
    <n v="24"/>
    <n v="11.75"/>
    <n v="2"/>
    <n v="2"/>
    <n v="6.1"/>
    <n v="6.1"/>
    <n v="90"/>
    <n v="90"/>
    <s v="Performing "/>
    <s v="Performing "/>
    <x v="3"/>
    <n v="0.4159569652341864"/>
    <s v="Stretched"/>
    <s v="High Risk"/>
    <s v="Medium"/>
    <s v="Low"/>
    <x v="0"/>
    <s v="Medium"/>
  </r>
  <r>
    <n v="21504"/>
    <n v="33"/>
    <s v="Unemployed"/>
    <x v="3"/>
    <n v="5481.32"/>
    <n v="5481.32"/>
    <n v="6445.16"/>
    <n v="6445.16"/>
    <n v="6"/>
    <n v="14.92"/>
    <n v="0"/>
    <n v="0"/>
    <n v="12.3"/>
    <n v="12.3"/>
    <m/>
    <s v="NULL"/>
    <s v="Performing"/>
    <s v="Performing"/>
    <x v="4"/>
    <n v="0.19597347597537335"/>
    <s v="Healthy"/>
    <s v="NULL"/>
    <s v="Small"/>
    <s v="Low"/>
    <x v="0"/>
    <s v="Medium"/>
  </r>
  <r>
    <n v="22136"/>
    <n v="44"/>
    <s v="Contract"/>
    <x v="1"/>
    <n v="3371.14"/>
    <n v="3371.14"/>
    <n v="26292.799999999999"/>
    <n v="26292.799999999999"/>
    <n v="36"/>
    <n v="12.5"/>
    <m/>
    <s v="NULL"/>
    <n v="5.7"/>
    <n v="5.7"/>
    <n v="60"/>
    <n v="60"/>
    <s v="Non-Performing"/>
    <s v="Non-Performing"/>
    <x v="3"/>
    <n v="0.21664942884470997"/>
    <s v="Healthy"/>
    <s v="High Risk"/>
    <s v="Medium"/>
    <s v="Low"/>
    <x v="0"/>
    <s v="Medium"/>
  </r>
  <r>
    <n v="22575"/>
    <n v="18"/>
    <s v="Self employed"/>
    <x v="0"/>
    <n v="6314.62"/>
    <n v="6314.62"/>
    <n v="159.87"/>
    <n v="159.87"/>
    <n v="12"/>
    <n v="21.58"/>
    <n v="0"/>
    <n v="0"/>
    <n v="11.1"/>
    <n v="11.1"/>
    <n v="90"/>
    <n v="90"/>
    <s v="Non performing"/>
    <s v="Non-Performing"/>
    <x v="2"/>
    <n v="2.1097864954660772E-3"/>
    <s v="Healthy"/>
    <s v="High Risk"/>
    <s v="Small"/>
    <s v="Medium"/>
    <x v="0"/>
    <s v="Medium"/>
  </r>
  <r>
    <n v="25266"/>
    <n v="55"/>
    <s v="Salaried"/>
    <x v="2"/>
    <n v="6053.47"/>
    <n v="6053.47"/>
    <n v="23646.12"/>
    <n v="23646.12"/>
    <n v="36"/>
    <n v="23.93"/>
    <n v="3"/>
    <n v="3"/>
    <n v="9.3000000000000007"/>
    <n v="9.3000000000000007"/>
    <n v="0"/>
    <n v="0"/>
    <s v="Non performing"/>
    <s v="Non-Performing"/>
    <x v="2"/>
    <n v="0.10850581016618016"/>
    <s v="Healthy"/>
    <s v="Good"/>
    <s v="Medium"/>
    <s v="High"/>
    <x v="1"/>
    <s v="Medium"/>
  </r>
  <r>
    <n v="24232"/>
    <n v="61"/>
    <s v="Unemployed"/>
    <x v="3"/>
    <n v="5209.45"/>
    <n v="5209.45"/>
    <m/>
    <s v="NULL"/>
    <n v="24"/>
    <n v="27.77"/>
    <n v="3"/>
    <n v="3"/>
    <n v="6.1"/>
    <n v="6.1"/>
    <n v="30"/>
    <n v="30"/>
    <s v="Non performing"/>
    <s v="Non-Performing"/>
    <x v="1"/>
    <s v="NULL"/>
    <s v="NULL"/>
    <s v="At Risk"/>
    <s v="High"/>
    <s v="Low"/>
    <x v="0"/>
    <s v="Medium"/>
  </r>
  <r>
    <n v="21267"/>
    <n v="61"/>
    <s v="Contract"/>
    <x v="1"/>
    <n v="2532.64"/>
    <n v="2532.64"/>
    <n v="11326.1"/>
    <n v="11326.1"/>
    <n v="6"/>
    <n v="28.73"/>
    <m/>
    <s v="NULL"/>
    <n v="12.6"/>
    <n v="12.6"/>
    <n v="0"/>
    <n v="0"/>
    <s v="Non-Performing"/>
    <s v="Non-Performing"/>
    <x v="4"/>
    <n v="0.74534214627161122"/>
    <s v="High Stress"/>
    <s v="Good"/>
    <s v="Medium"/>
    <s v="Low"/>
    <x v="0"/>
    <s v="Medium"/>
  </r>
  <r>
    <n v="22084"/>
    <n v="43"/>
    <s v="Self-Employed"/>
    <x v="0"/>
    <n v="6942.94"/>
    <n v="6942.94"/>
    <n v="17252.27"/>
    <n v="17252.27"/>
    <n v="12"/>
    <n v="30.09"/>
    <n v="0"/>
    <n v="0"/>
    <n v="10.4"/>
    <n v="10.4"/>
    <n v="15"/>
    <n v="15"/>
    <s v="Non-Performing"/>
    <s v="Non-Performing"/>
    <x v="0"/>
    <n v="0.20707210009976562"/>
    <s v="Healthy"/>
    <s v="Good"/>
    <s v="Medium"/>
    <s v="Medium"/>
    <x v="1"/>
    <s v="Medium"/>
  </r>
  <r>
    <n v="21393"/>
    <n v="27"/>
    <s v="Self employed"/>
    <x v="0"/>
    <n v="5784.08"/>
    <n v="5784.08"/>
    <n v="11608.67"/>
    <n v="11608.67"/>
    <n v="36"/>
    <n v="22.82"/>
    <n v="2"/>
    <n v="2"/>
    <n v="12.2"/>
    <n v="12.2"/>
    <n v="120"/>
    <n v="120"/>
    <s v="Non performing"/>
    <s v="Non-Performing"/>
    <x v="2"/>
    <n v="5.5750102964612448E-2"/>
    <s v="Healthy"/>
    <s v="High Risk"/>
    <s v="Medium"/>
    <s v="Medium"/>
    <x v="0"/>
    <s v="Medium"/>
  </r>
  <r>
    <n v="21886"/>
    <n v="49"/>
    <s v="Salaried "/>
    <x v="2"/>
    <n v="3349.3"/>
    <n v="3349.3"/>
    <n v="22362.02"/>
    <n v="22362.02"/>
    <n v="60"/>
    <n v="10.52"/>
    <n v="0"/>
    <n v="0"/>
    <n v="1.9"/>
    <n v="1.9"/>
    <n v="120"/>
    <n v="120"/>
    <s v="Performing "/>
    <s v="Performing "/>
    <x v="3"/>
    <n v="0.11127708277351486"/>
    <s v="Healthy"/>
    <s v="High Risk"/>
    <s v="Medium"/>
    <s v="High"/>
    <x v="0"/>
    <s v="Medium"/>
  </r>
  <r>
    <n v="25279"/>
    <n v="42"/>
    <s v="Unemployed"/>
    <x v="3"/>
    <n v="8076.48"/>
    <n v="8076.48"/>
    <n v="28254.36"/>
    <n v="28254.36"/>
    <n v="24"/>
    <n v="16.739999999999998"/>
    <n v="4"/>
    <n v="4"/>
    <n v="10.4"/>
    <n v="10.4"/>
    <n v="0"/>
    <n v="0"/>
    <s v="Non-Performing"/>
    <s v="Non-Performing"/>
    <x v="4"/>
    <n v="0.14576461527794288"/>
    <s v="Healthy"/>
    <s v="Good"/>
    <s v="Medium"/>
    <s v="Low"/>
    <x v="0"/>
    <s v="High"/>
  </r>
  <r>
    <n v="21098"/>
    <n v="23"/>
    <s v="Unemployed"/>
    <x v="3"/>
    <n v="5316.81"/>
    <n v="5316.81"/>
    <n v="23290.52"/>
    <n v="23290.52"/>
    <n v="36"/>
    <n v="23.06"/>
    <n v="2"/>
    <n v="2"/>
    <n v="11.9"/>
    <n v="11.9"/>
    <n v="0"/>
    <n v="0"/>
    <s v="Performing"/>
    <s v="Performing"/>
    <x v="0"/>
    <n v="0.12168177702210327"/>
    <s v="Healthy"/>
    <s v="Good"/>
    <s v="Medium"/>
    <s v="Low"/>
    <x v="0"/>
    <s v="Medium"/>
  </r>
  <r>
    <n v="24794"/>
    <n v="39"/>
    <s v="Unemployed"/>
    <x v="3"/>
    <n v="4416.5200000000004"/>
    <n v="4416.5200000000004"/>
    <n v="20893.72"/>
    <n v="20893.72"/>
    <n v="18"/>
    <n v="18.010000000000002"/>
    <n v="1"/>
    <n v="1"/>
    <n v="3.4"/>
    <n v="3.4"/>
    <n v="0"/>
    <n v="0"/>
    <s v="Performing"/>
    <s v="Performing"/>
    <x v="1"/>
    <n v="0.26282281575136579"/>
    <s v="Healthy"/>
    <s v="Good"/>
    <s v="Medium"/>
    <s v="Low"/>
    <x v="0"/>
    <s v="Medium"/>
  </r>
  <r>
    <n v="21582"/>
    <n v="25"/>
    <s v="Contract"/>
    <x v="1"/>
    <n v="7193.72"/>
    <n v="7193.72"/>
    <n v="24811.89"/>
    <n v="24811.89"/>
    <n v="60"/>
    <n v="14.8"/>
    <n v="3"/>
    <n v="3"/>
    <n v="8.9"/>
    <n v="8.9"/>
    <n v="90"/>
    <n v="90"/>
    <s v="Non-Performing"/>
    <s v="Non-Performing"/>
    <x v="4"/>
    <n v="5.7485070311327102E-2"/>
    <s v="Healthy"/>
    <s v="High Risk"/>
    <s v="Medium"/>
    <s v="Low"/>
    <x v="0"/>
    <s v="Medium"/>
  </r>
  <r>
    <n v="21977"/>
    <n v="44"/>
    <s v="Salaried"/>
    <x v="2"/>
    <n v="6113.75"/>
    <n v="6113.75"/>
    <n v="40505.93"/>
    <n v="40505.93"/>
    <n v="36"/>
    <n v="17.59"/>
    <m/>
    <s v="NULL"/>
    <n v="12.6"/>
    <n v="12.6"/>
    <n v="30"/>
    <n v="30"/>
    <s v="Performing"/>
    <s v="Performing"/>
    <x v="1"/>
    <n v="0.18403839251232423"/>
    <s v="Healthy"/>
    <s v="At Risk"/>
    <s v="High"/>
    <s v="High"/>
    <x v="0"/>
    <s v="Medium"/>
  </r>
  <r>
    <n v="20881"/>
    <n v="29"/>
    <s v="Contract"/>
    <x v="1"/>
    <n v="-1115.73"/>
    <n v="1115.73"/>
    <n v="22344.48"/>
    <n v="22344.48"/>
    <n v="36"/>
    <n v="21.25"/>
    <n v="0"/>
    <n v="0"/>
    <n v="11.5"/>
    <n v="11.5"/>
    <n v="15"/>
    <n v="15"/>
    <s v="Non performing"/>
    <s v="Non-Performing"/>
    <x v="3"/>
    <n v="0.55629946313176126"/>
    <s v="High Stress"/>
    <s v="Good"/>
    <s v="Medium"/>
    <s v="Low"/>
    <x v="0"/>
    <s v="Low"/>
  </r>
  <r>
    <n v="20138"/>
    <n v="34"/>
    <s v="Self-Employed"/>
    <x v="0"/>
    <n v="3005.69"/>
    <n v="3005.69"/>
    <n v="31416.33"/>
    <n v="31416.33"/>
    <n v="60"/>
    <n v="20.149999999999999"/>
    <n v="0"/>
    <n v="0"/>
    <n v="3.7"/>
    <n v="3.7"/>
    <m/>
    <s v="NULL"/>
    <s v="Written Off"/>
    <s v="Written Off"/>
    <x v="4"/>
    <n v="0.1742047583084084"/>
    <s v="Healthy"/>
    <s v="NULL"/>
    <s v="High"/>
    <s v="Medium"/>
    <x v="0"/>
    <s v="Medium"/>
  </r>
  <r>
    <n v="20642"/>
    <n v="50"/>
    <s v="Contract"/>
    <x v="1"/>
    <n v="1606.79"/>
    <n v="1606.79"/>
    <n v="18344.59"/>
    <n v="18344.59"/>
    <n v="36"/>
    <n v="20.170000000000002"/>
    <n v="1"/>
    <n v="1"/>
    <n v="5.9"/>
    <n v="5.9"/>
    <n v="90"/>
    <n v="90"/>
    <s v="Performing "/>
    <s v="Performing "/>
    <x v="0"/>
    <n v="0.31713661676040084"/>
    <s v="Stretched"/>
    <s v="High Risk"/>
    <s v="Medium"/>
    <s v="Low"/>
    <x v="0"/>
    <s v="Low"/>
  </r>
  <r>
    <n v="22965"/>
    <n v="47"/>
    <s v="Unemployed"/>
    <x v="3"/>
    <n v="2212.19"/>
    <n v="2212.19"/>
    <n v="35610.01"/>
    <n v="35610.01"/>
    <n v="6"/>
    <n v="13.98"/>
    <n v="0"/>
    <n v="0"/>
    <n v="4.7"/>
    <n v="4.7"/>
    <n v="0"/>
    <n v="0"/>
    <s v="Written Off"/>
    <s v="Written Off"/>
    <x v="4"/>
    <n v="2.682862532904799"/>
    <s v="High Stress"/>
    <s v="Good"/>
    <s v="High"/>
    <s v="Low"/>
    <x v="0"/>
    <s v="Medium"/>
  </r>
  <r>
    <n v="22065"/>
    <n v="35"/>
    <s v="Contract"/>
    <x v="1"/>
    <n v="7395.64"/>
    <n v="7395.64"/>
    <n v="599.57000000000005"/>
    <n v="599.57000000000005"/>
    <n v="12"/>
    <n v="8.4499999999999993"/>
    <m/>
    <s v="NULL"/>
    <n v="0.9"/>
    <n v="0.9"/>
    <n v="0"/>
    <n v="0"/>
    <s v="Performing"/>
    <s v="Performing"/>
    <x v="2"/>
    <n v="6.7558949146614309E-3"/>
    <s v="Healthy"/>
    <s v="Good"/>
    <s v="Small"/>
    <s v="Low"/>
    <x v="0"/>
    <s v="Medium"/>
  </r>
  <r>
    <n v="24752"/>
    <n v="18"/>
    <s v="Contract"/>
    <x v="1"/>
    <n v="4735.18"/>
    <n v="4735.18"/>
    <n v="22434"/>
    <n v="22434"/>
    <n v="24"/>
    <n v="18.329999999999998"/>
    <n v="4"/>
    <n v="4"/>
    <n v="6.9"/>
    <n v="6.9"/>
    <n v="15"/>
    <n v="15"/>
    <s v="Written Off"/>
    <s v="Written Off"/>
    <x v="3"/>
    <n v="0.19740537846502137"/>
    <s v="Healthy"/>
    <s v="Good"/>
    <s v="Medium"/>
    <s v="Low"/>
    <x v="0"/>
    <s v="Medium"/>
  </r>
  <r>
    <n v="24591"/>
    <n v="58"/>
    <s v="Self employed"/>
    <x v="0"/>
    <n v="3991.38"/>
    <n v="3991.38"/>
    <n v="26620.799999999999"/>
    <n v="26620.799999999999"/>
    <n v="18"/>
    <n v="13.37"/>
    <m/>
    <s v="NULL"/>
    <n v="8.1999999999999993"/>
    <n v="8.1999999999999993"/>
    <n v="60"/>
    <n v="60"/>
    <s v="Performing"/>
    <s v="Performing"/>
    <x v="3"/>
    <n v="0.37053182942574581"/>
    <s v="Stretched"/>
    <s v="High Risk"/>
    <s v="Medium"/>
    <s v="Medium"/>
    <x v="0"/>
    <s v="Medium"/>
  </r>
  <r>
    <n v="23291"/>
    <n v="59"/>
    <s v="Unemployed"/>
    <x v="3"/>
    <n v="3315.92"/>
    <n v="3315.92"/>
    <n v="8685.73"/>
    <n v="8685.73"/>
    <n v="6"/>
    <n v="12.78"/>
    <n v="2"/>
    <n v="2"/>
    <n v="7.7"/>
    <n v="7.7"/>
    <n v="0"/>
    <n v="0"/>
    <s v="Performing "/>
    <s v="Performing "/>
    <x v="1"/>
    <n v="0.43656712666972258"/>
    <s v="Stretched"/>
    <s v="Good"/>
    <s v="Small"/>
    <s v="Low"/>
    <x v="0"/>
    <s v="Medium"/>
  </r>
  <r>
    <n v="25156"/>
    <n v="48"/>
    <s v="Self-Employed"/>
    <x v="0"/>
    <n v="3111.21"/>
    <n v="3111.21"/>
    <n v="19030.88"/>
    <n v="19030.88"/>
    <n v="12"/>
    <n v="16.309999999999999"/>
    <m/>
    <s v="NULL"/>
    <n v="4.2"/>
    <n v="4.2"/>
    <n v="30"/>
    <n v="30"/>
    <s v="Written Off"/>
    <s v="Written Off"/>
    <x v="1"/>
    <n v="0.50973951185123045"/>
    <s v="High Stress"/>
    <s v="At Risk"/>
    <s v="Medium"/>
    <s v="Medium"/>
    <x v="0"/>
    <s v="Medium"/>
  </r>
  <r>
    <n v="23011"/>
    <n v="39"/>
    <s v="Self employed"/>
    <x v="0"/>
    <n v="4151.8500000000004"/>
    <n v="4151.8500000000004"/>
    <n v="42630.879999999997"/>
    <n v="42630.879999999997"/>
    <n v="48"/>
    <n v="55"/>
    <n v="4"/>
    <n v="4"/>
    <n v="-1.1000000000000001"/>
    <n v="1.1000000000000001"/>
    <n v="15"/>
    <n v="15"/>
    <s v="Non performing"/>
    <s v="Non-Performing"/>
    <x v="0"/>
    <n v="0.2139150820317047"/>
    <s v="Healthy"/>
    <s v="Good"/>
    <s v="High"/>
    <s v="Medium"/>
    <x v="1"/>
    <s v="Medium"/>
  </r>
  <r>
    <n v="21044"/>
    <n v="29"/>
    <s v="Unemployed"/>
    <x v="3"/>
    <n v="5704.94"/>
    <n v="5704.94"/>
    <n v="29328.53"/>
    <n v="29328.53"/>
    <n v="6"/>
    <n v="16.73"/>
    <m/>
    <s v="NULL"/>
    <n v="3.5"/>
    <n v="3.5"/>
    <n v="60"/>
    <n v="60"/>
    <s v="Non performing"/>
    <s v="Non-Performing"/>
    <x v="1"/>
    <n v="0.85681678218058965"/>
    <s v="High Stress"/>
    <s v="High Risk"/>
    <s v="Medium"/>
    <s v="Low"/>
    <x v="2"/>
    <s v="Medium"/>
  </r>
  <r>
    <n v="25190"/>
    <n v="75"/>
    <s v="Self employed"/>
    <x v="0"/>
    <n v="7153.75"/>
    <n v="7153.75"/>
    <n v="17089.32"/>
    <n v="17089.32"/>
    <n v="60"/>
    <n v="14.13"/>
    <m/>
    <s v="NULL"/>
    <n v="10.199999999999999"/>
    <n v="10.199999999999999"/>
    <n v="120"/>
    <n v="120"/>
    <s v="Written Off"/>
    <s v="Written Off"/>
    <x v="4"/>
    <n v="3.9814363096278178E-2"/>
    <s v="Healthy"/>
    <s v="High Risk"/>
    <s v="Medium"/>
    <s v="Medium"/>
    <x v="0"/>
    <s v="Medium"/>
  </r>
  <r>
    <n v="23918"/>
    <n v="33"/>
    <s v="Salaried "/>
    <x v="2"/>
    <n v="2449.61"/>
    <n v="2449.61"/>
    <n v="16140.81"/>
    <n v="16140.81"/>
    <n v="12"/>
    <n v="20.51"/>
    <n v="2"/>
    <n v="2"/>
    <n v="11.5"/>
    <n v="11.5"/>
    <m/>
    <s v="NULL"/>
    <s v="Performing"/>
    <s v="Performing"/>
    <x v="0"/>
    <n v="0.54909454974465322"/>
    <s v="High Stress"/>
    <s v="NULL"/>
    <s v="Medium"/>
    <s v="High"/>
    <x v="0"/>
    <s v="Medium"/>
  </r>
  <r>
    <n v="25601"/>
    <n v="39"/>
    <s v="Self employed"/>
    <x v="0"/>
    <n v="3387.32"/>
    <n v="3387.32"/>
    <n v="12938.19"/>
    <n v="12938.19"/>
    <n v="6"/>
    <n v="21.55"/>
    <n v="3"/>
    <n v="3"/>
    <n v="6.6"/>
    <n v="6.6"/>
    <n v="0"/>
    <n v="0"/>
    <s v="Written Off"/>
    <s v="Written Off"/>
    <x v="0"/>
    <n v="0.63659914032332343"/>
    <s v="High Stress"/>
    <s v="Good"/>
    <s v="Medium"/>
    <s v="Medium"/>
    <x v="0"/>
    <s v="Medium"/>
  </r>
  <r>
    <n v="25865"/>
    <n v="75"/>
    <s v="Salaried"/>
    <x v="2"/>
    <n v="9027.33"/>
    <n v="9027.33"/>
    <n v="15789.23"/>
    <n v="15789.23"/>
    <n v="18"/>
    <n v="25.57"/>
    <n v="0"/>
    <n v="0"/>
    <n v="6.8"/>
    <n v="6.8"/>
    <n v="0"/>
    <n v="0"/>
    <s v="Performing "/>
    <s v="Performing "/>
    <x v="0"/>
    <n v="9.7169311905562814E-2"/>
    <s v="Healthy"/>
    <s v="Good"/>
    <s v="Medium"/>
    <s v="High"/>
    <x v="1"/>
    <s v="High"/>
  </r>
  <r>
    <n v="23879"/>
    <n v="24"/>
    <s v="Contract"/>
    <x v="1"/>
    <n v="6866.32"/>
    <n v="6866.32"/>
    <n v="26453.45"/>
    <n v="26453.45"/>
    <n v="48"/>
    <n v="21.79"/>
    <n v="1"/>
    <n v="1"/>
    <n v="3.8"/>
    <n v="3.8"/>
    <n v="0"/>
    <n v="0"/>
    <s v="Written Off"/>
    <s v="Written Off"/>
    <x v="2"/>
    <n v="8.0263305768834933E-2"/>
    <s v="Healthy"/>
    <s v="Good"/>
    <s v="Medium"/>
    <s v="Low"/>
    <x v="0"/>
    <s v="Medium"/>
  </r>
  <r>
    <n v="25152"/>
    <n v="40"/>
    <s v="Unemployed"/>
    <x v="3"/>
    <n v="563.97"/>
    <n v="563.97"/>
    <n v="13822.39"/>
    <n v="13822.39"/>
    <n v="36"/>
    <n v="14.27"/>
    <n v="0"/>
    <n v="0"/>
    <n v="8"/>
    <n v="8"/>
    <n v="0"/>
    <n v="0"/>
    <s v="Written Off"/>
    <s v="Written Off"/>
    <x v="0"/>
    <n v="0.68080798230008288"/>
    <s v="High Stress"/>
    <s v="Good"/>
    <s v="Medium"/>
    <s v="Low"/>
    <x v="0"/>
    <s v="Low"/>
  </r>
  <r>
    <n v="21751"/>
    <n v="36"/>
    <s v="Self-Employed"/>
    <x v="0"/>
    <n v="6530.97"/>
    <n v="6530.97"/>
    <n v="12991.03"/>
    <n v="12991.03"/>
    <n v="48"/>
    <n v="16.09"/>
    <m/>
    <s v="NULL"/>
    <n v="4.2"/>
    <n v="4.2"/>
    <n v="120"/>
    <n v="120"/>
    <s v="Non-Performing"/>
    <s v="Non-Performing"/>
    <x v="0"/>
    <n v="4.1440468771611776E-2"/>
    <s v="Healthy"/>
    <s v="High Risk"/>
    <s v="Medium"/>
    <s v="Medium"/>
    <x v="0"/>
    <s v="Medium"/>
  </r>
  <r>
    <n v="25057"/>
    <n v="38"/>
    <s v="Contract"/>
    <x v="1"/>
    <n v="3201.36"/>
    <n v="3201.36"/>
    <n v="26169.64"/>
    <n v="26169.64"/>
    <n v="12"/>
    <n v="18.170000000000002"/>
    <m/>
    <s v="NULL"/>
    <n v="9.6999999999999993"/>
    <n v="9.6999999999999993"/>
    <n v="60"/>
    <n v="60"/>
    <s v="Written Off"/>
    <s v="Written Off"/>
    <x v="1"/>
    <n v="0.6812115267677904"/>
    <s v="High Stress"/>
    <s v="High Risk"/>
    <s v="Medium"/>
    <s v="Low"/>
    <x v="2"/>
    <s v="Medium"/>
  </r>
  <r>
    <n v="21046"/>
    <n v="21"/>
    <s v="Salaried"/>
    <x v="2"/>
    <n v="4087.26"/>
    <n v="4087.26"/>
    <n v="12689.95"/>
    <n v="12689.95"/>
    <n v="18"/>
    <n v="16.75"/>
    <n v="1"/>
    <n v="1"/>
    <n v="16.8"/>
    <n v="16.8"/>
    <n v="90"/>
    <n v="90"/>
    <s v="Written Off"/>
    <s v="Written Off"/>
    <x v="1"/>
    <n v="0.17248651228995029"/>
    <s v="Healthy"/>
    <s v="High Risk"/>
    <s v="Medium"/>
    <s v="High"/>
    <x v="0"/>
    <s v="Medium"/>
  </r>
  <r>
    <n v="25888"/>
    <n v="52"/>
    <s v="Unemployed"/>
    <x v="3"/>
    <n v="6045.27"/>
    <n v="6045.27"/>
    <n v="17099.41"/>
    <n v="17099.41"/>
    <n v="12"/>
    <n v="15.1"/>
    <n v="3"/>
    <n v="3"/>
    <n v="3.8"/>
    <n v="3.8"/>
    <n v="60"/>
    <n v="60"/>
    <s v="Non performing"/>
    <s v="Non-Performing"/>
    <x v="1"/>
    <n v="0.23571334834231278"/>
    <s v="Healthy"/>
    <s v="High Risk"/>
    <s v="Medium"/>
    <s v="Low"/>
    <x v="0"/>
    <s v="Medium"/>
  </r>
  <r>
    <n v="22050"/>
    <n v="28"/>
    <s v="Self-Employed"/>
    <x v="0"/>
    <n v="3510.04"/>
    <n v="3510.04"/>
    <n v="10843.32"/>
    <n v="10843.32"/>
    <n v="24"/>
    <n v="2.87"/>
    <m/>
    <s v="NULL"/>
    <n v="15.6"/>
    <n v="15.6"/>
    <n v="90"/>
    <n v="90"/>
    <s v="Performing "/>
    <s v="Performing "/>
    <x v="1"/>
    <n v="0.12871790634864561"/>
    <s v="Healthy"/>
    <s v="High Risk"/>
    <s v="Medium"/>
    <s v="Medium"/>
    <x v="0"/>
    <s v="Medium"/>
  </r>
  <r>
    <n v="23727"/>
    <n v="44"/>
    <s v="Salaried "/>
    <x v="2"/>
    <n v="2267.71"/>
    <n v="2267.71"/>
    <n v="14884.34"/>
    <n v="14884.34"/>
    <n v="36"/>
    <n v="19"/>
    <n v="3"/>
    <n v="3"/>
    <n v="7.9"/>
    <n v="7.9"/>
    <n v="90"/>
    <n v="90"/>
    <s v="Performing"/>
    <s v="Performing"/>
    <x v="3"/>
    <n v="0.18232220561222065"/>
    <s v="Healthy"/>
    <s v="High Risk"/>
    <s v="Medium"/>
    <s v="High"/>
    <x v="0"/>
    <s v="Medium"/>
  </r>
  <r>
    <n v="21619"/>
    <n v="120"/>
    <s v="Unemployed"/>
    <x v="3"/>
    <n v="-1500"/>
    <n v="1500"/>
    <n v="18685.2"/>
    <n v="18685.2"/>
    <n v="48"/>
    <n v="15.9"/>
    <n v="4"/>
    <n v="4"/>
    <n v="5.3"/>
    <n v="5.3"/>
    <n v="90"/>
    <n v="90"/>
    <s v="Performing "/>
    <s v="Performing "/>
    <x v="0"/>
    <n v="0.25951666666666667"/>
    <s v="Healthy"/>
    <s v="High Risk"/>
    <s v="Medium"/>
    <s v="Low"/>
    <x v="3"/>
    <s v="Low"/>
  </r>
  <r>
    <n v="24260"/>
    <n v="47"/>
    <s v="Salaried "/>
    <x v="2"/>
    <n v="5479.11"/>
    <n v="5479.11"/>
    <n v="16910.46"/>
    <n v="16910.46"/>
    <n v="36"/>
    <n v="17.78"/>
    <m/>
    <s v="NULL"/>
    <n v="9.6999999999999993"/>
    <n v="9.6999999999999993"/>
    <n v="0"/>
    <n v="0"/>
    <s v="Non performing"/>
    <s v="Non-Performing"/>
    <x v="1"/>
    <n v="8.5731989319433266E-2"/>
    <s v="Healthy"/>
    <s v="Good"/>
    <s v="Medium"/>
    <s v="High"/>
    <x v="1"/>
    <s v="Medium"/>
  </r>
  <r>
    <n v="24235"/>
    <n v="62"/>
    <s v="Salaried"/>
    <x v="2"/>
    <n v="6888.52"/>
    <n v="6888.52"/>
    <n v="13876.45"/>
    <n v="13876.45"/>
    <n v="12"/>
    <n v="18.579999999999998"/>
    <m/>
    <s v="NULL"/>
    <n v="9.3000000000000007"/>
    <n v="9.3000000000000007"/>
    <m/>
    <s v="NULL"/>
    <s v="Performing"/>
    <s v="Performing"/>
    <x v="1"/>
    <n v="0.16786927138679039"/>
    <s v="Healthy"/>
    <s v="NULL"/>
    <s v="Medium"/>
    <s v="High"/>
    <x v="0"/>
    <s v="Medium"/>
  </r>
  <r>
    <n v="21763"/>
    <n v="50"/>
    <s v="Salaried "/>
    <x v="2"/>
    <n v="5010.8500000000004"/>
    <n v="5010.8500000000004"/>
    <n v="19828.849999999999"/>
    <n v="19828.849999999999"/>
    <n v="60"/>
    <n v="17.260000000000002"/>
    <n v="2"/>
    <n v="2"/>
    <n v="7.1"/>
    <n v="7.1"/>
    <n v="15"/>
    <n v="15"/>
    <s v="Performing "/>
    <s v="Performing "/>
    <x v="2"/>
    <n v="6.5953048551310317E-2"/>
    <s v="Healthy"/>
    <s v="Good"/>
    <s v="Medium"/>
    <s v="High"/>
    <x v="1"/>
    <s v="Medium"/>
  </r>
  <r>
    <n v="24731"/>
    <n v="64"/>
    <s v="Contract"/>
    <x v="1"/>
    <n v="5328.75"/>
    <n v="5328.75"/>
    <m/>
    <s v="NULL"/>
    <n v="24"/>
    <n v="17.36"/>
    <n v="2"/>
    <n v="2"/>
    <n v="2.1"/>
    <n v="2.1"/>
    <n v="15"/>
    <n v="15"/>
    <s v="Non-Performing"/>
    <s v="Non-Performing"/>
    <x v="3"/>
    <s v="NULL"/>
    <s v="NULL"/>
    <s v="Good"/>
    <s v="High"/>
    <s v="Low"/>
    <x v="0"/>
    <s v="Medium"/>
  </r>
  <r>
    <n v="23762"/>
    <n v="59"/>
    <s v="Unemployed"/>
    <x v="3"/>
    <n v="5661.55"/>
    <n v="5661.55"/>
    <n v="14283.32"/>
    <n v="14283.32"/>
    <n v="60"/>
    <n v="23.54"/>
    <n v="2"/>
    <n v="2"/>
    <n v="8.3000000000000007"/>
    <n v="8.3000000000000007"/>
    <n v="0"/>
    <n v="0"/>
    <s v="Written Off"/>
    <s v="Written Off"/>
    <x v="4"/>
    <n v="4.2047731333880886E-2"/>
    <s v="Healthy"/>
    <s v="Good"/>
    <s v="Medium"/>
    <s v="Low"/>
    <x v="0"/>
    <s v="Medium"/>
  </r>
  <r>
    <n v="23079"/>
    <n v="56"/>
    <s v="Salaried "/>
    <x v="2"/>
    <n v="5503.12"/>
    <n v="5503.12"/>
    <n v="10171.33"/>
    <n v="10171.33"/>
    <n v="48"/>
    <n v="21.74"/>
    <m/>
    <s v="NULL"/>
    <n v="12.7"/>
    <n v="12.7"/>
    <n v="15"/>
    <n v="15"/>
    <s v="Written Off"/>
    <s v="Written Off"/>
    <x v="3"/>
    <n v="3.8505921792243915E-2"/>
    <s v="Healthy"/>
    <s v="Good"/>
    <s v="Medium"/>
    <s v="High"/>
    <x v="1"/>
    <s v="Medium"/>
  </r>
  <r>
    <n v="25387"/>
    <n v="29"/>
    <s v="Self-Employed"/>
    <x v="0"/>
    <n v="5814.8"/>
    <n v="5814.8"/>
    <n v="16019.53"/>
    <n v="16019.53"/>
    <n v="60"/>
    <n v="17.5"/>
    <n v="3"/>
    <n v="3"/>
    <n v="12.1"/>
    <n v="12.1"/>
    <n v="0"/>
    <n v="0"/>
    <s v="Written Off"/>
    <s v="Written Off"/>
    <x v="4"/>
    <n v="4.5915967301827523E-2"/>
    <s v="Healthy"/>
    <s v="Good"/>
    <s v="Medium"/>
    <s v="Medium"/>
    <x v="1"/>
    <s v="Medium"/>
  </r>
  <r>
    <n v="23247"/>
    <n v="31"/>
    <s v="Unemployed"/>
    <x v="3"/>
    <n v="4874.25"/>
    <n v="4874.25"/>
    <n v="34986.019999999997"/>
    <n v="34986.019999999997"/>
    <n v="12"/>
    <n v="20.74"/>
    <n v="4"/>
    <n v="4"/>
    <n v="5.8"/>
    <n v="5.8"/>
    <n v="0"/>
    <n v="0"/>
    <s v="Performing "/>
    <s v="Performing "/>
    <x v="3"/>
    <n v="0.59814364603101322"/>
    <s v="High Stress"/>
    <s v="Good"/>
    <s v="High"/>
    <s v="Low"/>
    <x v="0"/>
    <s v="Medium"/>
  </r>
  <r>
    <n v="24922"/>
    <n v="40"/>
    <s v="Salaried"/>
    <x v="2"/>
    <n v="6937.76"/>
    <n v="6937.76"/>
    <n v="25228.84"/>
    <n v="25228.84"/>
    <n v="6"/>
    <n v="16.82"/>
    <m/>
    <s v="NULL"/>
    <n v="5.9"/>
    <n v="5.9"/>
    <n v="0"/>
    <n v="0"/>
    <s v="Performing "/>
    <s v="Performing "/>
    <x v="0"/>
    <n v="0.60607554407570552"/>
    <s v="High Stress"/>
    <s v="Good"/>
    <s v="Medium"/>
    <s v="High"/>
    <x v="0"/>
    <s v="Medium"/>
  </r>
  <r>
    <n v="23995"/>
    <n v="23"/>
    <s v="Contract"/>
    <x v="1"/>
    <n v="2544.39"/>
    <n v="2544.39"/>
    <n v="5904.76"/>
    <n v="5904.76"/>
    <n v="12"/>
    <n v="22.21"/>
    <n v="3"/>
    <n v="3"/>
    <n v="14.6"/>
    <n v="14.6"/>
    <n v="0"/>
    <n v="0"/>
    <s v="Written Off"/>
    <s v="Written Off"/>
    <x v="1"/>
    <n v="0.19339147431538928"/>
    <s v="Healthy"/>
    <s v="Good"/>
    <s v="Small"/>
    <s v="Low"/>
    <x v="0"/>
    <s v="Medium"/>
  </r>
  <r>
    <n v="20879"/>
    <n v="75"/>
    <s v="Contract"/>
    <x v="1"/>
    <n v="-1500"/>
    <n v="1500"/>
    <n v="11028.38"/>
    <n v="11028.38"/>
    <n v="12"/>
    <n v="12.57"/>
    <n v="1"/>
    <n v="1"/>
    <n v="-1.9"/>
    <n v="1.9"/>
    <m/>
    <s v="NULL"/>
    <s v="Performing "/>
    <s v="Performing "/>
    <x v="0"/>
    <n v="0.61268777777777772"/>
    <s v="High Stress"/>
    <s v="NULL"/>
    <s v="Medium"/>
    <s v="Low"/>
    <x v="0"/>
    <s v="Low"/>
  </r>
  <r>
    <n v="24616"/>
    <n v="39"/>
    <s v="Salaried"/>
    <x v="2"/>
    <n v="7776.26"/>
    <n v="7776.26"/>
    <n v="15776.7"/>
    <n v="15776.7"/>
    <n v="48"/>
    <n v="24.69"/>
    <n v="1"/>
    <n v="1"/>
    <n v="3.5"/>
    <n v="3.5"/>
    <m/>
    <s v="NULL"/>
    <s v="Non-Performing"/>
    <s v="Non-Performing"/>
    <x v="1"/>
    <n v="4.2267266012196096E-2"/>
    <s v="Healthy"/>
    <s v="NULL"/>
    <s v="Medium"/>
    <s v="High"/>
    <x v="0"/>
    <s v="Medium"/>
  </r>
  <r>
    <n v="20320"/>
    <n v="43"/>
    <s v="Unemployed"/>
    <x v="3"/>
    <n v="2410.8200000000002"/>
    <n v="2410.8200000000002"/>
    <n v="22784.080000000002"/>
    <n v="22784.080000000002"/>
    <n v="48"/>
    <n v="21.74"/>
    <n v="4"/>
    <n v="4"/>
    <n v="7.9"/>
    <n v="7.9"/>
    <n v="0"/>
    <n v="0"/>
    <s v="Non-Performing"/>
    <s v="Non-Performing"/>
    <x v="0"/>
    <n v="0.19689082276293265"/>
    <s v="Healthy"/>
    <s v="Good"/>
    <s v="Medium"/>
    <s v="Low"/>
    <x v="0"/>
    <s v="Medium"/>
  </r>
  <r>
    <n v="20927"/>
    <n v="18"/>
    <s v="Salaried"/>
    <x v="2"/>
    <n v="4504.07"/>
    <n v="4504.07"/>
    <n v="16259.91"/>
    <n v="16259.91"/>
    <n v="36"/>
    <n v="21.57"/>
    <m/>
    <s v="NULL"/>
    <n v="5.2"/>
    <n v="5.2"/>
    <n v="0"/>
    <n v="0"/>
    <s v="Performing "/>
    <s v="Performing "/>
    <x v="0"/>
    <n v="0.10027911792371492"/>
    <s v="Healthy"/>
    <s v="Good"/>
    <s v="Medium"/>
    <s v="High"/>
    <x v="1"/>
    <s v="Medium"/>
  </r>
  <r>
    <n v="20107"/>
    <n v="53"/>
    <s v="Salaried"/>
    <x v="2"/>
    <n v="4748.9799999999996"/>
    <n v="4748.9799999999996"/>
    <n v="18622.02"/>
    <n v="18622.02"/>
    <n v="36"/>
    <n v="20.85"/>
    <n v="1"/>
    <n v="1"/>
    <n v="7.8"/>
    <n v="7.8"/>
    <n v="15"/>
    <n v="15"/>
    <s v="Non performing"/>
    <s v="Non-Performing"/>
    <x v="0"/>
    <n v="0.10892409176988184"/>
    <s v="Healthy"/>
    <s v="Good"/>
    <s v="Medium"/>
    <s v="High"/>
    <x v="1"/>
    <s v="Medium"/>
  </r>
  <r>
    <n v="21881"/>
    <n v="52"/>
    <s v="Contract"/>
    <x v="1"/>
    <n v="4262.67"/>
    <n v="4262.67"/>
    <n v="34894.14"/>
    <n v="34894.14"/>
    <n v="18"/>
    <n v="22.39"/>
    <n v="4"/>
    <n v="4"/>
    <n v="7.4"/>
    <n v="7.4"/>
    <n v="120"/>
    <n v="120"/>
    <s v="Non performing"/>
    <s v="Non-Performing"/>
    <x v="3"/>
    <n v="0.45477677918612824"/>
    <s v="High Stress"/>
    <s v="High Risk"/>
    <s v="High"/>
    <s v="Low"/>
    <x v="2"/>
    <s v="Medium"/>
  </r>
  <r>
    <n v="23117"/>
    <n v="57"/>
    <s v="Self employed"/>
    <x v="0"/>
    <n v="3302.93"/>
    <n v="3302.93"/>
    <n v="21994.55"/>
    <n v="21994.55"/>
    <n v="60"/>
    <n v="27.61"/>
    <n v="1"/>
    <n v="1"/>
    <n v="3.3"/>
    <n v="3.3"/>
    <n v="15"/>
    <n v="15"/>
    <s v="Performing"/>
    <s v="Performing"/>
    <x v="2"/>
    <n v="0.11098504459172109"/>
    <s v="Healthy"/>
    <s v="Good"/>
    <s v="Medium"/>
    <s v="Medium"/>
    <x v="1"/>
    <s v="Medium"/>
  </r>
  <r>
    <n v="22761"/>
    <n v="44"/>
    <s v="Self-Employed"/>
    <x v="0"/>
    <n v="5349.29"/>
    <n v="5349.29"/>
    <n v="18182.36"/>
    <n v="18182.36"/>
    <n v="36"/>
    <n v="18.8"/>
    <n v="4"/>
    <n v="4"/>
    <n v="3.7"/>
    <n v="3.7"/>
    <m/>
    <s v="NULL"/>
    <s v="Performing "/>
    <s v="Performing "/>
    <x v="3"/>
    <n v="9.4417306886625252E-2"/>
    <s v="Healthy"/>
    <s v="NULL"/>
    <s v="Medium"/>
    <s v="Medium"/>
    <x v="0"/>
    <s v="Medium"/>
  </r>
  <r>
    <n v="23001"/>
    <n v="41"/>
    <s v="Unemployed"/>
    <x v="3"/>
    <n v="6592.82"/>
    <n v="6592.82"/>
    <n v="34950.870000000003"/>
    <n v="34950.870000000003"/>
    <n v="24"/>
    <n v="55"/>
    <n v="1"/>
    <n v="1"/>
    <n v="0.9"/>
    <n v="0.9"/>
    <n v="30"/>
    <n v="30"/>
    <s v="Non performing"/>
    <s v="Non-Performing"/>
    <x v="2"/>
    <n v="0.22088973307325244"/>
    <s v="Healthy"/>
    <s v="At Risk"/>
    <s v="High"/>
    <s v="Low"/>
    <x v="0"/>
    <s v="Medium"/>
  </r>
  <r>
    <n v="25338"/>
    <n v="46"/>
    <s v="Salaried"/>
    <x v="2"/>
    <n v="6301.4"/>
    <n v="6301.4"/>
    <n v="14593.8"/>
    <n v="14593.8"/>
    <n v="18"/>
    <n v="13.68"/>
    <n v="0"/>
    <n v="0"/>
    <n v="2.9"/>
    <n v="2.9"/>
    <n v="0"/>
    <n v="0"/>
    <s v="Written Off"/>
    <s v="Written Off"/>
    <x v="1"/>
    <n v="0.12866452957543825"/>
    <s v="Healthy"/>
    <s v="Good"/>
    <s v="Medium"/>
    <s v="High"/>
    <x v="1"/>
    <s v="Medium"/>
  </r>
  <r>
    <n v="20544"/>
    <n v="24"/>
    <s v="Contract"/>
    <x v="1"/>
    <n v="5215.37"/>
    <n v="5215.37"/>
    <n v="24074.25"/>
    <n v="24074.25"/>
    <n v="18"/>
    <n v="23.05"/>
    <m/>
    <s v="NULL"/>
    <n v="4.4000000000000004"/>
    <n v="4.4000000000000004"/>
    <n v="30"/>
    <n v="30"/>
    <s v="Non performing"/>
    <s v="Non-Performing"/>
    <x v="0"/>
    <n v="0.25644553182867819"/>
    <s v="Healthy"/>
    <s v="At Risk"/>
    <s v="Medium"/>
    <s v="Low"/>
    <x v="0"/>
    <s v="Medium"/>
  </r>
  <r>
    <n v="25930"/>
    <n v="33"/>
    <s v="Self employed"/>
    <x v="0"/>
    <n v="7488.53"/>
    <n v="7488.53"/>
    <n v="15482.47"/>
    <n v="15482.47"/>
    <n v="6"/>
    <n v="6.59"/>
    <n v="3"/>
    <n v="3"/>
    <n v="7.6"/>
    <n v="7.6"/>
    <n v="90"/>
    <n v="90"/>
    <s v="Performing "/>
    <s v="Performing "/>
    <x v="3"/>
    <n v="0.34458186942786723"/>
    <s v="Stretched"/>
    <s v="High Risk"/>
    <s v="Medium"/>
    <s v="Medium"/>
    <x v="0"/>
    <s v="Medium"/>
  </r>
  <r>
    <n v="20875"/>
    <n v="24"/>
    <s v="Contract"/>
    <x v="1"/>
    <n v="7401.08"/>
    <n v="7401.08"/>
    <n v="27232.93"/>
    <n v="27232.93"/>
    <n v="12"/>
    <n v="23.91"/>
    <n v="1"/>
    <n v="1"/>
    <n v="7.2"/>
    <n v="7.2"/>
    <n v="15"/>
    <n v="15"/>
    <s v="Written Off"/>
    <s v="Written Off"/>
    <x v="1"/>
    <n v="0.30663238788573205"/>
    <s v="Stretched"/>
    <s v="Good"/>
    <s v="Medium"/>
    <s v="Low"/>
    <x v="0"/>
    <s v="Medium"/>
  </r>
  <r>
    <n v="20089"/>
    <n v="28"/>
    <s v="Contract"/>
    <x v="1"/>
    <n v="3347.78"/>
    <n v="3347.78"/>
    <n v="27713.61"/>
    <n v="27713.61"/>
    <n v="48"/>
    <n v="22.94"/>
    <n v="4"/>
    <n v="4"/>
    <n v="5.7"/>
    <n v="5.7"/>
    <n v="0"/>
    <n v="0"/>
    <s v="Written Off"/>
    <s v="Written Off"/>
    <x v="3"/>
    <n v="0.17246260955020939"/>
    <s v="Healthy"/>
    <s v="Good"/>
    <s v="Medium"/>
    <s v="Low"/>
    <x v="0"/>
    <s v="Medium"/>
  </r>
  <r>
    <n v="23663"/>
    <n v="64"/>
    <s v="Self employed"/>
    <x v="0"/>
    <n v="5573.8"/>
    <n v="5573.8"/>
    <n v="7881.41"/>
    <n v="7881.41"/>
    <n v="18"/>
    <n v="24.6"/>
    <m/>
    <s v="NULL"/>
    <n v="6.9"/>
    <n v="6.9"/>
    <n v="0"/>
    <n v="0"/>
    <s v="Performing"/>
    <s v="Performing"/>
    <x v="3"/>
    <n v="7.8556121696349179E-2"/>
    <s v="Healthy"/>
    <s v="Good"/>
    <s v="Small"/>
    <s v="Medium"/>
    <x v="1"/>
    <s v="Medium"/>
  </r>
  <r>
    <n v="22618"/>
    <n v="48"/>
    <s v="Unemployed"/>
    <x v="3"/>
    <n v="3048.51"/>
    <n v="3048.51"/>
    <n v="14729.08"/>
    <n v="14729.08"/>
    <n v="48"/>
    <n v="23.5"/>
    <m/>
    <s v="NULL"/>
    <n v="2"/>
    <n v="2"/>
    <n v="120"/>
    <n v="120"/>
    <s v="Non performing"/>
    <s v="Non-Performing"/>
    <x v="4"/>
    <n v="0.10065764367948057"/>
    <s v="Healthy"/>
    <s v="High Risk"/>
    <s v="Medium"/>
    <s v="Low"/>
    <x v="0"/>
    <s v="Medium"/>
  </r>
  <r>
    <n v="20336"/>
    <n v="37"/>
    <s v="Salaried"/>
    <x v="2"/>
    <n v="4342.5600000000004"/>
    <n v="4342.5600000000004"/>
    <n v="15274.68"/>
    <n v="15274.68"/>
    <n v="48"/>
    <n v="16.940000000000001"/>
    <n v="2"/>
    <n v="2"/>
    <n v="7.6"/>
    <n v="7.6"/>
    <n v="0"/>
    <n v="0"/>
    <s v="Performing "/>
    <s v="Performing "/>
    <x v="2"/>
    <n v="7.3279931653218375E-2"/>
    <s v="Healthy"/>
    <s v="Good"/>
    <s v="Medium"/>
    <s v="High"/>
    <x v="1"/>
    <s v="Medium"/>
  </r>
  <r>
    <n v="25643"/>
    <n v="32"/>
    <s v="Salaried"/>
    <x v="2"/>
    <n v="4605.1400000000003"/>
    <n v="4605.1400000000003"/>
    <n v="16014.37"/>
    <n v="16014.37"/>
    <n v="18"/>
    <n v="23.57"/>
    <m/>
    <s v="NULL"/>
    <n v="12.9"/>
    <n v="12.9"/>
    <n v="0"/>
    <n v="0"/>
    <s v="Performing"/>
    <s v="Performing"/>
    <x v="3"/>
    <n v="0.19319439196685056"/>
    <s v="Healthy"/>
    <s v="Good"/>
    <s v="Medium"/>
    <s v="High"/>
    <x v="1"/>
    <s v="Medium"/>
  </r>
  <r>
    <n v="23147"/>
    <n v="52"/>
    <s v="Self employed"/>
    <x v="0"/>
    <n v="3479.94"/>
    <n v="3479.94"/>
    <n v="10928.17"/>
    <n v="10928.17"/>
    <n v="60"/>
    <n v="22.51"/>
    <n v="1"/>
    <n v="1"/>
    <n v="3.2"/>
    <n v="3.2"/>
    <n v="15"/>
    <n v="15"/>
    <s v="Written Off"/>
    <s v="Written Off"/>
    <x v="0"/>
    <n v="5.2338881321708615E-2"/>
    <s v="Healthy"/>
    <s v="Good"/>
    <s v="Medium"/>
    <s v="Medium"/>
    <x v="1"/>
    <s v="Medium"/>
  </r>
  <r>
    <n v="23712"/>
    <n v="37"/>
    <s v="Salaried"/>
    <x v="2"/>
    <n v="3849.65"/>
    <n v="3849.65"/>
    <n v="21854.97"/>
    <n v="21854.97"/>
    <n v="36"/>
    <n v="26.29"/>
    <n v="0"/>
    <n v="0"/>
    <n v="9.5"/>
    <n v="9.5"/>
    <n v="60"/>
    <n v="60"/>
    <s v="Written Off"/>
    <s v="Written Off"/>
    <x v="1"/>
    <n v="0.15769810242489579"/>
    <s v="Healthy"/>
    <s v="High Risk"/>
    <s v="Medium"/>
    <s v="High"/>
    <x v="0"/>
    <s v="Medium"/>
  </r>
  <r>
    <n v="22283"/>
    <n v="59"/>
    <s v="Self-Employed"/>
    <x v="0"/>
    <n v="4776.37"/>
    <n v="4776.37"/>
    <n v="26809.94"/>
    <n v="26809.94"/>
    <n v="36"/>
    <n v="18.45"/>
    <n v="0"/>
    <n v="0"/>
    <n v="6.4"/>
    <n v="6.4"/>
    <n v="60"/>
    <n v="60"/>
    <s v="Non-Performing"/>
    <s v="Non-Performing"/>
    <x v="3"/>
    <n v="0.15591768551338264"/>
    <s v="Healthy"/>
    <s v="High Risk"/>
    <s v="Medium"/>
    <s v="Medium"/>
    <x v="0"/>
    <s v="Medium"/>
  </r>
  <r>
    <n v="20476"/>
    <n v="25"/>
    <s v="Salaried"/>
    <x v="2"/>
    <n v="5312.9"/>
    <n v="5312.9"/>
    <n v="37045.32"/>
    <n v="37045.32"/>
    <n v="6"/>
    <n v="26.19"/>
    <n v="1"/>
    <n v="1"/>
    <n v="2.9"/>
    <n v="2.9"/>
    <n v="60"/>
    <n v="60"/>
    <s v="Performing"/>
    <s v="Performing"/>
    <x v="4"/>
    <n v="1.1621186169511943"/>
    <s v="High Stress"/>
    <s v="High Risk"/>
    <s v="High"/>
    <s v="High"/>
    <x v="0"/>
    <s v="Medium"/>
  </r>
  <r>
    <n v="25933"/>
    <n v="24"/>
    <s v="Self employed"/>
    <x v="0"/>
    <n v="2733.55"/>
    <n v="2733.55"/>
    <n v="16243"/>
    <n v="16243"/>
    <n v="24"/>
    <n v="24.71"/>
    <n v="2"/>
    <n v="2"/>
    <n v="5.7"/>
    <n v="5.7"/>
    <n v="15"/>
    <n v="15"/>
    <s v="Written Off"/>
    <s v="Written Off"/>
    <x v="4"/>
    <n v="0.24758708151183134"/>
    <s v="Healthy"/>
    <s v="Good"/>
    <s v="Medium"/>
    <s v="Medium"/>
    <x v="1"/>
    <s v="Medium"/>
  </r>
  <r>
    <n v="24146"/>
    <n v="47"/>
    <s v="Unemployed"/>
    <x v="3"/>
    <n v="4478.93"/>
    <n v="4478.93"/>
    <n v="30674.6"/>
    <n v="30674.6"/>
    <n v="36"/>
    <n v="15.36"/>
    <n v="0"/>
    <n v="0"/>
    <n v="-1.4"/>
    <n v="1.4"/>
    <n v="15"/>
    <n v="15"/>
    <s v="Written Off"/>
    <s v="Written Off"/>
    <x v="1"/>
    <n v="0.19024012927690812"/>
    <s v="Healthy"/>
    <s v="Good"/>
    <s v="High"/>
    <s v="Low"/>
    <x v="0"/>
    <s v="Medium"/>
  </r>
  <r>
    <n v="21054"/>
    <n v="35"/>
    <s v="Self employed"/>
    <x v="0"/>
    <n v="6481.63"/>
    <n v="6481.63"/>
    <n v="7098.27"/>
    <n v="7098.27"/>
    <n v="12"/>
    <n v="14.93"/>
    <m/>
    <s v="NULL"/>
    <n v="9.4"/>
    <n v="9.4"/>
    <n v="120"/>
    <n v="120"/>
    <s v="Non performing"/>
    <s v="Non-Performing"/>
    <x v="1"/>
    <n v="9.1261380239229958E-2"/>
    <s v="Healthy"/>
    <s v="High Risk"/>
    <s v="Small"/>
    <s v="Medium"/>
    <x v="0"/>
    <s v="Medium"/>
  </r>
  <r>
    <n v="21824"/>
    <n v="40"/>
    <s v="Self employed"/>
    <x v="0"/>
    <n v="5295.69"/>
    <n v="5295.69"/>
    <n v="23055.8"/>
    <n v="23055.8"/>
    <n v="12"/>
    <n v="23.29"/>
    <n v="2"/>
    <n v="2"/>
    <n v="10.4"/>
    <n v="10.4"/>
    <m/>
    <s v="NULL"/>
    <s v="Written Off"/>
    <s v="Written Off"/>
    <x v="1"/>
    <n v="0.36280761650826743"/>
    <s v="Stretched"/>
    <s v="NULL"/>
    <s v="Medium"/>
    <s v="Medium"/>
    <x v="0"/>
    <s v="Medium"/>
  </r>
  <r>
    <n v="23081"/>
    <n v="45"/>
    <s v="Salaried "/>
    <x v="2"/>
    <n v="4684.04"/>
    <n v="4684.04"/>
    <n v="-2813.98"/>
    <n v="2813.98"/>
    <n v="6"/>
    <n v="23.48"/>
    <n v="2"/>
    <n v="2"/>
    <n v="1"/>
    <n v="1"/>
    <n v="90"/>
    <n v="90"/>
    <s v="Performing"/>
    <s v="Performing"/>
    <x v="1"/>
    <n v="0.10012652895079177"/>
    <s v="Healthy"/>
    <s v="High Risk"/>
    <s v="Small"/>
    <s v="High"/>
    <x v="0"/>
    <s v="Medium"/>
  </r>
  <r>
    <n v="21279"/>
    <n v="24"/>
    <s v="Salaried"/>
    <x v="2"/>
    <n v="3388.77"/>
    <n v="3388.77"/>
    <n v="20616.5"/>
    <n v="20616.5"/>
    <n v="12"/>
    <n v="25.56"/>
    <n v="2"/>
    <n v="2"/>
    <n v="4.5"/>
    <n v="4.5"/>
    <n v="15"/>
    <n v="15"/>
    <s v="Non-Performing"/>
    <s v="Non-Performing"/>
    <x v="0"/>
    <n v="0.50698090064143242"/>
    <s v="High Stress"/>
    <s v="Good"/>
    <s v="Medium"/>
    <s v="High"/>
    <x v="0"/>
    <s v="Medium"/>
  </r>
  <r>
    <n v="25100"/>
    <n v="33"/>
    <s v="Unemployed"/>
    <x v="3"/>
    <n v="3434.21"/>
    <n v="3434.21"/>
    <n v="28167.040000000001"/>
    <n v="28167.040000000001"/>
    <n v="36"/>
    <n v="19.82"/>
    <n v="1"/>
    <n v="1"/>
    <n v="3.1"/>
    <n v="3.1"/>
    <m/>
    <s v="NULL"/>
    <s v="Non-Performing"/>
    <s v="Non-Performing"/>
    <x v="1"/>
    <n v="0.2278304989437972"/>
    <s v="Healthy"/>
    <s v="NULL"/>
    <s v="Medium"/>
    <s v="Low"/>
    <x v="0"/>
    <s v="Medium"/>
  </r>
  <r>
    <n v="25745"/>
    <n v="38"/>
    <s v="Salaried"/>
    <x v="2"/>
    <n v="8208.9"/>
    <n v="8208.9"/>
    <n v="26457.360000000001"/>
    <n v="26457.360000000001"/>
    <n v="60"/>
    <n v="22.92"/>
    <n v="2"/>
    <n v="2"/>
    <n v="5.2"/>
    <n v="5.2"/>
    <m/>
    <s v="NULL"/>
    <s v="Written Off"/>
    <s v="Written Off"/>
    <x v="0"/>
    <n v="5.3716819549513337E-2"/>
    <s v="Healthy"/>
    <s v="NULL"/>
    <s v="Medium"/>
    <s v="High"/>
    <x v="0"/>
    <s v="High"/>
  </r>
  <r>
    <n v="23834"/>
    <n v="27"/>
    <s v="Unemployed"/>
    <x v="3"/>
    <n v="462.5"/>
    <n v="462.5"/>
    <n v="12910.16"/>
    <n v="12910.16"/>
    <n v="6"/>
    <n v="31.94"/>
    <n v="2"/>
    <n v="2"/>
    <n v="8.8000000000000007"/>
    <n v="8.8000000000000007"/>
    <n v="15"/>
    <n v="15"/>
    <s v="Written Off"/>
    <s v="Written Off"/>
    <x v="3"/>
    <n v="4.6523099099099099"/>
    <s v="High Stress"/>
    <s v="Good"/>
    <s v="Medium"/>
    <s v="Low"/>
    <x v="0"/>
    <s v="Low"/>
  </r>
  <r>
    <n v="21481"/>
    <n v="30"/>
    <s v="Contract"/>
    <x v="1"/>
    <n v="2662.11"/>
    <n v="2662.11"/>
    <n v="18741.11"/>
    <n v="18741.11"/>
    <n v="6"/>
    <n v="19.010000000000002"/>
    <n v="2"/>
    <n v="2"/>
    <n v="10.8"/>
    <n v="10.8"/>
    <n v="60"/>
    <n v="60"/>
    <s v="Non performing"/>
    <s v="Non-Performing"/>
    <x v="4"/>
    <n v="1.1733242928854681"/>
    <s v="High Stress"/>
    <s v="High Risk"/>
    <s v="Medium"/>
    <s v="Low"/>
    <x v="2"/>
    <s v="Medium"/>
  </r>
  <r>
    <n v="21624"/>
    <n v="75"/>
    <s v="Contract"/>
    <x v="1"/>
    <n v="4030.09"/>
    <n v="4030.09"/>
    <n v="20192.22"/>
    <n v="20192.22"/>
    <n v="60"/>
    <n v="21.97"/>
    <m/>
    <s v="NULL"/>
    <n v="10.199999999999999"/>
    <n v="10.199999999999999"/>
    <n v="60"/>
    <n v="60"/>
    <s v="Performing "/>
    <s v="Performing "/>
    <x v="3"/>
    <n v="8.3506075546699948E-2"/>
    <s v="Healthy"/>
    <s v="High Risk"/>
    <s v="Medium"/>
    <s v="Low"/>
    <x v="0"/>
    <s v="Medium"/>
  </r>
  <r>
    <n v="23328"/>
    <n v="48"/>
    <s v="Self-Employed"/>
    <x v="0"/>
    <n v="7265.05"/>
    <n v="7265.05"/>
    <n v="27396.49"/>
    <n v="27396.49"/>
    <n v="18"/>
    <n v="16.7"/>
    <n v="3"/>
    <n v="3"/>
    <n v="4.3"/>
    <n v="4.3"/>
    <n v="120"/>
    <n v="120"/>
    <s v="Written Off"/>
    <s v="Written Off"/>
    <x v="2"/>
    <n v="0.20949989638367558"/>
    <s v="Healthy"/>
    <s v="High Risk"/>
    <s v="Medium"/>
    <s v="Medium"/>
    <x v="0"/>
    <s v="Medium"/>
  </r>
  <r>
    <n v="21317"/>
    <n v="34"/>
    <s v="Self employed"/>
    <x v="0"/>
    <n v="2102.14"/>
    <n v="2102.14"/>
    <n v="4705.26"/>
    <n v="4705.26"/>
    <n v="24"/>
    <n v="26.03"/>
    <n v="4"/>
    <n v="4"/>
    <n v="14.3"/>
    <n v="14.3"/>
    <n v="15"/>
    <n v="15"/>
    <s v="Non performing"/>
    <s v="Non-Performing"/>
    <x v="3"/>
    <n v="9.3263293596049748E-2"/>
    <s v="Healthy"/>
    <s v="Good"/>
    <s v="Small"/>
    <s v="Medium"/>
    <x v="1"/>
    <s v="Medium"/>
  </r>
  <r>
    <n v="24533"/>
    <n v="59"/>
    <s v="Self-Employed"/>
    <x v="0"/>
    <n v="2849.29"/>
    <n v="2849.29"/>
    <n v="18929.29"/>
    <n v="18929.29"/>
    <n v="12"/>
    <n v="21.51"/>
    <n v="0"/>
    <n v="0"/>
    <n v="5.4"/>
    <n v="5.4"/>
    <n v="60"/>
    <n v="60"/>
    <s v="Non-Performing"/>
    <s v="Non-Performing"/>
    <x v="3"/>
    <n v="0.55362593254225911"/>
    <s v="High Stress"/>
    <s v="High Risk"/>
    <s v="Medium"/>
    <s v="Medium"/>
    <x v="0"/>
    <s v="Medium"/>
  </r>
  <r>
    <n v="25521"/>
    <n v="36"/>
    <s v="Self-Employed"/>
    <x v="0"/>
    <n v="7605.21"/>
    <n v="7605.21"/>
    <n v="22584.44"/>
    <n v="22584.44"/>
    <n v="6"/>
    <n v="17.760000000000002"/>
    <n v="3"/>
    <n v="3"/>
    <n v="6.2"/>
    <n v="6.2"/>
    <n v="0"/>
    <n v="0"/>
    <s v="Performing"/>
    <s v="Performing"/>
    <x v="2"/>
    <n v="0.49493351706702809"/>
    <s v="High Stress"/>
    <s v="Good"/>
    <s v="Medium"/>
    <s v="Medium"/>
    <x v="0"/>
    <s v="Medium"/>
  </r>
  <r>
    <n v="23974"/>
    <n v="36"/>
    <s v="Contract"/>
    <x v="1"/>
    <n v="4416.8900000000003"/>
    <n v="4416.8900000000003"/>
    <n v="25405.88"/>
    <n v="25405.88"/>
    <n v="48"/>
    <n v="18.88"/>
    <m/>
    <s v="NULL"/>
    <n v="5.7"/>
    <n v="5.7"/>
    <n v="60"/>
    <n v="60"/>
    <s v="Performing "/>
    <s v="Performing "/>
    <x v="0"/>
    <n v="0.11983299712391901"/>
    <s v="Healthy"/>
    <s v="High Risk"/>
    <s v="Medium"/>
    <s v="Low"/>
    <x v="0"/>
    <s v="Medium"/>
  </r>
  <r>
    <n v="21835"/>
    <n v="55"/>
    <s v="Salaried "/>
    <x v="2"/>
    <n v="998.16"/>
    <n v="998.16"/>
    <n v="25818.27"/>
    <n v="25818.27"/>
    <n v="60"/>
    <n v="17.63"/>
    <n v="3"/>
    <n v="3"/>
    <n v="2.7"/>
    <n v="2.7"/>
    <n v="0"/>
    <n v="0"/>
    <s v="Performing "/>
    <s v="Performing "/>
    <x v="3"/>
    <n v="0.43109771980444017"/>
    <s v="Stretched"/>
    <s v="Good"/>
    <s v="Medium"/>
    <s v="High"/>
    <x v="0"/>
    <s v="Low"/>
  </r>
  <r>
    <n v="21997"/>
    <n v="34"/>
    <s v="Salaried "/>
    <x v="2"/>
    <n v="6332.4"/>
    <n v="6332.4"/>
    <n v="24349.3"/>
    <n v="24349.3"/>
    <n v="60"/>
    <n v="17.63"/>
    <n v="4"/>
    <n v="4"/>
    <n v="4.5999999999999996"/>
    <n v="4.5999999999999996"/>
    <n v="90"/>
    <n v="90"/>
    <s v="Performing "/>
    <s v="Performing "/>
    <x v="2"/>
    <n v="6.4086549596782685E-2"/>
    <s v="Healthy"/>
    <s v="High Risk"/>
    <s v="Medium"/>
    <s v="High"/>
    <x v="0"/>
    <s v="Medium"/>
  </r>
  <r>
    <n v="21005"/>
    <n v="25"/>
    <s v="Unemployed"/>
    <x v="3"/>
    <n v="4575.4399999999996"/>
    <n v="4575.4399999999996"/>
    <n v="15044.09"/>
    <n v="15044.09"/>
    <n v="18"/>
    <n v="17.02"/>
    <n v="2"/>
    <n v="2"/>
    <n v="-1.4"/>
    <n v="1.4"/>
    <n v="120"/>
    <n v="120"/>
    <s v="Performing"/>
    <s v="Performing"/>
    <x v="2"/>
    <n v="0.18266719217775293"/>
    <s v="Healthy"/>
    <s v="High Risk"/>
    <s v="Medium"/>
    <s v="Low"/>
    <x v="0"/>
    <s v="Medium"/>
  </r>
  <r>
    <n v="20852"/>
    <n v="64"/>
    <s v="Self employed"/>
    <x v="0"/>
    <n v="7105.61"/>
    <n v="7105.61"/>
    <n v="18728.169999999998"/>
    <n v="18728.169999999998"/>
    <n v="6"/>
    <n v="21.94"/>
    <n v="3"/>
    <n v="3"/>
    <n v="6.1"/>
    <n v="6.1"/>
    <n v="0"/>
    <n v="0"/>
    <s v="Non performing"/>
    <s v="Non-Performing"/>
    <x v="4"/>
    <n v="0.43928130965063755"/>
    <s v="Stretched"/>
    <s v="Good"/>
    <s v="Medium"/>
    <s v="Medium"/>
    <x v="0"/>
    <s v="Medium"/>
  </r>
  <r>
    <n v="23012"/>
    <n v="18"/>
    <s v="Contract"/>
    <x v="1"/>
    <n v="4543.84"/>
    <n v="4543.84"/>
    <n v="33415.14"/>
    <n v="33415.14"/>
    <n v="24"/>
    <n v="14.99"/>
    <n v="1"/>
    <n v="1"/>
    <n v="11.2"/>
    <n v="11.2"/>
    <n v="60"/>
    <n v="60"/>
    <s v="Performing"/>
    <s v="Performing"/>
    <x v="0"/>
    <n v="0.30641428835522377"/>
    <s v="Stretched"/>
    <s v="High Risk"/>
    <s v="High"/>
    <s v="Low"/>
    <x v="0"/>
    <s v="Medium"/>
  </r>
  <r>
    <n v="21357"/>
    <n v="51"/>
    <s v="Self-Employed"/>
    <x v="0"/>
    <n v="3705.66"/>
    <n v="3705.66"/>
    <n v="16735.91"/>
    <n v="16735.91"/>
    <n v="60"/>
    <n v="24.66"/>
    <n v="2"/>
    <n v="2"/>
    <n v="10.8"/>
    <n v="10.8"/>
    <m/>
    <s v="NULL"/>
    <s v="Performing "/>
    <s v="Performing "/>
    <x v="0"/>
    <n v="7.5271836416005072E-2"/>
    <s v="Healthy"/>
    <s v="NULL"/>
    <s v="Medium"/>
    <s v="Medium"/>
    <x v="0"/>
    <s v="Medium"/>
  </r>
  <r>
    <n v="20231"/>
    <n v="38"/>
    <s v="Salaried"/>
    <x v="2"/>
    <n v="3295.51"/>
    <n v="3295.51"/>
    <n v="9529.26"/>
    <n v="9529.26"/>
    <n v="24"/>
    <n v="20"/>
    <n v="0"/>
    <n v="0"/>
    <n v="7"/>
    <n v="7"/>
    <n v="60"/>
    <n v="60"/>
    <s v="Non-Performing"/>
    <s v="Non-Performing"/>
    <x v="3"/>
    <n v="0.12048286911585764"/>
    <s v="Healthy"/>
    <s v="High Risk"/>
    <s v="Small"/>
    <s v="High"/>
    <x v="0"/>
    <s v="Medium"/>
  </r>
  <r>
    <n v="22546"/>
    <n v="26"/>
    <s v="Salaried"/>
    <x v="2"/>
    <n v="3742.53"/>
    <n v="3742.53"/>
    <n v="32410.34"/>
    <n v="32410.34"/>
    <n v="12"/>
    <n v="19.809999999999999"/>
    <n v="4"/>
    <n v="4"/>
    <n v="0.8"/>
    <n v="0.8"/>
    <n v="120"/>
    <n v="120"/>
    <s v="Written Off"/>
    <s v="Written Off"/>
    <x v="4"/>
    <n v="0.72166733911729941"/>
    <s v="High Stress"/>
    <s v="High Risk"/>
    <s v="High"/>
    <s v="High"/>
    <x v="0"/>
    <s v="Medium"/>
  </r>
  <r>
    <n v="21485"/>
    <n v="33"/>
    <s v="Unemployed"/>
    <x v="3"/>
    <n v="4577.17"/>
    <n v="4577.17"/>
    <n v="23777.35"/>
    <n v="23777.35"/>
    <n v="12"/>
    <n v="19.88"/>
    <n v="0"/>
    <n v="0"/>
    <n v="10"/>
    <n v="10"/>
    <n v="120"/>
    <n v="120"/>
    <s v="Non-Performing"/>
    <s v="Non-Performing"/>
    <x v="2"/>
    <n v="0.43289758373259746"/>
    <s v="Stretched"/>
    <s v="High Risk"/>
    <s v="Medium"/>
    <s v="Low"/>
    <x v="0"/>
    <s v="Medium"/>
  </r>
  <r>
    <n v="21462"/>
    <n v="61"/>
    <s v="Self employed"/>
    <x v="0"/>
    <n v="8059.63"/>
    <n v="8059.63"/>
    <n v="16479.12"/>
    <n v="16479.12"/>
    <n v="6"/>
    <n v="21.05"/>
    <n v="1"/>
    <n v="1"/>
    <n v="12.3"/>
    <n v="12.3"/>
    <n v="120"/>
    <n v="120"/>
    <s v="Performing "/>
    <s v="Performing "/>
    <x v="2"/>
    <n v="0.34077494872593406"/>
    <s v="Stretched"/>
    <s v="High Risk"/>
    <s v="Medium"/>
    <s v="Medium"/>
    <x v="0"/>
    <s v="High"/>
  </r>
  <r>
    <n v="24515"/>
    <n v="42"/>
    <s v="Contract"/>
    <x v="1"/>
    <n v="7968.73"/>
    <n v="7968.73"/>
    <n v="18353.5"/>
    <n v="18353.5"/>
    <n v="48"/>
    <n v="12.74"/>
    <n v="2"/>
    <n v="2"/>
    <n v="10.7"/>
    <n v="10.7"/>
    <n v="0"/>
    <n v="0"/>
    <s v="Non-Performing"/>
    <s v="Non-Performing"/>
    <x v="3"/>
    <n v="4.7983126964187939E-2"/>
    <s v="Healthy"/>
    <s v="Good"/>
    <s v="Medium"/>
    <s v="Low"/>
    <x v="0"/>
    <s v="Medium"/>
  </r>
  <r>
    <n v="22673"/>
    <n v="61"/>
    <s v="Salaried"/>
    <x v="2"/>
    <n v="3830.18"/>
    <n v="3830.18"/>
    <n v="23111.279999999999"/>
    <n v="23111.279999999999"/>
    <n v="48"/>
    <n v="20.41"/>
    <n v="1"/>
    <n v="1"/>
    <n v="6.2"/>
    <n v="6.2"/>
    <n v="90"/>
    <n v="90"/>
    <s v="Performing"/>
    <s v="Performing"/>
    <x v="1"/>
    <n v="0.12570819125994079"/>
    <s v="Healthy"/>
    <s v="High Risk"/>
    <s v="Medium"/>
    <s v="High"/>
    <x v="0"/>
    <s v="Medium"/>
  </r>
  <r>
    <n v="20710"/>
    <n v="30"/>
    <s v="Self employed"/>
    <x v="0"/>
    <n v="1552.17"/>
    <n v="1552.17"/>
    <n v="15773.87"/>
    <n v="15773.87"/>
    <n v="24"/>
    <n v="17.07"/>
    <n v="0"/>
    <n v="0"/>
    <n v="11.7"/>
    <n v="11.7"/>
    <n v="0"/>
    <n v="0"/>
    <s v="Non-Performing"/>
    <s v="Non-Performing"/>
    <x v="4"/>
    <n v="0.42343595310651111"/>
    <s v="Stretched"/>
    <s v="Good"/>
    <s v="Medium"/>
    <s v="Medium"/>
    <x v="0"/>
    <s v="Low"/>
  </r>
  <r>
    <n v="21861"/>
    <n v="51"/>
    <s v="Unemployed"/>
    <x v="3"/>
    <n v="3389.86"/>
    <n v="3389.86"/>
    <n v="6821.99"/>
    <n v="6821.99"/>
    <n v="48"/>
    <n v="31.15"/>
    <n v="3"/>
    <n v="3"/>
    <n v="12.1"/>
    <n v="12.1"/>
    <n v="0"/>
    <n v="0"/>
    <s v="Non performing"/>
    <s v="Non-Performing"/>
    <x v="1"/>
    <n v="4.1926448781562264E-2"/>
    <s v="Healthy"/>
    <s v="Good"/>
    <s v="Small"/>
    <s v="Low"/>
    <x v="0"/>
    <s v="Medium"/>
  </r>
  <r>
    <n v="25940"/>
    <n v="24"/>
    <s v="Salaried"/>
    <x v="2"/>
    <n v="4988.24"/>
    <n v="4988.24"/>
    <n v="25339.4"/>
    <n v="25339.4"/>
    <n v="18"/>
    <n v="23.37"/>
    <n v="3"/>
    <n v="3"/>
    <n v="11.8"/>
    <n v="11.8"/>
    <n v="120"/>
    <n v="120"/>
    <s v="Non performing"/>
    <s v="Non-Performing"/>
    <x v="3"/>
    <n v="0.28221265304885984"/>
    <s v="Healthy"/>
    <s v="High Risk"/>
    <s v="Medium"/>
    <s v="High"/>
    <x v="0"/>
    <s v="Medium"/>
  </r>
  <r>
    <n v="22473"/>
    <n v="57"/>
    <s v="Contract"/>
    <x v="1"/>
    <n v="5824.06"/>
    <n v="5824.06"/>
    <n v="27236.880000000001"/>
    <n v="27236.880000000001"/>
    <n v="60"/>
    <n v="20.45"/>
    <n v="2"/>
    <n v="2"/>
    <n v="2.2000000000000002"/>
    <n v="2.2000000000000002"/>
    <n v="0"/>
    <n v="0"/>
    <s v="Non performing"/>
    <s v="Non-Performing"/>
    <x v="1"/>
    <n v="7.7943565141842627E-2"/>
    <s v="Healthy"/>
    <s v="Good"/>
    <s v="Medium"/>
    <s v="Low"/>
    <x v="0"/>
    <s v="Medium"/>
  </r>
  <r>
    <n v="24805"/>
    <n v="41"/>
    <s v="Contract"/>
    <x v="1"/>
    <n v="4707.3"/>
    <n v="4707.3"/>
    <n v="25108.79"/>
    <n v="25108.79"/>
    <n v="18"/>
    <n v="19.68"/>
    <n v="3"/>
    <n v="3"/>
    <n v="8.4"/>
    <n v="8.4"/>
    <n v="30"/>
    <n v="30"/>
    <s v="Performing "/>
    <s v="Performing "/>
    <x v="1"/>
    <n v="0.29633394467694385"/>
    <s v="Healthy"/>
    <s v="At Risk"/>
    <s v="Medium"/>
    <s v="Low"/>
    <x v="0"/>
    <s v="Medium"/>
  </r>
  <r>
    <n v="21250"/>
    <n v="59"/>
    <s v="Self employed"/>
    <x v="0"/>
    <n v="5352.85"/>
    <n v="5352.85"/>
    <n v="10654.36"/>
    <n v="10654.36"/>
    <n v="24"/>
    <n v="31.15"/>
    <n v="0"/>
    <n v="0"/>
    <n v="3"/>
    <n v="3"/>
    <n v="0"/>
    <n v="0"/>
    <s v="Written Off"/>
    <s v="Written Off"/>
    <x v="0"/>
    <n v="8.2933701984301195E-2"/>
    <s v="Healthy"/>
    <s v="Good"/>
    <s v="Medium"/>
    <s v="Medium"/>
    <x v="1"/>
    <s v="Medium"/>
  </r>
  <r>
    <n v="23588"/>
    <n v="58"/>
    <s v="Self-Employed"/>
    <x v="0"/>
    <n v="10719.23"/>
    <n v="10719.23"/>
    <n v="26631.24"/>
    <n v="26631.24"/>
    <n v="6"/>
    <n v="8.7799999999999994"/>
    <m/>
    <s v="NULL"/>
    <n v="15.8"/>
    <n v="15.8"/>
    <n v="0"/>
    <n v="0"/>
    <s v="Non-Performing"/>
    <s v="Non-Performing"/>
    <x v="4"/>
    <n v="0.41407265260657722"/>
    <s v="Stretched"/>
    <s v="Good"/>
    <s v="Medium"/>
    <s v="Medium"/>
    <x v="0"/>
    <s v="High"/>
  </r>
  <r>
    <n v="20704"/>
    <n v="52"/>
    <s v="Self-Employed"/>
    <x v="0"/>
    <n v="4354.33"/>
    <n v="4354.33"/>
    <n v="7254.84"/>
    <n v="7254.84"/>
    <n v="18"/>
    <n v="20.67"/>
    <n v="4"/>
    <n v="4"/>
    <n v="11.1"/>
    <n v="11.1"/>
    <m/>
    <s v="NULL"/>
    <s v="Written Off"/>
    <s v="Written Off"/>
    <x v="0"/>
    <n v="9.2562269434486283E-2"/>
    <s v="Healthy"/>
    <s v="NULL"/>
    <s v="Small"/>
    <s v="Medium"/>
    <x v="0"/>
    <s v="Medium"/>
  </r>
  <r>
    <n v="20772"/>
    <n v="51"/>
    <s v="Contract"/>
    <x v="1"/>
    <n v="4396.3500000000004"/>
    <n v="4396.3500000000004"/>
    <n v="11491.32"/>
    <n v="11491.32"/>
    <n v="48"/>
    <n v="19.84"/>
    <n v="2"/>
    <n v="2"/>
    <n v="6.9"/>
    <n v="6.9"/>
    <n v="0"/>
    <n v="0"/>
    <s v="Performing "/>
    <s v="Performing "/>
    <x v="1"/>
    <n v="5.4454831849147581E-2"/>
    <s v="Healthy"/>
    <s v="Good"/>
    <s v="Medium"/>
    <s v="Low"/>
    <x v="0"/>
    <s v="Medium"/>
  </r>
  <r>
    <n v="23634"/>
    <n v="33"/>
    <s v="Self employed"/>
    <x v="0"/>
    <n v="5176.99"/>
    <n v="5176.99"/>
    <n v="25855.31"/>
    <n v="25855.31"/>
    <n v="18"/>
    <n v="12.04"/>
    <n v="0"/>
    <n v="0"/>
    <n v="4.8"/>
    <n v="4.8"/>
    <n v="0"/>
    <n v="0"/>
    <s v="Written Off"/>
    <s v="Written Off"/>
    <x v="3"/>
    <n v="0.27745970363302058"/>
    <s v="Healthy"/>
    <s v="Good"/>
    <s v="Medium"/>
    <s v="Medium"/>
    <x v="1"/>
    <s v="Medium"/>
  </r>
  <r>
    <n v="20647"/>
    <n v="25"/>
    <s v="Salaried"/>
    <x v="2"/>
    <n v="6313.67"/>
    <n v="6313.67"/>
    <n v="35801.43"/>
    <n v="35801.43"/>
    <n v="36"/>
    <n v="24.74"/>
    <n v="1"/>
    <n v="1"/>
    <n v="8.1999999999999993"/>
    <n v="8.1999999999999993"/>
    <n v="0"/>
    <n v="0"/>
    <s v="Performing "/>
    <s v="Performing "/>
    <x v="1"/>
    <n v="0.15751285174338645"/>
    <s v="Healthy"/>
    <s v="Good"/>
    <s v="High"/>
    <s v="High"/>
    <x v="1"/>
    <s v="Medium"/>
  </r>
  <r>
    <n v="24183"/>
    <n v="48"/>
    <s v="Unemployed"/>
    <x v="3"/>
    <n v="6246.74"/>
    <n v="6246.74"/>
    <n v="8437.42"/>
    <n v="8437.42"/>
    <n v="18"/>
    <n v="19.91"/>
    <n v="4"/>
    <n v="4"/>
    <n v="12.6"/>
    <n v="12.6"/>
    <n v="90"/>
    <n v="90"/>
    <s v="Non performing"/>
    <s v="Non-Performing"/>
    <x v="4"/>
    <n v="7.5038428933420567E-2"/>
    <s v="Healthy"/>
    <s v="High Risk"/>
    <s v="Small"/>
    <s v="Low"/>
    <x v="0"/>
    <s v="Medium"/>
  </r>
  <r>
    <n v="21502"/>
    <n v="25"/>
    <s v="Salaried"/>
    <x v="2"/>
    <n v="9232.68"/>
    <n v="9232.68"/>
    <n v="23234.95"/>
    <n v="23234.95"/>
    <n v="12"/>
    <n v="35.68"/>
    <n v="1"/>
    <n v="1"/>
    <m/>
    <s v="NULL"/>
    <n v="0"/>
    <n v="0"/>
    <s v="Non performing"/>
    <s v="Non-Performing"/>
    <x v="4"/>
    <n v="0.20971655395110989"/>
    <s v="Healthy"/>
    <s v="Good"/>
    <s v="Medium"/>
    <s v="High"/>
    <x v="1"/>
    <s v="High"/>
  </r>
  <r>
    <n v="25832"/>
    <n v="41"/>
    <s v="Contract"/>
    <x v="1"/>
    <n v="2856.52"/>
    <n v="2856.52"/>
    <n v="14426.97"/>
    <n v="14426.97"/>
    <n v="12"/>
    <n v="17.829999999999998"/>
    <n v="4"/>
    <n v="4"/>
    <n v="11.1"/>
    <n v="11.1"/>
    <n v="120"/>
    <n v="120"/>
    <s v="Performing "/>
    <s v="Performing "/>
    <x v="0"/>
    <n v="0.42087837648607396"/>
    <s v="Stretched"/>
    <s v="High Risk"/>
    <s v="Medium"/>
    <s v="Low"/>
    <x v="0"/>
    <s v="Medium"/>
  </r>
  <r>
    <n v="24686"/>
    <n v="18"/>
    <s v="Contract"/>
    <x v="1"/>
    <n v="6748.15"/>
    <n v="6748.15"/>
    <n v="15886.63"/>
    <n v="15886.63"/>
    <n v="36"/>
    <n v="27.01"/>
    <m/>
    <s v="NULL"/>
    <n v="7.2"/>
    <n v="7.2"/>
    <n v="90"/>
    <n v="90"/>
    <s v="Performing "/>
    <s v="Performing "/>
    <x v="1"/>
    <n v="6.5395001263720831E-2"/>
    <s v="Healthy"/>
    <s v="High Risk"/>
    <s v="Medium"/>
    <s v="Low"/>
    <x v="0"/>
    <s v="Medium"/>
  </r>
  <r>
    <n v="21974"/>
    <n v="25"/>
    <s v="Unemployed"/>
    <x v="3"/>
    <n v="5642.99"/>
    <n v="5642.99"/>
    <n v="18687.97"/>
    <n v="18687.97"/>
    <n v="48"/>
    <n v="15.39"/>
    <m/>
    <s v="NULL"/>
    <n v="12.6"/>
    <n v="12.6"/>
    <m/>
    <s v="NULL"/>
    <s v="Non performing"/>
    <s v="Non-Performing"/>
    <x v="2"/>
    <n v="6.899404541445818E-2"/>
    <s v="Healthy"/>
    <s v="NULL"/>
    <s v="Medium"/>
    <s v="Low"/>
    <x v="0"/>
    <s v="Medium"/>
  </r>
  <r>
    <n v="22151"/>
    <n v="59"/>
    <s v="Self employed"/>
    <x v="0"/>
    <n v="6929.49"/>
    <n v="6929.49"/>
    <n v="15482.2"/>
    <n v="15482.2"/>
    <n v="60"/>
    <n v="24.19"/>
    <m/>
    <s v="NULL"/>
    <n v="14.2"/>
    <n v="14.2"/>
    <n v="15"/>
    <n v="15"/>
    <s v="Non-Performing"/>
    <s v="Non-Performing"/>
    <x v="3"/>
    <n v="3.7237468654499353E-2"/>
    <s v="Healthy"/>
    <s v="Good"/>
    <s v="Medium"/>
    <s v="Medium"/>
    <x v="1"/>
    <s v="Medium"/>
  </r>
  <r>
    <n v="23269"/>
    <n v="32"/>
    <s v="Self employed"/>
    <x v="0"/>
    <n v="2529.34"/>
    <n v="2529.34"/>
    <n v="27942.76"/>
    <n v="27942.76"/>
    <n v="60"/>
    <n v="27.86"/>
    <n v="0"/>
    <n v="0"/>
    <n v="2.2000000000000002"/>
    <n v="2.2000000000000002"/>
    <n v="90"/>
    <n v="90"/>
    <s v="Non performing"/>
    <s v="Non-Performing"/>
    <x v="3"/>
    <n v="0.18412418522882118"/>
    <s v="Healthy"/>
    <s v="High Risk"/>
    <s v="Medium"/>
    <s v="Medium"/>
    <x v="0"/>
    <s v="Medium"/>
  </r>
  <r>
    <n v="22106"/>
    <n v="64"/>
    <s v="Self employed"/>
    <x v="0"/>
    <n v="4053.44"/>
    <n v="4053.44"/>
    <n v="20131.11"/>
    <n v="20131.11"/>
    <n v="12"/>
    <n v="21.97"/>
    <n v="3"/>
    <n v="3"/>
    <n v="3.5"/>
    <n v="3.5"/>
    <n v="0"/>
    <n v="0"/>
    <s v="Performing"/>
    <s v="Performing"/>
    <x v="3"/>
    <n v="0.4138688373332281"/>
    <s v="Stretched"/>
    <s v="Good"/>
    <s v="Medium"/>
    <s v="Medium"/>
    <x v="0"/>
    <s v="Medium"/>
  </r>
  <r>
    <n v="22257"/>
    <n v="29"/>
    <s v="Salaried "/>
    <x v="2"/>
    <n v="-801.42"/>
    <n v="801.42"/>
    <n v="22872.42"/>
    <n v="22872.42"/>
    <n v="60"/>
    <n v="15.66"/>
    <n v="1"/>
    <n v="1"/>
    <n v="3.7"/>
    <n v="3.7"/>
    <n v="60"/>
    <n v="60"/>
    <s v="Written Off"/>
    <s v="Written Off"/>
    <x v="0"/>
    <n v="0.47566444560904392"/>
    <s v="High Stress"/>
    <s v="High Risk"/>
    <s v="Medium"/>
    <s v="High"/>
    <x v="0"/>
    <s v="Low"/>
  </r>
  <r>
    <n v="25157"/>
    <n v="24"/>
    <s v="Salaried "/>
    <x v="2"/>
    <n v="8783.17"/>
    <n v="8783.17"/>
    <n v="13459.94"/>
    <n v="13459.94"/>
    <n v="6"/>
    <n v="24.84"/>
    <n v="2"/>
    <n v="2"/>
    <n v="8.4"/>
    <n v="8.4"/>
    <m/>
    <s v="NULL"/>
    <s v="Performing "/>
    <s v="Performing "/>
    <x v="2"/>
    <n v="0.25541158070871145"/>
    <s v="Healthy"/>
    <s v="NULL"/>
    <s v="Medium"/>
    <s v="High"/>
    <x v="0"/>
    <s v="High"/>
  </r>
  <r>
    <n v="23148"/>
    <n v="51"/>
    <s v="Self employed"/>
    <x v="0"/>
    <n v="7474.39"/>
    <n v="7474.39"/>
    <n v="19962.580000000002"/>
    <n v="19962.580000000002"/>
    <n v="60"/>
    <n v="20.48"/>
    <m/>
    <s v="NULL"/>
    <n v="3.1"/>
    <n v="3.1"/>
    <n v="0"/>
    <n v="0"/>
    <s v="Written Off"/>
    <s v="Written Off"/>
    <x v="2"/>
    <n v="4.45132869259788E-2"/>
    <s v="Healthy"/>
    <s v="Good"/>
    <s v="Medium"/>
    <s v="Medium"/>
    <x v="1"/>
    <s v="Medium"/>
  </r>
  <r>
    <n v="20212"/>
    <n v="59"/>
    <s v="Self-Employed"/>
    <x v="0"/>
    <n v="1688"/>
    <n v="1688"/>
    <n v="27122.09"/>
    <n v="27122.09"/>
    <n v="60"/>
    <n v="24.89"/>
    <n v="3"/>
    <n v="3"/>
    <n v="9.6"/>
    <n v="9.6"/>
    <n v="0"/>
    <n v="0"/>
    <s v="Non-Performing"/>
    <s v="Non-Performing"/>
    <x v="3"/>
    <n v="0.26779314770932072"/>
    <s v="Healthy"/>
    <s v="Good"/>
    <s v="Medium"/>
    <s v="Medium"/>
    <x v="1"/>
    <s v="Low"/>
  </r>
  <r>
    <n v="25833"/>
    <n v="28"/>
    <s v="Salaried"/>
    <x v="2"/>
    <n v="3122"/>
    <n v="3122"/>
    <n v="34142.589999999997"/>
    <n v="34142.589999999997"/>
    <n v="12"/>
    <n v="32.75"/>
    <n v="0"/>
    <n v="0"/>
    <n v="1.1000000000000001"/>
    <n v="1.1000000000000001"/>
    <n v="90"/>
    <n v="90"/>
    <s v="Non performing"/>
    <s v="Non-Performing"/>
    <x v="2"/>
    <n v="0.91134395686525727"/>
    <s v="High Stress"/>
    <s v="High Risk"/>
    <s v="High"/>
    <s v="High"/>
    <x v="0"/>
    <s v="Medium"/>
  </r>
  <r>
    <n v="21856"/>
    <n v="50"/>
    <s v="Self-Employed"/>
    <x v="0"/>
    <n v="5777.73"/>
    <n v="5777.73"/>
    <n v="9395"/>
    <n v="9395"/>
    <n v="18"/>
    <n v="13.66"/>
    <n v="3"/>
    <n v="3"/>
    <n v="10"/>
    <n v="10"/>
    <n v="60"/>
    <n v="60"/>
    <s v="Performing "/>
    <s v="Performing "/>
    <x v="0"/>
    <n v="9.0337285481399188E-2"/>
    <s v="Healthy"/>
    <s v="High Risk"/>
    <s v="Small"/>
    <s v="Medium"/>
    <x v="0"/>
    <s v="Medium"/>
  </r>
  <r>
    <n v="24963"/>
    <n v="38"/>
    <s v="Salaried "/>
    <x v="2"/>
    <n v="-1500"/>
    <n v="1500"/>
    <n v="11786.92"/>
    <n v="11786.92"/>
    <n v="60"/>
    <n v="23.97"/>
    <n v="1"/>
    <n v="1"/>
    <m/>
    <s v="NULL"/>
    <n v="15"/>
    <n v="15"/>
    <s v="Non performing"/>
    <s v="Non-Performing"/>
    <x v="1"/>
    <n v="0.13096577777777779"/>
    <s v="Healthy"/>
    <s v="Good"/>
    <s v="Medium"/>
    <s v="High"/>
    <x v="1"/>
    <s v="Low"/>
  </r>
  <r>
    <n v="21533"/>
    <n v="57"/>
    <s v="Salaried"/>
    <x v="2"/>
    <n v="6330.95"/>
    <n v="6330.95"/>
    <n v="14039.72"/>
    <n v="14039.72"/>
    <n v="12"/>
    <n v="22.92"/>
    <m/>
    <s v="NULL"/>
    <n v="8"/>
    <n v="8"/>
    <n v="120"/>
    <n v="120"/>
    <s v="Performing"/>
    <s v="Performing"/>
    <x v="0"/>
    <n v="0.18480270206946298"/>
    <s v="Healthy"/>
    <s v="High Risk"/>
    <s v="Medium"/>
    <s v="High"/>
    <x v="0"/>
    <s v="Medium"/>
  </r>
  <r>
    <n v="25456"/>
    <n v="63"/>
    <s v="Self employed"/>
    <x v="0"/>
    <n v="4291.6899999999996"/>
    <n v="4291.6899999999996"/>
    <n v="9132.1299999999992"/>
    <n v="9132.1299999999992"/>
    <n v="12"/>
    <n v="21.16"/>
    <n v="1"/>
    <n v="1"/>
    <n v="9"/>
    <n v="9"/>
    <n v="0"/>
    <n v="0"/>
    <s v="Non performing"/>
    <s v="Non-Performing"/>
    <x v="2"/>
    <n v="0.17732194854086228"/>
    <s v="Healthy"/>
    <s v="Good"/>
    <s v="Small"/>
    <s v="Medium"/>
    <x v="1"/>
    <s v="Medium"/>
  </r>
  <r>
    <n v="25737"/>
    <n v="39"/>
    <s v="Contract"/>
    <x v="1"/>
    <n v="8007.56"/>
    <n v="8007.56"/>
    <n v="26029.25"/>
    <n v="26029.25"/>
    <n v="12"/>
    <n v="23.03"/>
    <n v="4"/>
    <n v="4"/>
    <n v="8.3000000000000007"/>
    <n v="8.3000000000000007"/>
    <n v="60"/>
    <n v="60"/>
    <s v="Performing"/>
    <s v="Performing"/>
    <x v="2"/>
    <n v="0.27088203730807719"/>
    <s v="Healthy"/>
    <s v="High Risk"/>
    <s v="Medium"/>
    <s v="Low"/>
    <x v="0"/>
    <s v="High"/>
  </r>
  <r>
    <n v="23995"/>
    <n v="30"/>
    <s v="Self-Employed"/>
    <x v="0"/>
    <n v="4960.6499999999996"/>
    <n v="4960.6499999999996"/>
    <n v="15771.32"/>
    <n v="15771.32"/>
    <n v="36"/>
    <n v="10.039999999999999"/>
    <n v="1"/>
    <n v="1"/>
    <n v="-0.6"/>
    <n v="0.6"/>
    <m/>
    <s v="NULL"/>
    <s v="Non performing"/>
    <s v="Non-Performing"/>
    <x v="3"/>
    <n v="8.8313471464872992E-2"/>
    <s v="Healthy"/>
    <s v="NULL"/>
    <s v="Medium"/>
    <s v="Medium"/>
    <x v="0"/>
    <s v="Medium"/>
  </r>
  <r>
    <n v="24606"/>
    <n v="39"/>
    <s v="Salaried "/>
    <x v="2"/>
    <n v="5946.79"/>
    <n v="5946.79"/>
    <n v="32497.58"/>
    <n v="32497.58"/>
    <n v="24"/>
    <n v="14.62"/>
    <n v="3"/>
    <n v="3"/>
    <n v="4.5"/>
    <n v="4.5"/>
    <m/>
    <s v="NULL"/>
    <s v="Non performing"/>
    <s v="Non-Performing"/>
    <x v="3"/>
    <n v="0.2276969311735127"/>
    <s v="Healthy"/>
    <s v="NULL"/>
    <s v="High"/>
    <s v="High"/>
    <x v="0"/>
    <s v="Medium"/>
  </r>
  <r>
    <n v="24762"/>
    <n v="21"/>
    <s v="Salaried"/>
    <x v="2"/>
    <n v="5271.53"/>
    <n v="5271.53"/>
    <n v="8436.74"/>
    <n v="8436.74"/>
    <n v="48"/>
    <n v="18.54"/>
    <n v="2"/>
    <n v="2"/>
    <n v="3.9"/>
    <n v="3.9"/>
    <n v="60"/>
    <n v="60"/>
    <s v="Non performing"/>
    <s v="Non-Performing"/>
    <x v="4"/>
    <n v="3.3342391424627513E-2"/>
    <s v="Healthy"/>
    <s v="High Risk"/>
    <s v="Small"/>
    <s v="High"/>
    <x v="0"/>
    <s v="Medium"/>
  </r>
  <r>
    <n v="22525"/>
    <n v="52"/>
    <s v="Contract"/>
    <x v="1"/>
    <n v="6485.1"/>
    <n v="6485.1"/>
    <n v="21070.39"/>
    <n v="21070.39"/>
    <n v="60"/>
    <n v="28.52"/>
    <n v="4"/>
    <n v="4"/>
    <n v="11.7"/>
    <n v="11.7"/>
    <n v="30"/>
    <n v="30"/>
    <s v="Non performing"/>
    <s v="Non-Performing"/>
    <x v="0"/>
    <n v="5.415077125513356E-2"/>
    <s v="Healthy"/>
    <s v="At Risk"/>
    <s v="Medium"/>
    <s v="Low"/>
    <x v="0"/>
    <s v="Medium"/>
  </r>
  <r>
    <n v="20674"/>
    <n v="54"/>
    <s v="Salaried"/>
    <x v="2"/>
    <n v="5145.01"/>
    <n v="5145.01"/>
    <n v="30290.1"/>
    <n v="30290.1"/>
    <n v="18"/>
    <n v="16.760000000000002"/>
    <n v="4"/>
    <n v="4"/>
    <n v="10.7"/>
    <n v="10.7"/>
    <n v="15"/>
    <n v="15"/>
    <s v="Written Off"/>
    <s v="Written Off"/>
    <x v="4"/>
    <n v="0.32707095483455484"/>
    <s v="Stretched"/>
    <s v="Good"/>
    <s v="High"/>
    <s v="High"/>
    <x v="0"/>
    <s v="Medium"/>
  </r>
  <r>
    <n v="20108"/>
    <n v="62"/>
    <s v="Salaried"/>
    <x v="2"/>
    <n v="8970.64"/>
    <n v="8970.64"/>
    <n v="15681.58"/>
    <n v="15681.58"/>
    <n v="60"/>
    <n v="18"/>
    <n v="1"/>
    <n v="1"/>
    <n v="14.3"/>
    <n v="14.3"/>
    <m/>
    <s v="NULL"/>
    <s v="Performing "/>
    <s v="Performing "/>
    <x v="0"/>
    <n v="2.9135007832960268E-2"/>
    <s v="Healthy"/>
    <s v="NULL"/>
    <s v="Medium"/>
    <s v="High"/>
    <x v="0"/>
    <s v="High"/>
  </r>
  <r>
    <n v="22880"/>
    <n v="35"/>
    <s v="Unemployed"/>
    <x v="3"/>
    <n v="2495.63"/>
    <n v="2495.63"/>
    <n v="18751.82"/>
    <n v="18751.82"/>
    <n v="60"/>
    <n v="19.95"/>
    <n v="3"/>
    <n v="3"/>
    <n v="3.5"/>
    <n v="3.5"/>
    <n v="0"/>
    <n v="0"/>
    <s v="Written Off"/>
    <s v="Written Off"/>
    <x v="0"/>
    <n v="0.12523103718633502"/>
    <s v="Healthy"/>
    <s v="Good"/>
    <s v="Medium"/>
    <s v="Low"/>
    <x v="0"/>
    <s v="Medium"/>
  </r>
  <r>
    <n v="21879"/>
    <n v="62"/>
    <s v="Self-Employed"/>
    <x v="0"/>
    <n v="3570.59"/>
    <n v="3570.59"/>
    <n v="31904.23"/>
    <n v="31904.23"/>
    <n v="24"/>
    <n v="12.65"/>
    <n v="2"/>
    <n v="2"/>
    <n v="4"/>
    <n v="4"/>
    <m/>
    <s v="NULL"/>
    <s v="Written Off"/>
    <s v="Written Off"/>
    <x v="1"/>
    <n v="0.37230343351285544"/>
    <s v="Stretched"/>
    <s v="NULL"/>
    <s v="High"/>
    <s v="Medium"/>
    <x v="0"/>
    <s v="Medium"/>
  </r>
  <r>
    <n v="21050"/>
    <n v="26"/>
    <s v="Salaried"/>
    <x v="2"/>
    <n v="7493.35"/>
    <n v="7493.35"/>
    <n v="9405.7199999999993"/>
    <n v="9405.7199999999993"/>
    <n v="48"/>
    <n v="17.989999999999998"/>
    <n v="3"/>
    <n v="3"/>
    <n v="8.1999999999999993"/>
    <n v="8.1999999999999993"/>
    <n v="120"/>
    <n v="120"/>
    <s v="Performing "/>
    <s v="Performing "/>
    <x v="4"/>
    <n v="2.6150186498695504E-2"/>
    <s v="Healthy"/>
    <s v="High Risk"/>
    <s v="Small"/>
    <s v="High"/>
    <x v="0"/>
    <s v="Medium"/>
  </r>
  <r>
    <n v="20810"/>
    <n v="33"/>
    <s v="Self employed"/>
    <x v="0"/>
    <n v="1915.53"/>
    <n v="1915.53"/>
    <n v="13276.9"/>
    <n v="13276.9"/>
    <n v="36"/>
    <n v="15.75"/>
    <n v="3"/>
    <n v="3"/>
    <n v="12.8"/>
    <n v="12.8"/>
    <n v="0"/>
    <n v="0"/>
    <s v="Performing"/>
    <s v="Performing"/>
    <x v="0"/>
    <n v="0.19253302103218314"/>
    <s v="Healthy"/>
    <s v="Good"/>
    <s v="Medium"/>
    <s v="Medium"/>
    <x v="1"/>
    <s v="Low"/>
  </r>
  <r>
    <n v="21260"/>
    <n v="31"/>
    <s v="Salaried"/>
    <x v="2"/>
    <n v="2856"/>
    <n v="2856"/>
    <n v="21230.62"/>
    <n v="21230.62"/>
    <n v="12"/>
    <n v="8.8699999999999992"/>
    <m/>
    <s v="NULL"/>
    <n v="8.6999999999999993"/>
    <n v="8.6999999999999993"/>
    <n v="0"/>
    <n v="0"/>
    <s v="Non-Performing"/>
    <s v="Non-Performing"/>
    <x v="2"/>
    <n v="0.61947420634920636"/>
    <s v="High Stress"/>
    <s v="Good"/>
    <s v="Medium"/>
    <s v="High"/>
    <x v="0"/>
    <s v="Medium"/>
  </r>
  <r>
    <n v="24488"/>
    <n v="49"/>
    <s v="Unemployed"/>
    <x v="3"/>
    <n v="1711.34"/>
    <n v="1711.34"/>
    <n v="29420.01"/>
    <n v="29420.01"/>
    <n v="36"/>
    <n v="7.09"/>
    <m/>
    <s v="NULL"/>
    <n v="2.1"/>
    <n v="2.1"/>
    <n v="90"/>
    <n v="90"/>
    <s v="Non-Performing"/>
    <s v="Non-Performing"/>
    <x v="4"/>
    <n v="0.47753368705225147"/>
    <s v="High Stress"/>
    <s v="High Risk"/>
    <s v="Medium"/>
    <s v="Low"/>
    <x v="2"/>
    <s v="Low"/>
  </r>
  <r>
    <n v="21248"/>
    <n v="53"/>
    <s v="Salaried "/>
    <x v="2"/>
    <n v="5062.5200000000004"/>
    <n v="5062.5200000000004"/>
    <n v="13993.3"/>
    <n v="13993.3"/>
    <n v="24"/>
    <n v="18.170000000000002"/>
    <n v="2"/>
    <n v="2"/>
    <n v="10"/>
    <n v="10"/>
    <n v="0"/>
    <n v="0"/>
    <s v="Written Off"/>
    <s v="Written Off"/>
    <x v="2"/>
    <n v="0.11517073842012804"/>
    <s v="Healthy"/>
    <s v="Good"/>
    <s v="Medium"/>
    <s v="High"/>
    <x v="1"/>
    <s v="Medium"/>
  </r>
  <r>
    <n v="24158"/>
    <n v="26"/>
    <s v="Unemployed"/>
    <x v="3"/>
    <n v="5224.3500000000004"/>
    <n v="5224.3500000000004"/>
    <n v="30899.69"/>
    <n v="30899.69"/>
    <n v="24"/>
    <n v="20.149999999999999"/>
    <n v="4"/>
    <n v="4"/>
    <n v="12.3"/>
    <n v="12.3"/>
    <n v="0"/>
    <n v="0"/>
    <s v="Performing "/>
    <s v="Performing "/>
    <x v="0"/>
    <n v="0.24643966873071926"/>
    <s v="Healthy"/>
    <s v="Good"/>
    <s v="High"/>
    <s v="Low"/>
    <x v="0"/>
    <s v="Medium"/>
  </r>
  <r>
    <n v="22123"/>
    <n v="57"/>
    <s v="Salaried "/>
    <x v="2"/>
    <n v="2306.5300000000002"/>
    <n v="2306.5300000000002"/>
    <n v="20434.849999999999"/>
    <n v="20434.849999999999"/>
    <n v="60"/>
    <n v="18.04"/>
    <n v="0"/>
    <n v="0"/>
    <n v="11.9"/>
    <n v="11.9"/>
    <n v="90"/>
    <n v="90"/>
    <s v="Written Off"/>
    <s v="Written Off"/>
    <x v="1"/>
    <n v="0.14765939889502122"/>
    <s v="Healthy"/>
    <s v="High Risk"/>
    <s v="Medium"/>
    <s v="High"/>
    <x v="0"/>
    <s v="Medium"/>
  </r>
  <r>
    <n v="22000"/>
    <n v="18"/>
    <s v="Contract"/>
    <x v="1"/>
    <n v="2955.65"/>
    <n v="2955.65"/>
    <n v="6649.02"/>
    <n v="6649.02"/>
    <n v="24"/>
    <n v="14.23"/>
    <n v="1"/>
    <n v="1"/>
    <n v="11.1"/>
    <n v="11.1"/>
    <n v="15"/>
    <n v="15"/>
    <s v="Non-Performing"/>
    <s v="Non-Performing"/>
    <x v="4"/>
    <n v="9.3733188977043969E-2"/>
    <s v="Healthy"/>
    <s v="Good"/>
    <s v="Small"/>
    <s v="Low"/>
    <x v="0"/>
    <s v="Medium"/>
  </r>
  <r>
    <n v="24667"/>
    <n v="49"/>
    <s v="Contract"/>
    <x v="1"/>
    <n v="6207.18"/>
    <n v="6207.18"/>
    <n v="4237.07"/>
    <n v="4237.07"/>
    <n v="36"/>
    <n v="22.85"/>
    <n v="3"/>
    <n v="3"/>
    <n v="3.6"/>
    <n v="3.6"/>
    <n v="60"/>
    <n v="60"/>
    <s v="Non-Performing"/>
    <s v="Non-Performing"/>
    <x v="4"/>
    <n v="1.8961330086913683E-2"/>
    <s v="Healthy"/>
    <s v="High Risk"/>
    <s v="Small"/>
    <s v="Low"/>
    <x v="0"/>
    <s v="Medium"/>
  </r>
  <r>
    <n v="25872"/>
    <n v="54"/>
    <s v="Self employed"/>
    <x v="0"/>
    <n v="9485.02"/>
    <n v="9485.02"/>
    <n v="31707.79"/>
    <n v="31707.79"/>
    <n v="24"/>
    <n v="10.84"/>
    <n v="0"/>
    <n v="0"/>
    <n v="7.7"/>
    <n v="7.7"/>
    <n v="15"/>
    <n v="15"/>
    <s v="Non performing"/>
    <s v="Non-Performing"/>
    <x v="1"/>
    <n v="0.1392888909740482"/>
    <s v="Healthy"/>
    <s v="Good"/>
    <s v="High"/>
    <s v="Medium"/>
    <x v="1"/>
    <s v="High"/>
  </r>
  <r>
    <n v="25664"/>
    <n v="52"/>
    <s v="Self-Employed"/>
    <x v="0"/>
    <n v="6806.32"/>
    <n v="6806.32"/>
    <n v="29692.58"/>
    <n v="29692.58"/>
    <n v="18"/>
    <n v="19.11"/>
    <m/>
    <s v="NULL"/>
    <n v="13.3"/>
    <n v="13.3"/>
    <n v="15"/>
    <n v="15"/>
    <s v="Written Off"/>
    <s v="Written Off"/>
    <x v="1"/>
    <n v="0.24236118457224726"/>
    <s v="Healthy"/>
    <s v="Good"/>
    <s v="Medium"/>
    <s v="Medium"/>
    <x v="1"/>
    <s v="Medium"/>
  </r>
  <r>
    <n v="20895"/>
    <n v="39"/>
    <s v="Unemployed"/>
    <x v="3"/>
    <n v="2980.7"/>
    <n v="2980.7"/>
    <n v="6691.99"/>
    <n v="6691.99"/>
    <n v="12"/>
    <n v="17.350000000000001"/>
    <m/>
    <s v="NULL"/>
    <n v="0.4"/>
    <n v="0.4"/>
    <n v="90"/>
    <n v="90"/>
    <s v="Written Off"/>
    <s v="Written Off"/>
    <x v="4"/>
    <n v="0.187092237841223"/>
    <s v="Healthy"/>
    <s v="High Risk"/>
    <s v="Small"/>
    <s v="Low"/>
    <x v="0"/>
    <s v="Medium"/>
  </r>
  <r>
    <n v="25786"/>
    <n v="24"/>
    <s v="Salaried "/>
    <x v="2"/>
    <n v="2603.67"/>
    <n v="2603.67"/>
    <n v="26956.89"/>
    <n v="26956.89"/>
    <n v="18"/>
    <n v="16.11"/>
    <n v="1"/>
    <n v="1"/>
    <n v="6.8"/>
    <n v="6.8"/>
    <n v="15"/>
    <n v="15"/>
    <s v="Performing "/>
    <s v="Performing "/>
    <x v="0"/>
    <n v="0.57519002024066035"/>
    <s v="High Stress"/>
    <s v="Good"/>
    <s v="Medium"/>
    <s v="High"/>
    <x v="0"/>
    <s v="Medium"/>
  </r>
  <r>
    <n v="24695"/>
    <n v="37"/>
    <s v="Salaried"/>
    <x v="2"/>
    <n v="4188.76"/>
    <n v="4188.76"/>
    <n v="25093.040000000001"/>
    <n v="25093.040000000001"/>
    <n v="36"/>
    <n v="22.98"/>
    <n v="2"/>
    <n v="2"/>
    <n v="3.3"/>
    <n v="3.3"/>
    <n v="15"/>
    <n v="15"/>
    <s v="Non performing"/>
    <s v="Non-Performing"/>
    <x v="3"/>
    <n v="0.16640458963724081"/>
    <s v="Healthy"/>
    <s v="Good"/>
    <s v="Medium"/>
    <s v="High"/>
    <x v="1"/>
    <s v="Medium"/>
  </r>
  <r>
    <n v="23877"/>
    <n v="42"/>
    <s v="Self-Employed"/>
    <x v="0"/>
    <n v="4570.2700000000004"/>
    <n v="4570.2700000000004"/>
    <n v="23798.18"/>
    <n v="23798.18"/>
    <n v="24"/>
    <n v="28.28"/>
    <n v="1"/>
    <n v="1"/>
    <n v="9"/>
    <n v="9"/>
    <n v="15"/>
    <n v="15"/>
    <s v="Non-Performing"/>
    <s v="Non-Performing"/>
    <x v="4"/>
    <n v="0.21696548198100621"/>
    <s v="Healthy"/>
    <s v="Good"/>
    <s v="Medium"/>
    <s v="Medium"/>
    <x v="1"/>
    <s v="Medium"/>
  </r>
  <r>
    <n v="22391"/>
    <n v="62"/>
    <s v="Unemployed"/>
    <x v="3"/>
    <n v="5635.01"/>
    <n v="5635.01"/>
    <n v="24044.73"/>
    <n v="24044.73"/>
    <n v="36"/>
    <n v="14.19"/>
    <n v="4"/>
    <n v="4"/>
    <n v="3.1"/>
    <n v="3.1"/>
    <n v="0"/>
    <n v="0"/>
    <s v="Non performing"/>
    <s v="Non-Performing"/>
    <x v="2"/>
    <n v="0.1185284793934113"/>
    <s v="Healthy"/>
    <s v="Good"/>
    <s v="Medium"/>
    <s v="Low"/>
    <x v="0"/>
    <s v="Medium"/>
  </r>
  <r>
    <n v="24704"/>
    <n v="49"/>
    <s v="Salaried "/>
    <x v="2"/>
    <n v="4475.24"/>
    <n v="4475.24"/>
    <n v="30300.76"/>
    <n v="30300.76"/>
    <n v="18"/>
    <n v="13.15"/>
    <m/>
    <s v="NULL"/>
    <n v="5.3"/>
    <n v="5.3"/>
    <n v="0"/>
    <n v="0"/>
    <s v="Non performing"/>
    <s v="Non-Performing"/>
    <x v="2"/>
    <n v="0.37615313492808333"/>
    <s v="Stretched"/>
    <s v="Good"/>
    <s v="High"/>
    <s v="High"/>
    <x v="0"/>
    <s v="Medium"/>
  </r>
  <r>
    <n v="21631"/>
    <n v="46"/>
    <s v="Salaried"/>
    <x v="2"/>
    <n v="2248.9"/>
    <n v="2248.9"/>
    <m/>
    <s v="NULL"/>
    <n v="60"/>
    <n v="18.39"/>
    <n v="1"/>
    <n v="1"/>
    <n v="2.7"/>
    <n v="2.7"/>
    <m/>
    <s v="NULL"/>
    <s v="Performing"/>
    <s v="Performing"/>
    <x v="3"/>
    <s v="NULL"/>
    <s v="NULL"/>
    <s v="NULL"/>
    <s v="High"/>
    <s v="High"/>
    <x v="0"/>
    <s v="Medium"/>
  </r>
  <r>
    <n v="23013"/>
    <n v="24"/>
    <s v="Self employed"/>
    <x v="0"/>
    <n v="8085.9"/>
    <n v="8085.9"/>
    <n v="34851.699999999997"/>
    <n v="34851.699999999997"/>
    <n v="18"/>
    <n v="26.58"/>
    <n v="3"/>
    <n v="3"/>
    <n v="8.1999999999999993"/>
    <n v="8.1999999999999993"/>
    <n v="120"/>
    <n v="120"/>
    <s v="Non-Performing"/>
    <s v="Non-Performing"/>
    <x v="3"/>
    <n v="0.23945455120092451"/>
    <s v="Healthy"/>
    <s v="High Risk"/>
    <s v="High"/>
    <s v="Medium"/>
    <x v="0"/>
    <s v="High"/>
  </r>
  <r>
    <n v="23526"/>
    <n v="61"/>
    <s v="Unemployed"/>
    <x v="3"/>
    <n v="9279.2999999999993"/>
    <n v="9279.2999999999993"/>
    <n v="11418.66"/>
    <n v="11418.66"/>
    <n v="36"/>
    <n v="17.059999999999999"/>
    <m/>
    <s v="NULL"/>
    <n v="8.6"/>
    <n v="8.6"/>
    <n v="120"/>
    <n v="120"/>
    <s v="Written Off"/>
    <s v="Written Off"/>
    <x v="1"/>
    <n v="3.4181996486803964E-2"/>
    <s v="Healthy"/>
    <s v="High Risk"/>
    <s v="Medium"/>
    <s v="Low"/>
    <x v="0"/>
    <s v="High"/>
  </r>
  <r>
    <n v="25816"/>
    <n v="42"/>
    <s v="Self employed"/>
    <x v="0"/>
    <n v="4373.54"/>
    <n v="4373.54"/>
    <n v="24811.82"/>
    <n v="24811.82"/>
    <n v="24"/>
    <n v="26.54"/>
    <n v="3"/>
    <n v="3"/>
    <n v="8.5"/>
    <n v="8.5"/>
    <n v="90"/>
    <n v="90"/>
    <s v="Non performing"/>
    <s v="Non-Performing"/>
    <x v="4"/>
    <n v="0.23638193164652282"/>
    <s v="Healthy"/>
    <s v="High Risk"/>
    <s v="Medium"/>
    <s v="Medium"/>
    <x v="0"/>
    <s v="Medium"/>
  </r>
  <r>
    <n v="21693"/>
    <n v="27"/>
    <s v="Self employed"/>
    <x v="0"/>
    <n v="3309.09"/>
    <n v="3309.09"/>
    <n v="14870.73"/>
    <n v="14870.73"/>
    <n v="36"/>
    <n v="17.309999999999999"/>
    <n v="0"/>
    <n v="0"/>
    <n v="7.7"/>
    <n v="7.7"/>
    <n v="0"/>
    <n v="0"/>
    <s v="Non-Performing"/>
    <s v="Non-Performing"/>
    <x v="1"/>
    <n v="0.12483064326849173"/>
    <s v="Healthy"/>
    <s v="Good"/>
    <s v="Medium"/>
    <s v="Medium"/>
    <x v="1"/>
    <s v="Medium"/>
  </r>
  <r>
    <n v="20549"/>
    <n v="40"/>
    <s v="Self-Employed"/>
    <x v="0"/>
    <n v="6717.07"/>
    <n v="6717.07"/>
    <n v="18515.02"/>
    <n v="18515.02"/>
    <n v="48"/>
    <n v="20.37"/>
    <n v="1"/>
    <n v="1"/>
    <n v="7.8"/>
    <n v="7.8"/>
    <n v="90"/>
    <n v="90"/>
    <s v="Non-Performing"/>
    <s v="Non-Performing"/>
    <x v="0"/>
    <n v="5.7425273718054649E-2"/>
    <s v="Healthy"/>
    <s v="High Risk"/>
    <s v="Medium"/>
    <s v="Medium"/>
    <x v="0"/>
    <s v="Medium"/>
  </r>
  <r>
    <n v="20272"/>
    <n v="23"/>
    <s v="Self-Employed"/>
    <x v="0"/>
    <n v="-1500"/>
    <n v="1500"/>
    <n v="24792.66"/>
    <n v="24792.66"/>
    <n v="48"/>
    <n v="18.89"/>
    <m/>
    <s v="NULL"/>
    <n v="9.5"/>
    <n v="9.5"/>
    <m/>
    <s v="NULL"/>
    <s v="Non performing"/>
    <s v="Non-Performing"/>
    <x v="1"/>
    <n v="0.3443425"/>
    <s v="Stretched"/>
    <s v="NULL"/>
    <s v="Medium"/>
    <s v="Medium"/>
    <x v="0"/>
    <s v="Low"/>
  </r>
  <r>
    <n v="22257"/>
    <n v="21"/>
    <s v="Unemployed"/>
    <x v="3"/>
    <n v="2593.9"/>
    <n v="2593.9"/>
    <n v="39381.85"/>
    <n v="39381.85"/>
    <n v="60"/>
    <n v="25.42"/>
    <n v="4"/>
    <n v="4"/>
    <n v="5.8"/>
    <n v="5.8"/>
    <n v="0"/>
    <n v="0"/>
    <s v="Performing "/>
    <s v="Performing "/>
    <x v="4"/>
    <n v="0.25304143053574413"/>
    <s v="Healthy"/>
    <s v="Good"/>
    <s v="High"/>
    <s v="Low"/>
    <x v="0"/>
    <s v="Medium"/>
  </r>
  <r>
    <n v="23246"/>
    <n v="37"/>
    <s v="Self-Employed"/>
    <x v="0"/>
    <n v="4753.2299999999996"/>
    <n v="4753.2299999999996"/>
    <n v="27303.97"/>
    <n v="27303.97"/>
    <n v="36"/>
    <n v="20.87"/>
    <n v="3"/>
    <n v="3"/>
    <n v="10.4"/>
    <n v="10.4"/>
    <n v="0"/>
    <n v="0"/>
    <s v="Performing "/>
    <s v="Performing "/>
    <x v="3"/>
    <n v="0.15956383577296096"/>
    <s v="Healthy"/>
    <s v="Good"/>
    <s v="Medium"/>
    <s v="Medium"/>
    <x v="1"/>
    <s v="Medium"/>
  </r>
  <r>
    <n v="21795"/>
    <n v="48"/>
    <s v="Unemployed"/>
    <x v="3"/>
    <n v="7213.18"/>
    <n v="7213.18"/>
    <n v="26793.03"/>
    <n v="26793.03"/>
    <n v="36"/>
    <n v="19.82"/>
    <n v="4"/>
    <n v="4"/>
    <n v="10.6"/>
    <n v="10.6"/>
    <n v="0"/>
    <n v="0"/>
    <s v="Non performing"/>
    <s v="Non-Performing"/>
    <x v="1"/>
    <n v="0.1031792958630359"/>
    <s v="Healthy"/>
    <s v="Good"/>
    <s v="Medium"/>
    <s v="Low"/>
    <x v="0"/>
    <s v="Medium"/>
  </r>
  <r>
    <n v="22710"/>
    <n v="37"/>
    <s v="Unemployed"/>
    <x v="3"/>
    <n v="5100.8599999999997"/>
    <n v="5100.8599999999997"/>
    <n v="16823.61"/>
    <n v="16823.61"/>
    <n v="60"/>
    <n v="15.01"/>
    <n v="0"/>
    <n v="0"/>
    <n v="2.6"/>
    <n v="2.6"/>
    <n v="30"/>
    <n v="30"/>
    <s v="Performing"/>
    <s v="Performing"/>
    <x v="0"/>
    <n v="5.4969848221672432E-2"/>
    <s v="Healthy"/>
    <s v="At Risk"/>
    <s v="Medium"/>
    <s v="Low"/>
    <x v="0"/>
    <s v="Medium"/>
  </r>
  <r>
    <n v="23102"/>
    <n v="57"/>
    <s v="Self employed"/>
    <x v="0"/>
    <n v="9482.14"/>
    <n v="9482.14"/>
    <n v="18109.16"/>
    <n v="18109.16"/>
    <n v="6"/>
    <n v="13.02"/>
    <n v="0"/>
    <n v="0"/>
    <n v="9.5"/>
    <n v="9.5"/>
    <n v="0"/>
    <n v="0"/>
    <s v="Written Off"/>
    <s v="Written Off"/>
    <x v="0"/>
    <n v="0.31830297098896804"/>
    <s v="Stretched"/>
    <s v="Good"/>
    <s v="Medium"/>
    <s v="Medium"/>
    <x v="0"/>
    <s v="High"/>
  </r>
  <r>
    <n v="22565"/>
    <n v="38"/>
    <s v="Contract"/>
    <x v="1"/>
    <n v="4497.46"/>
    <n v="4497.46"/>
    <n v="3972.62"/>
    <n v="3972.62"/>
    <n v="6"/>
    <n v="18.670000000000002"/>
    <n v="3"/>
    <n v="3"/>
    <n v="-0.3"/>
    <n v="0.3"/>
    <n v="0"/>
    <n v="0"/>
    <s v="Written Off"/>
    <s v="Written Off"/>
    <x v="3"/>
    <n v="0.14721716998780052"/>
    <s v="Healthy"/>
    <s v="Good"/>
    <s v="Small"/>
    <s v="Low"/>
    <x v="0"/>
    <s v="Medium"/>
  </r>
  <r>
    <n v="22198"/>
    <n v="40"/>
    <s v="Salaried "/>
    <x v="2"/>
    <n v="2620.9499999999998"/>
    <n v="2620.9499999999998"/>
    <m/>
    <s v="NULL"/>
    <n v="18"/>
    <n v="25.98"/>
    <n v="2"/>
    <n v="2"/>
    <n v="1.9"/>
    <n v="1.9"/>
    <n v="30"/>
    <n v="30"/>
    <s v="Written Off"/>
    <s v="Written Off"/>
    <x v="4"/>
    <s v="NULL"/>
    <s v="NULL"/>
    <s v="At Risk"/>
    <s v="High"/>
    <s v="High"/>
    <x v="0"/>
    <s v="Medium"/>
  </r>
  <r>
    <n v="20317"/>
    <n v="27"/>
    <s v="Contract"/>
    <x v="1"/>
    <n v="3134.09"/>
    <n v="3134.09"/>
    <n v="2243.1999999999998"/>
    <n v="2243.1999999999998"/>
    <n v="18"/>
    <n v="14.52"/>
    <n v="0"/>
    <n v="0"/>
    <n v="8"/>
    <n v="8"/>
    <n v="0"/>
    <n v="0"/>
    <s v="Performing"/>
    <s v="Performing"/>
    <x v="1"/>
    <n v="3.9763447195907652E-2"/>
    <s v="Healthy"/>
    <s v="Good"/>
    <s v="Small"/>
    <s v="Low"/>
    <x v="0"/>
    <s v="Medium"/>
  </r>
  <r>
    <n v="22862"/>
    <n v="29"/>
    <s v="Unemployed"/>
    <x v="3"/>
    <n v="3884.62"/>
    <n v="3884.62"/>
    <n v="22627.79"/>
    <n v="22627.79"/>
    <n v="24"/>
    <n v="23.78"/>
    <n v="3"/>
    <n v="3"/>
    <n v="6.6"/>
    <n v="6.6"/>
    <n v="90"/>
    <n v="90"/>
    <s v="Non performing"/>
    <s v="Non-Performing"/>
    <x v="0"/>
    <n v="0.24270703011705994"/>
    <s v="Healthy"/>
    <s v="High Risk"/>
    <s v="Medium"/>
    <s v="Low"/>
    <x v="0"/>
    <s v="Medium"/>
  </r>
  <r>
    <n v="20050"/>
    <n v="52"/>
    <s v="Contract"/>
    <x v="1"/>
    <n v="4674.4399999999996"/>
    <n v="4674.4399999999996"/>
    <n v="22598.799999999999"/>
    <n v="22598.799999999999"/>
    <n v="48"/>
    <n v="18.57"/>
    <n v="0"/>
    <n v="0"/>
    <n v="12.8"/>
    <n v="12.8"/>
    <n v="60"/>
    <n v="60"/>
    <s v="Written Off"/>
    <s v="Written Off"/>
    <x v="1"/>
    <n v="0.10071972970737314"/>
    <s v="Healthy"/>
    <s v="High Risk"/>
    <s v="Medium"/>
    <s v="Low"/>
    <x v="0"/>
    <s v="Medium"/>
  </r>
  <r>
    <n v="21301"/>
    <n v="22"/>
    <s v="Unemployed"/>
    <x v="3"/>
    <n v="4767.07"/>
    <n v="4767.07"/>
    <n v="26939.86"/>
    <n v="26939.86"/>
    <n v="6"/>
    <n v="16.190000000000001"/>
    <m/>
    <s v="NULL"/>
    <n v="4.5999999999999996"/>
    <n v="4.5999999999999996"/>
    <m/>
    <s v="NULL"/>
    <s v="Performing"/>
    <s v="Performing"/>
    <x v="3"/>
    <n v="0.94187344986892729"/>
    <s v="High Stress"/>
    <s v="NULL"/>
    <s v="Medium"/>
    <s v="Low"/>
    <x v="0"/>
    <s v="Medium"/>
  </r>
  <r>
    <n v="23797"/>
    <n v="32"/>
    <s v="Salaried"/>
    <x v="2"/>
    <n v="6523.27"/>
    <n v="6523.27"/>
    <n v="25581.71"/>
    <n v="25581.71"/>
    <n v="6"/>
    <n v="18.13"/>
    <n v="3"/>
    <n v="3"/>
    <n v="11"/>
    <n v="11"/>
    <n v="0"/>
    <n v="0"/>
    <s v="Non-Performing"/>
    <s v="Non-Performing"/>
    <x v="4"/>
    <n v="0.65360138907838139"/>
    <s v="High Stress"/>
    <s v="Good"/>
    <s v="Medium"/>
    <s v="High"/>
    <x v="0"/>
    <s v="Medium"/>
  </r>
  <r>
    <n v="24419"/>
    <n v="40"/>
    <s v="Contract"/>
    <x v="1"/>
    <n v="4378.5200000000004"/>
    <n v="4378.5200000000004"/>
    <n v="28440.98"/>
    <n v="28440.98"/>
    <n v="18"/>
    <n v="28.16"/>
    <n v="4"/>
    <n v="4"/>
    <n v="2"/>
    <n v="2"/>
    <n v="15"/>
    <n v="15"/>
    <s v="Performing "/>
    <s v="Performing "/>
    <x v="3"/>
    <n v="0.36086495995095241"/>
    <s v="Stretched"/>
    <s v="Good"/>
    <s v="Medium"/>
    <s v="Low"/>
    <x v="0"/>
    <s v="Medium"/>
  </r>
  <r>
    <n v="24144"/>
    <n v="54"/>
    <s v="Salaried"/>
    <x v="2"/>
    <n v="705.85"/>
    <n v="705.85"/>
    <n v="20246.330000000002"/>
    <n v="20246.330000000002"/>
    <n v="48"/>
    <n v="26.78"/>
    <n v="1"/>
    <n v="1"/>
    <n v="13.2"/>
    <n v="13.2"/>
    <n v="120"/>
    <n v="120"/>
    <s v="Performing "/>
    <s v="Performing "/>
    <x v="4"/>
    <n v="0.59757532289674387"/>
    <s v="High Stress"/>
    <s v="High Risk"/>
    <s v="Medium"/>
    <s v="High"/>
    <x v="0"/>
    <s v="Low"/>
  </r>
  <r>
    <n v="24617"/>
    <n v="41"/>
    <s v="Contract"/>
    <x v="1"/>
    <n v="6677.71"/>
    <n v="6677.71"/>
    <n v="25033.73"/>
    <n v="25033.73"/>
    <n v="36"/>
    <n v="16.5"/>
    <n v="0"/>
    <n v="0"/>
    <n v="3.7"/>
    <n v="3.7"/>
    <n v="120"/>
    <n v="120"/>
    <s v="Written Off"/>
    <s v="Written Off"/>
    <x v="3"/>
    <n v="0.10413470918756414"/>
    <s v="Healthy"/>
    <s v="High Risk"/>
    <s v="Medium"/>
    <s v="Low"/>
    <x v="0"/>
    <s v="Medium"/>
  </r>
  <r>
    <n v="20584"/>
    <n v="44"/>
    <s v="Unemployed"/>
    <x v="3"/>
    <n v="2909.22"/>
    <n v="2909.22"/>
    <n v="23539.94"/>
    <n v="23539.94"/>
    <n v="12"/>
    <n v="16.73"/>
    <n v="3"/>
    <n v="3"/>
    <n v="6.2"/>
    <n v="6.2"/>
    <n v="120"/>
    <n v="120"/>
    <s v="Written Off"/>
    <s v="Written Off"/>
    <x v="3"/>
    <n v="0.67429127624128349"/>
    <s v="High Stress"/>
    <s v="High Risk"/>
    <s v="Medium"/>
    <s v="Low"/>
    <x v="2"/>
    <s v="Medium"/>
  </r>
  <r>
    <n v="20535"/>
    <n v="56"/>
    <s v="Salaried "/>
    <x v="2"/>
    <n v="2914.8"/>
    <n v="2914.8"/>
    <n v="31288.36"/>
    <n v="31288.36"/>
    <n v="60"/>
    <n v="20.77"/>
    <n v="4"/>
    <n v="4"/>
    <n v="4"/>
    <n v="4"/>
    <n v="0"/>
    <n v="0"/>
    <s v="Performing "/>
    <s v="Performing "/>
    <x v="4"/>
    <n v="0.17890512785325466"/>
    <s v="Healthy"/>
    <s v="Good"/>
    <s v="High"/>
    <s v="High"/>
    <x v="1"/>
    <s v="Medium"/>
  </r>
  <r>
    <n v="25287"/>
    <n v="36"/>
    <s v="Self-Employed"/>
    <x v="0"/>
    <n v="7157.12"/>
    <n v="7157.12"/>
    <n v="18107"/>
    <n v="18107"/>
    <n v="48"/>
    <n v="25.25"/>
    <n v="2"/>
    <n v="2"/>
    <n v="4.5999999999999996"/>
    <n v="4.5999999999999996"/>
    <n v="120"/>
    <n v="120"/>
    <s v="Written Off"/>
    <s v="Written Off"/>
    <x v="0"/>
    <n v="5.2706838318578794E-2"/>
    <s v="Healthy"/>
    <s v="High Risk"/>
    <s v="Medium"/>
    <s v="Medium"/>
    <x v="0"/>
    <s v="Medium"/>
  </r>
  <r>
    <n v="20782"/>
    <n v="50"/>
    <s v="Self employed"/>
    <x v="0"/>
    <n v="3134.05"/>
    <n v="3134.05"/>
    <n v="25369.69"/>
    <n v="25369.69"/>
    <n v="12"/>
    <n v="16.73"/>
    <n v="4"/>
    <n v="4"/>
    <n v="5.5"/>
    <n v="5.5"/>
    <n v="30"/>
    <n v="30"/>
    <s v="Non performing"/>
    <s v="Non-Performing"/>
    <x v="1"/>
    <n v="0.67457150758071283"/>
    <s v="High Stress"/>
    <s v="At Risk"/>
    <s v="Medium"/>
    <s v="Medium"/>
    <x v="0"/>
    <s v="Medium"/>
  </r>
  <r>
    <n v="22830"/>
    <n v="24"/>
    <s v="Self-Employed"/>
    <x v="0"/>
    <n v="6471.71"/>
    <n v="6471.71"/>
    <n v="15457.78"/>
    <n v="15457.78"/>
    <n v="6"/>
    <n v="55"/>
    <n v="1"/>
    <n v="1"/>
    <n v="2.4"/>
    <n v="2.4"/>
    <n v="90"/>
    <n v="90"/>
    <s v="Performing "/>
    <s v="Performing "/>
    <x v="4"/>
    <n v="0.39808592577026269"/>
    <s v="Stretched"/>
    <s v="High Risk"/>
    <s v="Medium"/>
    <s v="Medium"/>
    <x v="0"/>
    <s v="Medium"/>
  </r>
  <r>
    <n v="23153"/>
    <n v="120"/>
    <s v="Self employed"/>
    <x v="0"/>
    <n v="5975.75"/>
    <n v="5975.75"/>
    <n v="-2167.9699999999998"/>
    <n v="2167.9699999999998"/>
    <n v="60"/>
    <n v="21.79"/>
    <m/>
    <s v="NULL"/>
    <n v="13.9"/>
    <n v="13.9"/>
    <n v="0"/>
    <n v="0"/>
    <s v="Non performing"/>
    <s v="Non-Performing"/>
    <x v="4"/>
    <n v="6.0465771381556007E-3"/>
    <s v="Healthy"/>
    <s v="Good"/>
    <s v="Small"/>
    <s v="Medium"/>
    <x v="3"/>
    <s v="Medium"/>
  </r>
  <r>
    <n v="24103"/>
    <n v="75"/>
    <s v="Salaried"/>
    <x v="2"/>
    <n v="4243.5"/>
    <n v="4243.5"/>
    <n v="40867.25"/>
    <n v="40867.25"/>
    <n v="12"/>
    <n v="13.13"/>
    <n v="1"/>
    <n v="1"/>
    <n v="9.6999999999999993"/>
    <n v="9.6999999999999993"/>
    <n v="15"/>
    <n v="15"/>
    <s v="Non-Performing"/>
    <s v="Non-Performing"/>
    <x v="2"/>
    <n v="0.80254605082282704"/>
    <s v="High Stress"/>
    <s v="Good"/>
    <s v="High"/>
    <s v="High"/>
    <x v="0"/>
    <s v="Medium"/>
  </r>
  <r>
    <n v="23741"/>
    <n v="50"/>
    <s v="Contract"/>
    <x v="1"/>
    <n v="5946.38"/>
    <n v="5946.38"/>
    <n v="25629.34"/>
    <n v="25629.34"/>
    <n v="12"/>
    <n v="24.62"/>
    <n v="0"/>
    <n v="0"/>
    <n v="7.9"/>
    <n v="7.9"/>
    <n v="90"/>
    <n v="90"/>
    <s v="Performing"/>
    <s v="Performing"/>
    <x v="1"/>
    <n v="0.3591728637142822"/>
    <s v="Stretched"/>
    <s v="High Risk"/>
    <s v="Medium"/>
    <s v="Low"/>
    <x v="0"/>
    <s v="Medium"/>
  </r>
  <r>
    <n v="20307"/>
    <n v="120"/>
    <s v="Salaried"/>
    <x v="2"/>
    <n v="8090.49"/>
    <n v="8090.49"/>
    <n v="22854"/>
    <n v="22854"/>
    <n v="6"/>
    <n v="15.28"/>
    <m/>
    <s v="NULL"/>
    <n v="4.5999999999999996"/>
    <n v="4.5999999999999996"/>
    <n v="0"/>
    <n v="0"/>
    <s v="Performing "/>
    <s v="Performing "/>
    <x v="2"/>
    <n v="0.47079966726366385"/>
    <s v="High Stress"/>
    <s v="Good"/>
    <s v="Medium"/>
    <s v="High"/>
    <x v="3"/>
    <s v="High"/>
  </r>
  <r>
    <n v="20039"/>
    <n v="45"/>
    <s v="Salaried "/>
    <x v="2"/>
    <n v="3860.82"/>
    <n v="3860.82"/>
    <n v="12647.04"/>
    <n v="12647.04"/>
    <n v="60"/>
    <n v="15.74"/>
    <n v="0"/>
    <n v="0"/>
    <n v="9"/>
    <n v="9"/>
    <m/>
    <s v="NULL"/>
    <s v="Non performing"/>
    <s v="Non-Performing"/>
    <x v="1"/>
    <n v="5.4595655845131347E-2"/>
    <s v="Healthy"/>
    <s v="NULL"/>
    <s v="Medium"/>
    <s v="High"/>
    <x v="0"/>
    <s v="Medium"/>
  </r>
  <r>
    <n v="23647"/>
    <n v="30"/>
    <s v="Contract"/>
    <x v="1"/>
    <n v="6945.77"/>
    <n v="6945.77"/>
    <n v="17085.23"/>
    <n v="17085.23"/>
    <n v="36"/>
    <n v="6.28"/>
    <n v="0"/>
    <n v="0"/>
    <n v="8.4"/>
    <n v="8.4"/>
    <n v="120"/>
    <n v="120"/>
    <s v="Non-Performing"/>
    <s v="Non-Performing"/>
    <x v="3"/>
    <n v="6.8327877574728524E-2"/>
    <s v="Healthy"/>
    <s v="High Risk"/>
    <s v="Medium"/>
    <s v="Low"/>
    <x v="0"/>
    <s v="Medium"/>
  </r>
  <r>
    <n v="21913"/>
    <n v="62"/>
    <s v="Self-Employed"/>
    <x v="0"/>
    <n v="4182.66"/>
    <n v="4182.66"/>
    <n v="21950"/>
    <n v="21950"/>
    <n v="12"/>
    <n v="22.4"/>
    <m/>
    <s v="NULL"/>
    <n v="7.9"/>
    <n v="7.9"/>
    <m/>
    <s v="NULL"/>
    <s v="Non performing"/>
    <s v="Non-Performing"/>
    <x v="1"/>
    <n v="0.43732138559353778"/>
    <s v="Stretched"/>
    <s v="NULL"/>
    <s v="Medium"/>
    <s v="Medium"/>
    <x v="0"/>
    <s v="Medium"/>
  </r>
  <r>
    <n v="24912"/>
    <n v="42"/>
    <s v="Salaried "/>
    <x v="2"/>
    <n v="4228.45"/>
    <n v="4228.45"/>
    <n v="16502.18"/>
    <n v="16502.18"/>
    <n v="18"/>
    <n v="24.88"/>
    <m/>
    <s v="NULL"/>
    <n v="3.6"/>
    <n v="3.6"/>
    <m/>
    <s v="NULL"/>
    <s v="Non-Performing"/>
    <s v="Non-Performing"/>
    <x v="3"/>
    <n v="0.21681414650233014"/>
    <s v="Healthy"/>
    <s v="NULL"/>
    <s v="Medium"/>
    <s v="High"/>
    <x v="0"/>
    <s v="Medium"/>
  </r>
  <r>
    <n v="20495"/>
    <n v="59"/>
    <s v="Unemployed"/>
    <x v="3"/>
    <n v="6461.18"/>
    <n v="6461.18"/>
    <n v="32667.88"/>
    <n v="32667.88"/>
    <n v="36"/>
    <n v="17.45"/>
    <n v="2"/>
    <n v="2"/>
    <n v="9.5"/>
    <n v="9.5"/>
    <n v="120"/>
    <n v="120"/>
    <s v="Performing"/>
    <s v="Performing"/>
    <x v="0"/>
    <n v="0.14044510617427639"/>
    <s v="Healthy"/>
    <s v="High Risk"/>
    <s v="High"/>
    <s v="Low"/>
    <x v="0"/>
    <s v="Medium"/>
  </r>
  <r>
    <n v="21067"/>
    <n v="31"/>
    <s v="Salaried "/>
    <x v="2"/>
    <n v="5107.32"/>
    <n v="5107.32"/>
    <m/>
    <s v="NULL"/>
    <n v="36"/>
    <n v="13.96"/>
    <n v="4"/>
    <n v="4"/>
    <n v="10.8"/>
    <n v="10.8"/>
    <n v="0"/>
    <n v="0"/>
    <s v="Non performing"/>
    <s v="Non-Performing"/>
    <x v="0"/>
    <s v="NULL"/>
    <s v="NULL"/>
    <s v="Good"/>
    <s v="High"/>
    <s v="High"/>
    <x v="0"/>
    <s v="Medium"/>
  </r>
  <r>
    <n v="22244"/>
    <n v="32"/>
    <s v="Contract"/>
    <x v="1"/>
    <n v="5112.3999999999996"/>
    <n v="5112.3999999999996"/>
    <n v="29267.02"/>
    <n v="29267.02"/>
    <n v="6"/>
    <n v="18.84"/>
    <n v="1"/>
    <n v="1"/>
    <n v="8.5"/>
    <n v="8.5"/>
    <n v="30"/>
    <n v="30"/>
    <s v="Performing"/>
    <s v="Performing"/>
    <x v="2"/>
    <n v="0.95411874396891228"/>
    <s v="High Stress"/>
    <s v="At Risk"/>
    <s v="Medium"/>
    <s v="Low"/>
    <x v="0"/>
    <s v="Medium"/>
  </r>
  <r>
    <n v="24428"/>
    <n v="31"/>
    <s v="Self employed"/>
    <x v="0"/>
    <n v="2335.67"/>
    <n v="2335.67"/>
    <n v="30467.68"/>
    <n v="30467.68"/>
    <n v="6"/>
    <n v="17.54"/>
    <n v="1"/>
    <n v="1"/>
    <n v="7.1"/>
    <n v="7.1"/>
    <n v="90"/>
    <n v="90"/>
    <s v="Non-Performing"/>
    <s v="Non-Performing"/>
    <x v="1"/>
    <n v="2.1740856656405514"/>
    <s v="High Stress"/>
    <s v="High Risk"/>
    <s v="High"/>
    <s v="Medium"/>
    <x v="0"/>
    <s v="Medium"/>
  </r>
  <r>
    <n v="25215"/>
    <n v="52"/>
    <s v="Contract"/>
    <x v="1"/>
    <n v="7941.49"/>
    <n v="7941.49"/>
    <n v="24745.48"/>
    <n v="24745.48"/>
    <n v="12"/>
    <n v="17.47"/>
    <n v="2"/>
    <n v="2"/>
    <n v="6.7"/>
    <n v="6.7"/>
    <n v="0"/>
    <n v="0"/>
    <s v="Non performing"/>
    <s v="Non-Performing"/>
    <x v="4"/>
    <n v="0.25966453818280111"/>
    <s v="Healthy"/>
    <s v="Good"/>
    <s v="Medium"/>
    <s v="Low"/>
    <x v="0"/>
    <s v="Medium"/>
  </r>
  <r>
    <n v="22469"/>
    <n v="23"/>
    <s v="Self-Employed"/>
    <x v="0"/>
    <n v="-1500"/>
    <n v="1500"/>
    <n v="20406.27"/>
    <n v="20406.27"/>
    <n v="6"/>
    <n v="17.489999999999998"/>
    <n v="2"/>
    <n v="2"/>
    <n v="0"/>
    <n v="0"/>
    <n v="0"/>
    <n v="0"/>
    <s v="Non performing"/>
    <s v="Non-Performing"/>
    <x v="1"/>
    <n v="2.2673633333333334"/>
    <s v="High Stress"/>
    <s v="Good"/>
    <s v="Medium"/>
    <s v="Medium"/>
    <x v="0"/>
    <s v="Low"/>
  </r>
  <r>
    <n v="25312"/>
    <n v="25"/>
    <s v="Salaried"/>
    <x v="2"/>
    <n v="8313"/>
    <n v="8313"/>
    <n v="12804.29"/>
    <n v="12804.29"/>
    <n v="18"/>
    <n v="16.54"/>
    <m/>
    <s v="NULL"/>
    <n v="6.1"/>
    <n v="6.1"/>
    <n v="0"/>
    <n v="0"/>
    <s v="Non performing"/>
    <s v="Non-Performing"/>
    <x v="3"/>
    <n v="8.5570725904540415E-2"/>
    <s v="Healthy"/>
    <s v="Good"/>
    <s v="Medium"/>
    <s v="High"/>
    <x v="1"/>
    <s v="High"/>
  </r>
  <r>
    <n v="20273"/>
    <n v="34"/>
    <s v="Salaried "/>
    <x v="2"/>
    <n v="-1500"/>
    <n v="1500"/>
    <n v="9504.39"/>
    <n v="9504.39"/>
    <n v="60"/>
    <n v="9.9700000000000006"/>
    <n v="4"/>
    <n v="4"/>
    <n v="10.7"/>
    <n v="10.7"/>
    <n v="0"/>
    <n v="0"/>
    <s v="Non-Performing"/>
    <s v="Non-Performing"/>
    <x v="2"/>
    <n v="0.10560433333333333"/>
    <s v="Healthy"/>
    <s v="Good"/>
    <s v="Small"/>
    <s v="High"/>
    <x v="1"/>
    <s v="Low"/>
  </r>
  <r>
    <n v="21918"/>
    <n v="120"/>
    <s v="Unemployed"/>
    <x v="3"/>
    <n v="6928.25"/>
    <n v="6928.25"/>
    <n v="11125.43"/>
    <n v="11125.43"/>
    <n v="6"/>
    <n v="16.5"/>
    <n v="2"/>
    <n v="2"/>
    <n v="4"/>
    <n v="4"/>
    <n v="0"/>
    <n v="0"/>
    <s v="Performing"/>
    <s v="Performing"/>
    <x v="1"/>
    <n v="0.26763444352229399"/>
    <s v="Healthy"/>
    <s v="Good"/>
    <s v="Medium"/>
    <s v="Low"/>
    <x v="3"/>
    <s v="Medium"/>
  </r>
  <r>
    <n v="23395"/>
    <n v="75"/>
    <s v="Salaried "/>
    <x v="2"/>
    <n v="4970.68"/>
    <n v="4970.68"/>
    <n v="20163.689999999999"/>
    <n v="20163.689999999999"/>
    <n v="6"/>
    <n v="29.5"/>
    <n v="1"/>
    <n v="1"/>
    <n v="12.3"/>
    <n v="12.3"/>
    <n v="60"/>
    <n v="60"/>
    <s v="Performing"/>
    <s v="Performing"/>
    <x v="0"/>
    <n v="0.67608757755478111"/>
    <s v="High Stress"/>
    <s v="High Risk"/>
    <s v="Medium"/>
    <s v="High"/>
    <x v="0"/>
    <s v="Medium"/>
  </r>
  <r>
    <n v="21801"/>
    <n v="45"/>
    <s v="Self-Employed"/>
    <x v="0"/>
    <n v="8186.65"/>
    <n v="8186.65"/>
    <n v="10170.549999999999"/>
    <n v="10170.549999999999"/>
    <n v="6"/>
    <n v="6.64"/>
    <n v="4"/>
    <n v="4"/>
    <n v="4.8"/>
    <n v="4.8"/>
    <n v="15"/>
    <n v="15"/>
    <s v="Non-Performing"/>
    <s v="Non-Performing"/>
    <x v="3"/>
    <n v="0.20705559253988709"/>
    <s v="Healthy"/>
    <s v="Good"/>
    <s v="Medium"/>
    <s v="Medium"/>
    <x v="1"/>
    <s v="High"/>
  </r>
  <r>
    <n v="21518"/>
    <n v="46"/>
    <s v="Salaried"/>
    <x v="2"/>
    <n v="1740.65"/>
    <n v="1740.65"/>
    <n v="9742.4"/>
    <n v="9742.4"/>
    <n v="24"/>
    <n v="55"/>
    <m/>
    <s v="NULL"/>
    <n v="-1.8"/>
    <n v="1.8"/>
    <n v="60"/>
    <n v="60"/>
    <s v="Performing "/>
    <s v="Performing "/>
    <x v="3"/>
    <n v="0.23320790126293814"/>
    <s v="Healthy"/>
    <s v="High Risk"/>
    <s v="Small"/>
    <s v="High"/>
    <x v="0"/>
    <s v="Low"/>
  </r>
  <r>
    <n v="20169"/>
    <n v="27"/>
    <s v="Salaried"/>
    <x v="2"/>
    <n v="6111.25"/>
    <n v="6111.25"/>
    <n v="26733.38"/>
    <n v="26733.38"/>
    <n v="48"/>
    <n v="23.7"/>
    <n v="0"/>
    <n v="0"/>
    <n v="5.8"/>
    <n v="5.8"/>
    <n v="60"/>
    <n v="60"/>
    <s v="Performing"/>
    <s v="Performing"/>
    <x v="4"/>
    <n v="9.113445148973888E-2"/>
    <s v="Healthy"/>
    <s v="High Risk"/>
    <s v="Medium"/>
    <s v="High"/>
    <x v="0"/>
    <s v="Medium"/>
  </r>
  <r>
    <n v="20643"/>
    <n v="54"/>
    <s v="Salaried "/>
    <x v="2"/>
    <n v="3598.84"/>
    <n v="3598.84"/>
    <n v="16728.75"/>
    <n v="16728.75"/>
    <n v="18"/>
    <n v="15.87"/>
    <n v="0"/>
    <n v="0"/>
    <n v="6.7"/>
    <n v="6.7"/>
    <n v="15"/>
    <n v="15"/>
    <s v="Performing "/>
    <s v="Performing "/>
    <x v="0"/>
    <n v="0.25824293383423547"/>
    <s v="Healthy"/>
    <s v="Good"/>
    <s v="Medium"/>
    <s v="High"/>
    <x v="1"/>
    <s v="Medium"/>
  </r>
  <r>
    <n v="22592"/>
    <n v="40"/>
    <s v="Salaried "/>
    <x v="2"/>
    <n v="3600.86"/>
    <n v="3600.86"/>
    <n v="19511.03"/>
    <n v="19511.03"/>
    <n v="48"/>
    <n v="19.5"/>
    <n v="0"/>
    <n v="0"/>
    <n v="4.5999999999999996"/>
    <n v="4.5999999999999996"/>
    <n v="0"/>
    <n v="0"/>
    <s v="Non performing"/>
    <s v="Non-Performing"/>
    <x v="1"/>
    <n v="0.11288408648674668"/>
    <s v="Healthy"/>
    <s v="Good"/>
    <s v="Medium"/>
    <s v="High"/>
    <x v="1"/>
    <s v="Medium"/>
  </r>
  <r>
    <n v="25191"/>
    <n v="50"/>
    <s v="Self employed"/>
    <x v="0"/>
    <n v="7840.29"/>
    <n v="7840.29"/>
    <n v="7282.47"/>
    <n v="7282.47"/>
    <n v="48"/>
    <n v="17.329999999999998"/>
    <n v="3"/>
    <n v="3"/>
    <n v="8.5"/>
    <n v="8.5"/>
    <m/>
    <s v="NULL"/>
    <s v="Non-Performing"/>
    <s v="Non-Performing"/>
    <x v="3"/>
    <n v="1.9351085865446305E-2"/>
    <s v="Healthy"/>
    <s v="NULL"/>
    <s v="Small"/>
    <s v="Medium"/>
    <x v="0"/>
    <s v="Medium"/>
  </r>
  <r>
    <n v="22529"/>
    <n v="38"/>
    <s v="Salaried"/>
    <x v="2"/>
    <n v="3409.14"/>
    <n v="3409.14"/>
    <n v="38132.26"/>
    <n v="38132.26"/>
    <n v="48"/>
    <n v="25.47"/>
    <m/>
    <s v="NULL"/>
    <n v="5.0999999999999996"/>
    <n v="5.0999999999999996"/>
    <n v="30"/>
    <n v="30"/>
    <s v="Non-Performing"/>
    <s v="Non-Performing"/>
    <x v="0"/>
    <n v="0.2330271221872183"/>
    <s v="Healthy"/>
    <s v="At Risk"/>
    <s v="High"/>
    <s v="High"/>
    <x v="0"/>
    <s v="Medium"/>
  </r>
  <r>
    <n v="23752"/>
    <n v="61"/>
    <s v="Self-Employed"/>
    <x v="0"/>
    <n v="3641.87"/>
    <n v="3641.87"/>
    <n v="15048.07"/>
    <n v="15048.07"/>
    <n v="48"/>
    <n v="16.579999999999998"/>
    <n v="1"/>
    <n v="1"/>
    <n v="8.4"/>
    <n v="8.4"/>
    <n v="30"/>
    <n v="30"/>
    <s v="Non-Performing"/>
    <s v="Non-Performing"/>
    <x v="4"/>
    <n v="8.6082550539512206E-2"/>
    <s v="Healthy"/>
    <s v="At Risk"/>
    <s v="Medium"/>
    <s v="Medium"/>
    <x v="0"/>
    <s v="Medium"/>
  </r>
  <r>
    <n v="22431"/>
    <n v="64"/>
    <s v="Self employed"/>
    <x v="0"/>
    <n v="4410"/>
    <n v="4410"/>
    <n v="14844.96"/>
    <n v="14844.96"/>
    <n v="48"/>
    <n v="21.01"/>
    <n v="1"/>
    <n v="1"/>
    <n v="9.3000000000000007"/>
    <n v="9.3000000000000007"/>
    <n v="0"/>
    <n v="0"/>
    <s v="Performing "/>
    <s v="Performing "/>
    <x v="1"/>
    <n v="7.0129251700680267E-2"/>
    <s v="Healthy"/>
    <s v="Good"/>
    <s v="Medium"/>
    <s v="Medium"/>
    <x v="1"/>
    <s v="Medium"/>
  </r>
  <r>
    <n v="20660"/>
    <n v="22"/>
    <s v="Salaried "/>
    <x v="2"/>
    <n v="3839.38"/>
    <n v="3839.38"/>
    <n v="24290.53"/>
    <n v="24290.53"/>
    <n v="6"/>
    <n v="17.239999999999998"/>
    <n v="2"/>
    <n v="2"/>
    <n v="7"/>
    <n v="7"/>
    <n v="30"/>
    <n v="30"/>
    <s v="Non-Performing"/>
    <s v="Non-Performing"/>
    <x v="0"/>
    <n v="1.0544467249052365"/>
    <s v="High Stress"/>
    <s v="At Risk"/>
    <s v="Medium"/>
    <s v="High"/>
    <x v="0"/>
    <s v="Medium"/>
  </r>
  <r>
    <n v="22280"/>
    <n v="59"/>
    <s v="Self-Employed"/>
    <x v="0"/>
    <n v="2186.73"/>
    <n v="2186.73"/>
    <n v="22549.21"/>
    <n v="22549.21"/>
    <n v="18"/>
    <n v="12.85"/>
    <n v="0"/>
    <n v="0"/>
    <n v="4.3"/>
    <n v="4.3"/>
    <n v="120"/>
    <n v="120"/>
    <s v="Written Off"/>
    <s v="Written Off"/>
    <x v="1"/>
    <n v="0.57288000296739372"/>
    <s v="High Stress"/>
    <s v="High Risk"/>
    <s v="Medium"/>
    <s v="Medium"/>
    <x v="0"/>
    <s v="Medium"/>
  </r>
  <r>
    <n v="21945"/>
    <n v="33"/>
    <s v="Contract"/>
    <x v="1"/>
    <n v="3739.69"/>
    <n v="3739.69"/>
    <n v="10754.51"/>
    <n v="10754.51"/>
    <n v="24"/>
    <n v="12.48"/>
    <n v="4"/>
    <n v="4"/>
    <n v="2.4"/>
    <n v="2.4"/>
    <n v="30"/>
    <n v="30"/>
    <s v="Performing"/>
    <s v="Performing"/>
    <x v="3"/>
    <n v="0.11982399164993178"/>
    <s v="Healthy"/>
    <s v="At Risk"/>
    <s v="Medium"/>
    <s v="Low"/>
    <x v="0"/>
    <s v="Medium"/>
  </r>
  <r>
    <n v="24268"/>
    <n v="39"/>
    <s v="Contract"/>
    <x v="1"/>
    <n v="-1500"/>
    <n v="1500"/>
    <n v="19407.580000000002"/>
    <n v="19407.580000000002"/>
    <n v="18"/>
    <n v="13.18"/>
    <n v="4"/>
    <n v="4"/>
    <n v="6.5"/>
    <n v="6.5"/>
    <n v="60"/>
    <n v="60"/>
    <s v="Non performing"/>
    <s v="Non-Performing"/>
    <x v="2"/>
    <n v="0.71879925925925936"/>
    <s v="High Stress"/>
    <s v="High Risk"/>
    <s v="Medium"/>
    <s v="Low"/>
    <x v="2"/>
    <s v="Low"/>
  </r>
  <r>
    <n v="25053"/>
    <n v="37"/>
    <s v="Unemployed"/>
    <x v="3"/>
    <n v="3373.97"/>
    <n v="3373.97"/>
    <n v="14023.02"/>
    <n v="14023.02"/>
    <n v="18"/>
    <n v="24.01"/>
    <n v="1"/>
    <n v="1"/>
    <n v="8.1999999999999993"/>
    <n v="8.1999999999999993"/>
    <n v="60"/>
    <n v="60"/>
    <s v="Performing"/>
    <s v="Performing"/>
    <x v="2"/>
    <n v="0.23090207283012792"/>
    <s v="Healthy"/>
    <s v="High Risk"/>
    <s v="Medium"/>
    <s v="Low"/>
    <x v="0"/>
    <s v="Medium"/>
  </r>
  <r>
    <n v="22134"/>
    <n v="31"/>
    <s v="Self employed"/>
    <x v="0"/>
    <n v="5125.67"/>
    <n v="5125.67"/>
    <n v="26908.55"/>
    <n v="26908.55"/>
    <n v="24"/>
    <n v="17.05"/>
    <n v="2"/>
    <n v="2"/>
    <n v="7.5"/>
    <n v="7.5"/>
    <n v="120"/>
    <n v="120"/>
    <s v="Performing"/>
    <s v="Performing"/>
    <x v="4"/>
    <n v="0.21874010291987844"/>
    <s v="Healthy"/>
    <s v="High Risk"/>
    <s v="Medium"/>
    <s v="Medium"/>
    <x v="0"/>
    <s v="Medium"/>
  </r>
  <r>
    <n v="23959"/>
    <n v="22"/>
    <s v="Self employed"/>
    <x v="0"/>
    <n v="3203.46"/>
    <n v="3203.46"/>
    <n v="33607.25"/>
    <n v="33607.25"/>
    <n v="12"/>
    <n v="24.64"/>
    <n v="2"/>
    <n v="2"/>
    <n v="9.6"/>
    <n v="9.6"/>
    <n v="0"/>
    <n v="0"/>
    <s v="Written Off"/>
    <s v="Written Off"/>
    <x v="0"/>
    <n v="0.87424352627055324"/>
    <s v="High Stress"/>
    <s v="Good"/>
    <s v="High"/>
    <s v="Medium"/>
    <x v="0"/>
    <s v="Medium"/>
  </r>
  <r>
    <n v="24476"/>
    <n v="49"/>
    <s v="Unemployed"/>
    <x v="3"/>
    <n v="4608.58"/>
    <n v="4608.58"/>
    <n v="37342.03"/>
    <n v="37342.03"/>
    <n v="6"/>
    <n v="9.26"/>
    <m/>
    <s v="NULL"/>
    <n v="-0.1"/>
    <n v="0.1"/>
    <n v="0"/>
    <n v="0"/>
    <s v="Performing "/>
    <s v="Performing "/>
    <x v="0"/>
    <n v="1.3504532126309332"/>
    <s v="High Stress"/>
    <s v="Good"/>
    <s v="High"/>
    <s v="Low"/>
    <x v="0"/>
    <s v="Medium"/>
  </r>
  <r>
    <n v="21186"/>
    <n v="39"/>
    <s v="Unemployed"/>
    <x v="3"/>
    <n v="6769.87"/>
    <n v="6769.87"/>
    <n v="22899.39"/>
    <n v="22899.39"/>
    <n v="12"/>
    <n v="22.8"/>
    <n v="1"/>
    <n v="1"/>
    <n v="-0.5"/>
    <n v="0.5"/>
    <n v="0"/>
    <n v="0"/>
    <s v="Non performing"/>
    <s v="Non-Performing"/>
    <x v="3"/>
    <n v="0.28187875099521853"/>
    <s v="Healthy"/>
    <s v="Good"/>
    <s v="Medium"/>
    <s v="Low"/>
    <x v="0"/>
    <s v="Medium"/>
  </r>
  <r>
    <n v="20734"/>
    <n v="24"/>
    <s v="Salaried"/>
    <x v="2"/>
    <n v="5131.87"/>
    <n v="5131.87"/>
    <n v="30882.25"/>
    <n v="30882.25"/>
    <n v="12"/>
    <n v="25.78"/>
    <n v="3"/>
    <n v="3"/>
    <n v="4.2"/>
    <n v="4.2"/>
    <m/>
    <s v="NULL"/>
    <s v="Non performing"/>
    <s v="Non-Performing"/>
    <x v="3"/>
    <n v="0.50147818111786413"/>
    <s v="High Stress"/>
    <s v="NULL"/>
    <s v="High"/>
    <s v="High"/>
    <x v="0"/>
    <s v="Medium"/>
  </r>
  <r>
    <n v="24747"/>
    <n v="56"/>
    <s v="Unemployed"/>
    <x v="3"/>
    <n v="2031.83"/>
    <n v="2031.83"/>
    <n v="-7289.5"/>
    <n v="7289.5"/>
    <n v="24"/>
    <n v="15.74"/>
    <n v="1"/>
    <n v="1"/>
    <n v="3.7"/>
    <n v="3.7"/>
    <n v="30"/>
    <n v="30"/>
    <s v="Performing "/>
    <s v="Performing "/>
    <x v="1"/>
    <n v="0.14948552126244158"/>
    <s v="Healthy"/>
    <s v="At Risk"/>
    <s v="Small"/>
    <s v="Low"/>
    <x v="0"/>
    <s v="Medium"/>
  </r>
  <r>
    <n v="23519"/>
    <n v="44"/>
    <s v="Self employed"/>
    <x v="0"/>
    <n v="6462.18"/>
    <n v="6462.18"/>
    <n v="17019.400000000001"/>
    <n v="17019.400000000001"/>
    <n v="6"/>
    <n v="22.65"/>
    <n v="4"/>
    <n v="4"/>
    <n v="4.8"/>
    <n v="4.8"/>
    <m/>
    <s v="NULL"/>
    <s v="Performing"/>
    <s v="Performing"/>
    <x v="0"/>
    <n v="0.43894887896447743"/>
    <s v="Stretched"/>
    <s v="NULL"/>
    <s v="Medium"/>
    <s v="Medium"/>
    <x v="0"/>
    <s v="Medium"/>
  </r>
  <r>
    <n v="25051"/>
    <n v="62"/>
    <s v="Salaried"/>
    <x v="2"/>
    <n v="7088.65"/>
    <n v="7088.65"/>
    <n v="26547.599999999999"/>
    <n v="26547.599999999999"/>
    <n v="48"/>
    <n v="25.35"/>
    <n v="3"/>
    <n v="3"/>
    <n v="7.3"/>
    <n v="7.3"/>
    <n v="0"/>
    <n v="0"/>
    <s v="Written Off"/>
    <s v="Written Off"/>
    <x v="2"/>
    <n v="7.8022613614722139E-2"/>
    <s v="Healthy"/>
    <s v="Good"/>
    <s v="Medium"/>
    <s v="High"/>
    <x v="1"/>
    <s v="Medium"/>
  </r>
  <r>
    <n v="22809"/>
    <n v="18"/>
    <s v="Unemployed"/>
    <x v="3"/>
    <n v="6088.02"/>
    <n v="6088.02"/>
    <n v="22155.18"/>
    <n v="22155.18"/>
    <n v="60"/>
    <n v="18.03"/>
    <n v="4"/>
    <n v="4"/>
    <n v="2.7"/>
    <n v="2.7"/>
    <n v="0"/>
    <n v="0"/>
    <s v="Performing "/>
    <s v="Performing "/>
    <x v="4"/>
    <n v="6.0652396017095871E-2"/>
    <s v="Healthy"/>
    <s v="Good"/>
    <s v="Medium"/>
    <s v="Low"/>
    <x v="0"/>
    <s v="Medium"/>
  </r>
  <r>
    <n v="22650"/>
    <n v="46"/>
    <s v="Self-Employed"/>
    <x v="0"/>
    <n v="2290.25"/>
    <n v="2290.25"/>
    <n v="30958.29"/>
    <n v="30958.29"/>
    <n v="6"/>
    <n v="16.55"/>
    <n v="2"/>
    <n v="2"/>
    <n v="6.3"/>
    <n v="6.3"/>
    <n v="60"/>
    <n v="60"/>
    <s v="Performing"/>
    <s v="Performing"/>
    <x v="0"/>
    <n v="2.2529047047265585"/>
    <s v="High Stress"/>
    <s v="High Risk"/>
    <s v="High"/>
    <s v="Medium"/>
    <x v="0"/>
    <s v="Medium"/>
  </r>
  <r>
    <n v="22261"/>
    <n v="58"/>
    <s v="Self employed"/>
    <x v="0"/>
    <n v="7929.43"/>
    <n v="7929.43"/>
    <n v="22182.94"/>
    <n v="22182.94"/>
    <n v="60"/>
    <n v="24.31"/>
    <n v="1"/>
    <n v="1"/>
    <n v="1.9"/>
    <n v="1.9"/>
    <n v="0"/>
    <n v="0"/>
    <s v="Performing "/>
    <s v="Performing "/>
    <x v="4"/>
    <n v="4.6625755781521068E-2"/>
    <s v="Healthy"/>
    <s v="Good"/>
    <s v="Medium"/>
    <s v="Medium"/>
    <x v="1"/>
    <s v="Medium"/>
  </r>
  <r>
    <n v="23823"/>
    <n v="45"/>
    <s v="Unemployed"/>
    <x v="3"/>
    <n v="-1500"/>
    <n v="1500"/>
    <n v="7451.02"/>
    <n v="7451.02"/>
    <n v="24"/>
    <n v="11.56"/>
    <n v="3"/>
    <n v="3"/>
    <n v="8.8000000000000007"/>
    <n v="8.8000000000000007"/>
    <n v="0"/>
    <n v="0"/>
    <s v="Written Off"/>
    <s v="Written Off"/>
    <x v="1"/>
    <n v="0.20697277777777778"/>
    <s v="Healthy"/>
    <s v="Good"/>
    <s v="Small"/>
    <s v="Low"/>
    <x v="0"/>
    <s v="Low"/>
  </r>
  <r>
    <n v="23608"/>
    <n v="25"/>
    <s v="Self employed"/>
    <x v="0"/>
    <n v="5890.14"/>
    <n v="5890.14"/>
    <n v="11213.05"/>
    <n v="11213.05"/>
    <n v="18"/>
    <n v="15.53"/>
    <n v="3"/>
    <n v="3"/>
    <n v="13"/>
    <n v="13"/>
    <n v="120"/>
    <n v="120"/>
    <s v="Performing"/>
    <s v="Performing"/>
    <x v="3"/>
    <n v="0.10576102133773088"/>
    <s v="Healthy"/>
    <s v="High Risk"/>
    <s v="Medium"/>
    <s v="Medium"/>
    <x v="0"/>
    <s v="Medium"/>
  </r>
  <r>
    <n v="23588"/>
    <n v="22"/>
    <s v="Unemployed"/>
    <x v="3"/>
    <n v="2015.04"/>
    <n v="2015.04"/>
    <n v="25855.35"/>
    <n v="25855.35"/>
    <n v="60"/>
    <n v="18.52"/>
    <n v="3"/>
    <n v="3"/>
    <m/>
    <s v="NULL"/>
    <n v="30"/>
    <n v="30"/>
    <s v="Performing "/>
    <s v="Performing "/>
    <x v="0"/>
    <n v="0.21385307487692551"/>
    <s v="Healthy"/>
    <s v="At Risk"/>
    <s v="Medium"/>
    <s v="Low"/>
    <x v="0"/>
    <s v="Medium"/>
  </r>
  <r>
    <n v="20791"/>
    <n v="28"/>
    <s v="Unemployed"/>
    <x v="3"/>
    <n v="6363.13"/>
    <n v="6363.13"/>
    <n v="5453.36"/>
    <n v="5453.36"/>
    <n v="18"/>
    <n v="16.84"/>
    <n v="1"/>
    <n v="1"/>
    <n v="7.2"/>
    <n v="7.2"/>
    <n v="0"/>
    <n v="0"/>
    <s v="Performing "/>
    <s v="Performing "/>
    <x v="0"/>
    <n v="4.7612487006307339E-2"/>
    <s v="Healthy"/>
    <s v="Good"/>
    <s v="Small"/>
    <s v="Low"/>
    <x v="0"/>
    <s v="Medium"/>
  </r>
  <r>
    <n v="24967"/>
    <n v="40"/>
    <s v="Salaried"/>
    <x v="2"/>
    <n v="6801.44"/>
    <n v="6801.44"/>
    <n v="24507.51"/>
    <n v="24507.51"/>
    <n v="48"/>
    <n v="7.95"/>
    <n v="2"/>
    <n v="2"/>
    <n v="14"/>
    <n v="14"/>
    <n v="30"/>
    <n v="30"/>
    <s v="Non-Performing"/>
    <s v="Non-Performing"/>
    <x v="4"/>
    <n v="7.506838625349925E-2"/>
    <s v="Healthy"/>
    <s v="At Risk"/>
    <s v="Medium"/>
    <s v="High"/>
    <x v="0"/>
    <s v="Medium"/>
  </r>
  <r>
    <n v="25214"/>
    <n v="48"/>
    <s v="Salaried "/>
    <x v="2"/>
    <n v="7790.37"/>
    <n v="7790.37"/>
    <n v="27193.85"/>
    <n v="27193.85"/>
    <n v="36"/>
    <n v="25.28"/>
    <m/>
    <s v="NULL"/>
    <n v="6.5"/>
    <n v="6.5"/>
    <n v="0"/>
    <n v="0"/>
    <s v="Performing "/>
    <s v="Performing "/>
    <x v="1"/>
    <n v="9.6963908289621953E-2"/>
    <s v="Healthy"/>
    <s v="Good"/>
    <s v="Medium"/>
    <s v="High"/>
    <x v="1"/>
    <s v="Medium"/>
  </r>
  <r>
    <n v="22134"/>
    <n v="30"/>
    <s v="Unemployed"/>
    <x v="3"/>
    <n v="4161.24"/>
    <n v="4161.24"/>
    <n v="25401.94"/>
    <n v="25401.94"/>
    <n v="12"/>
    <n v="13.39"/>
    <n v="0"/>
    <n v="0"/>
    <n v="9.6999999999999993"/>
    <n v="9.6999999999999993"/>
    <n v="0"/>
    <n v="0"/>
    <s v="Written Off"/>
    <s v="Written Off"/>
    <x v="1"/>
    <n v="0.50870133261559858"/>
    <s v="High Stress"/>
    <s v="Good"/>
    <s v="Medium"/>
    <s v="Low"/>
    <x v="0"/>
    <s v="Medium"/>
  </r>
  <r>
    <n v="20458"/>
    <n v="48"/>
    <s v="Contract"/>
    <x v="1"/>
    <n v="4218.8599999999997"/>
    <n v="4218.8599999999997"/>
    <n v="14828.96"/>
    <n v="14828.96"/>
    <n v="18"/>
    <n v="22.06"/>
    <n v="0"/>
    <n v="0"/>
    <n v="6.7"/>
    <n v="6.7"/>
    <n v="120"/>
    <n v="120"/>
    <s v="Non performing"/>
    <s v="Non-Performing"/>
    <x v="3"/>
    <n v="0.19527339402376734"/>
    <s v="Healthy"/>
    <s v="High Risk"/>
    <s v="Medium"/>
    <s v="Low"/>
    <x v="0"/>
    <s v="Medium"/>
  </r>
  <r>
    <n v="24419"/>
    <n v="40"/>
    <s v="Unemployed"/>
    <x v="3"/>
    <n v="3359.75"/>
    <n v="3359.75"/>
    <n v="6197.51"/>
    <n v="6197.51"/>
    <n v="24"/>
    <n v="15.79"/>
    <n v="2"/>
    <n v="2"/>
    <n v="7.7"/>
    <n v="7.7"/>
    <n v="90"/>
    <n v="90"/>
    <s v="Performing "/>
    <s v="Performing "/>
    <x v="3"/>
    <n v="7.6859761390976514E-2"/>
    <s v="Healthy"/>
    <s v="High Risk"/>
    <s v="Small"/>
    <s v="Low"/>
    <x v="0"/>
    <s v="Medium"/>
  </r>
  <r>
    <n v="24696"/>
    <n v="29"/>
    <s v="Contract"/>
    <x v="1"/>
    <n v="5165.32"/>
    <n v="5165.32"/>
    <n v="17557.02"/>
    <n v="17557.02"/>
    <n v="36"/>
    <n v="24.02"/>
    <n v="1"/>
    <n v="1"/>
    <n v="13.1"/>
    <n v="13.1"/>
    <n v="120"/>
    <n v="120"/>
    <s v="Non-Performing"/>
    <s v="Non-Performing"/>
    <x v="1"/>
    <n v="9.4417190028884962E-2"/>
    <s v="Healthy"/>
    <s v="High Risk"/>
    <s v="Medium"/>
    <s v="Low"/>
    <x v="0"/>
    <s v="Medium"/>
  </r>
  <r>
    <n v="22111"/>
    <n v="34"/>
    <s v="Salaried "/>
    <x v="2"/>
    <n v="4707.6000000000004"/>
    <n v="4707.6000000000004"/>
    <n v="24037.95"/>
    <n v="24037.95"/>
    <n v="24"/>
    <n v="24.51"/>
    <n v="4"/>
    <n v="4"/>
    <n v="-1.5"/>
    <n v="1.5"/>
    <m/>
    <s v="NULL"/>
    <s v="Performing "/>
    <s v="Performing "/>
    <x v="4"/>
    <n v="0.21275835882402921"/>
    <s v="Healthy"/>
    <s v="NULL"/>
    <s v="Medium"/>
    <s v="High"/>
    <x v="0"/>
    <s v="Medium"/>
  </r>
  <r>
    <n v="24983"/>
    <n v="37"/>
    <s v="Self employed"/>
    <x v="0"/>
    <n v="5329.87"/>
    <n v="5329.87"/>
    <n v="34111.65"/>
    <n v="34111.65"/>
    <n v="60"/>
    <n v="55"/>
    <n v="1"/>
    <n v="1"/>
    <n v="-4.4000000000000004"/>
    <n v="4.4000000000000004"/>
    <n v="90"/>
    <n v="90"/>
    <s v="Performing"/>
    <s v="Performing"/>
    <x v="1"/>
    <n v="0.10666817389542334"/>
    <s v="Healthy"/>
    <s v="High Risk"/>
    <s v="High"/>
    <s v="Medium"/>
    <x v="0"/>
    <s v="Medium"/>
  </r>
  <r>
    <n v="22508"/>
    <n v="35"/>
    <s v="Contract"/>
    <x v="1"/>
    <n v="2405.23"/>
    <n v="2405.23"/>
    <n v="11209.13"/>
    <n v="11209.13"/>
    <n v="60"/>
    <n v="17.059999999999999"/>
    <n v="3"/>
    <n v="3"/>
    <n v="12.4"/>
    <n v="12.4"/>
    <n v="0"/>
    <n v="0"/>
    <s v="Written Off"/>
    <s v="Written Off"/>
    <x v="2"/>
    <n v="7.7671920495475832E-2"/>
    <s v="Healthy"/>
    <s v="Good"/>
    <s v="Medium"/>
    <s v="Low"/>
    <x v="0"/>
    <s v="Medium"/>
  </r>
  <r>
    <n v="20868"/>
    <n v="30"/>
    <s v="Unemployed"/>
    <x v="3"/>
    <n v="5848.75"/>
    <n v="5848.75"/>
    <n v="17110.37"/>
    <n v="17110.37"/>
    <n v="48"/>
    <n v="17.61"/>
    <n v="4"/>
    <n v="4"/>
    <n v="3.1"/>
    <n v="3.1"/>
    <n v="0"/>
    <n v="0"/>
    <s v="Written Off"/>
    <s v="Written Off"/>
    <x v="4"/>
    <n v="6.0947389043242851E-2"/>
    <s v="Healthy"/>
    <s v="Good"/>
    <s v="Medium"/>
    <s v="Low"/>
    <x v="0"/>
    <s v="Medium"/>
  </r>
  <r>
    <n v="22543"/>
    <n v="35"/>
    <s v="Salaried "/>
    <x v="2"/>
    <n v="5657.08"/>
    <n v="5657.08"/>
    <n v="22555.95"/>
    <n v="22555.95"/>
    <n v="60"/>
    <n v="12.98"/>
    <n v="4"/>
    <n v="4"/>
    <n v="12.1"/>
    <n v="12.1"/>
    <n v="0"/>
    <n v="0"/>
    <s v="Written Off"/>
    <s v="Written Off"/>
    <x v="0"/>
    <n v="6.6453453018164854E-2"/>
    <s v="Healthy"/>
    <s v="Good"/>
    <s v="Medium"/>
    <s v="High"/>
    <x v="1"/>
    <s v="Medium"/>
  </r>
  <r>
    <n v="22848"/>
    <n v="48"/>
    <s v="Self employed"/>
    <x v="0"/>
    <n v="541.64"/>
    <n v="541.64"/>
    <n v="25277.72"/>
    <n v="25277.72"/>
    <n v="12"/>
    <n v="13.72"/>
    <n v="3"/>
    <n v="3"/>
    <n v="4.4000000000000004"/>
    <n v="4.4000000000000004"/>
    <n v="60"/>
    <n v="60"/>
    <s v="Performing "/>
    <s v="Performing "/>
    <x v="1"/>
    <n v="3.8890714619796669"/>
    <s v="High Stress"/>
    <s v="High Risk"/>
    <s v="Medium"/>
    <s v="Medium"/>
    <x v="0"/>
    <s v="Low"/>
  </r>
  <r>
    <n v="24605"/>
    <n v="48"/>
    <s v="Self-Employed"/>
    <x v="0"/>
    <n v="6316.83"/>
    <n v="6316.83"/>
    <n v="19934.22"/>
    <n v="19934.22"/>
    <n v="6"/>
    <n v="21.1"/>
    <n v="3"/>
    <n v="3"/>
    <n v="4.3"/>
    <n v="4.3"/>
    <n v="60"/>
    <n v="60"/>
    <s v="Non performing"/>
    <s v="Non-Performing"/>
    <x v="1"/>
    <n v="0.5259552655366696"/>
    <s v="High Stress"/>
    <s v="High Risk"/>
    <s v="Medium"/>
    <s v="Medium"/>
    <x v="0"/>
    <s v="Medium"/>
  </r>
  <r>
    <n v="20619"/>
    <n v="39"/>
    <s v="Self employed"/>
    <x v="0"/>
    <n v="5494.49"/>
    <n v="5494.49"/>
    <n v="24185.09"/>
    <n v="24185.09"/>
    <n v="12"/>
    <n v="15.97"/>
    <n v="2"/>
    <n v="2"/>
    <m/>
    <s v="NULL"/>
    <n v="0"/>
    <n v="0"/>
    <s v="Performing "/>
    <s v="Performing "/>
    <x v="2"/>
    <n v="0.36680823273254959"/>
    <s v="Stretched"/>
    <s v="Good"/>
    <s v="Medium"/>
    <s v="Medium"/>
    <x v="0"/>
    <s v="Medium"/>
  </r>
  <r>
    <n v="22981"/>
    <n v="58"/>
    <s v="Unemployed"/>
    <x v="3"/>
    <n v="6933.44"/>
    <n v="6933.44"/>
    <n v="35542.49"/>
    <n v="35542.49"/>
    <n v="18"/>
    <n v="20.82"/>
    <n v="4"/>
    <n v="4"/>
    <n v="3.6"/>
    <n v="3.6"/>
    <n v="30"/>
    <n v="30"/>
    <s v="Performing"/>
    <s v="Performing"/>
    <x v="4"/>
    <n v="0.28479121154546339"/>
    <s v="Healthy"/>
    <s v="At Risk"/>
    <s v="High"/>
    <s v="Low"/>
    <x v="0"/>
    <s v="Medium"/>
  </r>
  <r>
    <n v="22847"/>
    <n v="44"/>
    <s v="Unemployed"/>
    <x v="3"/>
    <n v="8043.6"/>
    <n v="8043.6"/>
    <n v="21482.41"/>
    <n v="21482.41"/>
    <n v="24"/>
    <n v="18.12"/>
    <n v="2"/>
    <n v="2"/>
    <n v="9.9"/>
    <n v="9.9"/>
    <m/>
    <s v="NULL"/>
    <s v="Performing"/>
    <s v="Performing"/>
    <x v="1"/>
    <n v="0.11128107025046827"/>
    <s v="Healthy"/>
    <s v="NULL"/>
    <s v="Medium"/>
    <s v="Low"/>
    <x v="0"/>
    <s v="High"/>
  </r>
  <r>
    <n v="24496"/>
    <n v="43"/>
    <s v="Contract"/>
    <x v="1"/>
    <n v="3031.86"/>
    <n v="3031.86"/>
    <n v="25072.69"/>
    <n v="25072.69"/>
    <n v="6"/>
    <n v="12.15"/>
    <m/>
    <s v="NULL"/>
    <n v="7.2"/>
    <n v="7.2"/>
    <n v="30"/>
    <n v="30"/>
    <s v="Non-Performing"/>
    <s v="Non-Performing"/>
    <x v="2"/>
    <n v="1.3782897847086166"/>
    <s v="High Stress"/>
    <s v="At Risk"/>
    <s v="Medium"/>
    <s v="Low"/>
    <x v="0"/>
    <s v="Medium"/>
  </r>
  <r>
    <n v="23856"/>
    <n v="53"/>
    <s v="Salaried"/>
    <x v="2"/>
    <n v="-1500"/>
    <n v="1500"/>
    <n v="23743.360000000001"/>
    <n v="23743.360000000001"/>
    <n v="48"/>
    <n v="22.31"/>
    <n v="2"/>
    <n v="2"/>
    <n v="9.8000000000000007"/>
    <n v="9.8000000000000007"/>
    <n v="15"/>
    <n v="15"/>
    <s v="Written Off"/>
    <s v="Written Off"/>
    <x v="1"/>
    <n v="0.32976888888888889"/>
    <s v="Stretched"/>
    <s v="Good"/>
    <s v="Medium"/>
    <s v="High"/>
    <x v="0"/>
    <s v="Low"/>
  </r>
  <r>
    <n v="25516"/>
    <n v="55"/>
    <s v="Self-Employed"/>
    <x v="0"/>
    <n v="4471.6099999999997"/>
    <n v="4471.6099999999997"/>
    <n v="18998.32"/>
    <n v="18998.32"/>
    <n v="60"/>
    <n v="14.55"/>
    <n v="1"/>
    <n v="1"/>
    <n v="3"/>
    <n v="3"/>
    <m/>
    <s v="NULL"/>
    <s v="Performing "/>
    <s v="Performing "/>
    <x v="2"/>
    <n v="7.0810886161062056E-2"/>
    <s v="Healthy"/>
    <s v="NULL"/>
    <s v="Medium"/>
    <s v="Medium"/>
    <x v="0"/>
    <s v="Medium"/>
  </r>
  <r>
    <n v="21738"/>
    <n v="53"/>
    <s v="Self employed"/>
    <x v="0"/>
    <n v="8690.5300000000007"/>
    <n v="8690.5300000000007"/>
    <n v="18694.509999999998"/>
    <n v="18694.509999999998"/>
    <n v="6"/>
    <n v="13.12"/>
    <n v="0"/>
    <n v="0"/>
    <n v="0"/>
    <n v="0"/>
    <n v="60"/>
    <n v="60"/>
    <s v="Non-Performing"/>
    <s v="Non-Performing"/>
    <x v="1"/>
    <n v="0.35852262942152735"/>
    <s v="Stretched"/>
    <s v="High Risk"/>
    <s v="Medium"/>
    <s v="Medium"/>
    <x v="0"/>
    <s v="High"/>
  </r>
  <r>
    <n v="21572"/>
    <n v="28"/>
    <s v="Self-Employed"/>
    <x v="0"/>
    <n v="2405.44"/>
    <n v="2405.44"/>
    <n v="17715.7"/>
    <n v="17715.7"/>
    <n v="6"/>
    <n v="13.72"/>
    <n v="1"/>
    <n v="1"/>
    <n v="6.3"/>
    <n v="6.3"/>
    <n v="30"/>
    <n v="30"/>
    <s v="Non-Performing"/>
    <s v="Non-Performing"/>
    <x v="1"/>
    <n v="1.2274746685291118"/>
    <s v="High Stress"/>
    <s v="At Risk"/>
    <s v="Medium"/>
    <s v="Medium"/>
    <x v="0"/>
    <s v="Medium"/>
  </r>
  <r>
    <n v="20657"/>
    <n v="64"/>
    <s v="Contract"/>
    <x v="1"/>
    <n v="4326.4399999999996"/>
    <n v="4326.4399999999996"/>
    <n v="26419.33"/>
    <n v="26419.33"/>
    <n v="12"/>
    <n v="17.329999999999998"/>
    <n v="3"/>
    <n v="3"/>
    <n v="4.4000000000000004"/>
    <n v="4.4000000000000004"/>
    <n v="30"/>
    <n v="30"/>
    <s v="Performing "/>
    <s v="Performing "/>
    <x v="2"/>
    <n v="0.50887353882946107"/>
    <s v="High Stress"/>
    <s v="At Risk"/>
    <s v="Medium"/>
    <s v="Low"/>
    <x v="0"/>
    <s v="Medium"/>
  </r>
  <r>
    <n v="22354"/>
    <n v="50"/>
    <s v="Self-Employed"/>
    <x v="0"/>
    <n v="6709.15"/>
    <n v="6709.15"/>
    <n v="28489.48"/>
    <n v="28489.48"/>
    <n v="36"/>
    <n v="22.01"/>
    <n v="1"/>
    <n v="1"/>
    <n v="0.3"/>
    <n v="0.3"/>
    <m/>
    <s v="NULL"/>
    <s v="Performing"/>
    <s v="Performing"/>
    <x v="0"/>
    <n v="0.11795450160518761"/>
    <s v="Healthy"/>
    <s v="NULL"/>
    <s v="Medium"/>
    <s v="Medium"/>
    <x v="0"/>
    <s v="Medium"/>
  </r>
  <r>
    <n v="25281"/>
    <n v="31"/>
    <s v="Self-Employed"/>
    <x v="0"/>
    <n v="3448.07"/>
    <n v="3448.07"/>
    <n v="1393.01"/>
    <n v="1393.01"/>
    <n v="24"/>
    <n v="20.7"/>
    <n v="2"/>
    <n v="2"/>
    <n v="10.3"/>
    <n v="10.3"/>
    <n v="90"/>
    <n v="90"/>
    <s v="Performing"/>
    <s v="Performing"/>
    <x v="0"/>
    <n v="1.6833209109250489E-2"/>
    <s v="Healthy"/>
    <s v="High Risk"/>
    <s v="Small"/>
    <s v="Medium"/>
    <x v="0"/>
    <s v="Medium"/>
  </r>
  <r>
    <n v="21677"/>
    <n v="45"/>
    <s v="Self-Employed"/>
    <x v="0"/>
    <n v="6503.54"/>
    <n v="6503.54"/>
    <n v="21148.89"/>
    <n v="21148.89"/>
    <n v="48"/>
    <n v="18.670000000000002"/>
    <m/>
    <s v="NULL"/>
    <n v="12.9"/>
    <n v="12.9"/>
    <n v="90"/>
    <n v="90"/>
    <s v="Performing"/>
    <s v="Performing"/>
    <x v="1"/>
    <n v="6.7748007239134378E-2"/>
    <s v="Healthy"/>
    <s v="High Risk"/>
    <s v="Medium"/>
    <s v="Medium"/>
    <x v="0"/>
    <s v="Medium"/>
  </r>
  <r>
    <n v="21487"/>
    <n v="56"/>
    <s v="Salaried"/>
    <x v="2"/>
    <n v="4937.47"/>
    <n v="4937.47"/>
    <n v="14011.09"/>
    <n v="14011.09"/>
    <n v="48"/>
    <n v="20.48"/>
    <n v="4"/>
    <n v="4"/>
    <n v="5.6"/>
    <n v="5.6"/>
    <n v="30"/>
    <n v="30"/>
    <s v="Performing"/>
    <s v="Performing"/>
    <x v="3"/>
    <n v="5.9118882410087219E-2"/>
    <s v="Healthy"/>
    <s v="At Risk"/>
    <s v="Medium"/>
    <s v="High"/>
    <x v="0"/>
    <s v="Medium"/>
  </r>
  <r>
    <n v="23596"/>
    <n v="60"/>
    <s v="Salaried "/>
    <x v="2"/>
    <n v="6332.09"/>
    <n v="6332.09"/>
    <m/>
    <s v="NULL"/>
    <n v="60"/>
    <n v="17.13"/>
    <n v="1"/>
    <n v="1"/>
    <n v="15.2"/>
    <n v="15.2"/>
    <n v="0"/>
    <n v="0"/>
    <s v="Non-Performing"/>
    <s v="Non-Performing"/>
    <x v="3"/>
    <s v="NULL"/>
    <s v="NULL"/>
    <s v="Good"/>
    <s v="High"/>
    <s v="High"/>
    <x v="0"/>
    <s v="Medium"/>
  </r>
  <r>
    <n v="22206"/>
    <n v="61"/>
    <s v="Salaried"/>
    <x v="2"/>
    <n v="6158.32"/>
    <n v="6158.32"/>
    <n v="30323.53"/>
    <n v="30323.53"/>
    <n v="18"/>
    <n v="18.850000000000001"/>
    <m/>
    <s v="NULL"/>
    <n v="14.3"/>
    <n v="14.3"/>
    <n v="0"/>
    <n v="0"/>
    <s v="Non performing"/>
    <s v="Non-Performing"/>
    <x v="4"/>
    <n v="0.27355521563601037"/>
    <s v="Healthy"/>
    <s v="Good"/>
    <s v="High"/>
    <s v="High"/>
    <x v="1"/>
    <s v="Medium"/>
  </r>
  <r>
    <n v="22724"/>
    <n v="40"/>
    <s v="Contract"/>
    <x v="1"/>
    <n v="2968.45"/>
    <n v="2968.45"/>
    <n v="33766.47"/>
    <n v="33766.47"/>
    <n v="18"/>
    <n v="16.190000000000001"/>
    <n v="0"/>
    <n v="0"/>
    <n v="9.1"/>
    <n v="9.1"/>
    <n v="120"/>
    <n v="120"/>
    <s v="Non performing"/>
    <s v="Non-Performing"/>
    <x v="4"/>
    <n v="0.6319510182081558"/>
    <s v="High Stress"/>
    <s v="High Risk"/>
    <s v="High"/>
    <s v="Low"/>
    <x v="2"/>
    <s v="Medium"/>
  </r>
  <r>
    <n v="22515"/>
    <n v="32"/>
    <s v="Unemployed"/>
    <x v="3"/>
    <n v="4787.03"/>
    <n v="4787.03"/>
    <n v="31083.9"/>
    <n v="31083.9"/>
    <n v="48"/>
    <n v="17.14"/>
    <n v="0"/>
    <n v="0"/>
    <n v="6.1"/>
    <n v="6.1"/>
    <n v="90"/>
    <n v="90"/>
    <s v="Non performing"/>
    <s v="Non-Performing"/>
    <x v="3"/>
    <n v="0.13527829363927113"/>
    <s v="Healthy"/>
    <s v="High Risk"/>
    <s v="High"/>
    <s v="Low"/>
    <x v="0"/>
    <s v="Medium"/>
  </r>
  <r>
    <n v="20017"/>
    <n v="21"/>
    <s v="Self employed"/>
    <x v="0"/>
    <n v="1108.17"/>
    <n v="1108.17"/>
    <n v="25080.22"/>
    <n v="25080.22"/>
    <n v="18"/>
    <n v="13"/>
    <m/>
    <s v="NULL"/>
    <n v="16.399999999999999"/>
    <n v="16.399999999999999"/>
    <n v="120"/>
    <n v="120"/>
    <s v="Non performing"/>
    <s v="Non-Performing"/>
    <x v="1"/>
    <n v="1.2573391768009923"/>
    <s v="High Stress"/>
    <s v="High Risk"/>
    <s v="Medium"/>
    <s v="Medium"/>
    <x v="0"/>
    <s v="Low"/>
  </r>
  <r>
    <n v="22478"/>
    <n v="58"/>
    <s v="Self employed"/>
    <x v="0"/>
    <n v="9681.73"/>
    <n v="9681.73"/>
    <n v="27544.6"/>
    <n v="27544.6"/>
    <n v="12"/>
    <n v="8.42"/>
    <n v="1"/>
    <n v="1"/>
    <n v="1.5"/>
    <n v="1.5"/>
    <n v="0"/>
    <n v="0"/>
    <s v="Performing"/>
    <s v="Performing"/>
    <x v="4"/>
    <n v="0.23708400599204205"/>
    <s v="Healthy"/>
    <s v="Good"/>
    <s v="Medium"/>
    <s v="Medium"/>
    <x v="1"/>
    <s v="High"/>
  </r>
  <r>
    <n v="24089"/>
    <n v="51"/>
    <s v="Self-Employed"/>
    <x v="0"/>
    <n v="3406.48"/>
    <n v="3406.48"/>
    <n v="19487.900000000001"/>
    <n v="19487.900000000001"/>
    <n v="60"/>
    <n v="21.34"/>
    <m/>
    <s v="NULL"/>
    <n v="13.3"/>
    <n v="13.3"/>
    <n v="0"/>
    <n v="0"/>
    <s v="Performing "/>
    <s v="Performing "/>
    <x v="3"/>
    <n v="9.5347201020799591E-2"/>
    <s v="Healthy"/>
    <s v="Good"/>
    <s v="Medium"/>
    <s v="Medium"/>
    <x v="1"/>
    <s v="Medium"/>
  </r>
  <r>
    <n v="21908"/>
    <n v="51"/>
    <s v="Self-Employed"/>
    <x v="0"/>
    <n v="3407.35"/>
    <n v="3407.35"/>
    <n v="46288.93"/>
    <n v="46288.93"/>
    <n v="36"/>
    <n v="22.18"/>
    <n v="1"/>
    <n v="1"/>
    <n v="10.3"/>
    <n v="10.3"/>
    <n v="0"/>
    <n v="0"/>
    <s v="Non-Performing"/>
    <s v="Non-Performing"/>
    <x v="1"/>
    <n v="0.37736176533408988"/>
    <s v="Stretched"/>
    <s v="Good"/>
    <s v="High"/>
    <s v="Medium"/>
    <x v="0"/>
    <s v="Medium"/>
  </r>
  <r>
    <n v="21370"/>
    <n v="32"/>
    <s v="Self-Employed"/>
    <x v="0"/>
    <n v="4797.5600000000004"/>
    <n v="4797.5600000000004"/>
    <n v="24489.32"/>
    <n v="24489.32"/>
    <n v="36"/>
    <n v="18.010000000000002"/>
    <n v="3"/>
    <n v="3"/>
    <n v="5.0999999999999996"/>
    <n v="5.0999999999999996"/>
    <m/>
    <s v="NULL"/>
    <s v="Written Off"/>
    <s v="Written Off"/>
    <x v="4"/>
    <n v="0.14179267979741553"/>
    <s v="Healthy"/>
    <s v="NULL"/>
    <s v="Medium"/>
    <s v="Medium"/>
    <x v="0"/>
    <s v="Medium"/>
  </r>
  <r>
    <n v="21187"/>
    <n v="51"/>
    <s v="Unemployed"/>
    <x v="3"/>
    <n v="6202.33"/>
    <n v="6202.33"/>
    <n v="15102.72"/>
    <n v="15102.72"/>
    <n v="48"/>
    <n v="24.84"/>
    <n v="4"/>
    <n v="4"/>
    <n v="9"/>
    <n v="9"/>
    <n v="120"/>
    <n v="120"/>
    <s v="Written Off"/>
    <s v="Written Off"/>
    <x v="3"/>
    <n v="5.0729322690021332E-2"/>
    <s v="Healthy"/>
    <s v="High Risk"/>
    <s v="Medium"/>
    <s v="Low"/>
    <x v="0"/>
    <s v="Medium"/>
  </r>
  <r>
    <n v="22613"/>
    <n v="46"/>
    <s v="Salaried"/>
    <x v="2"/>
    <n v="4550.28"/>
    <n v="4550.28"/>
    <n v="17498.11"/>
    <n v="17498.11"/>
    <n v="18"/>
    <n v="19.93"/>
    <n v="3"/>
    <n v="3"/>
    <n v="8.1"/>
    <n v="8.1"/>
    <n v="15"/>
    <n v="15"/>
    <s v="Non performing"/>
    <s v="Non-Performing"/>
    <x v="2"/>
    <n v="0.21363898973738371"/>
    <s v="Healthy"/>
    <s v="Good"/>
    <s v="Medium"/>
    <s v="High"/>
    <x v="1"/>
    <s v="Medium"/>
  </r>
  <r>
    <n v="25835"/>
    <n v="53"/>
    <s v="Salaried "/>
    <x v="2"/>
    <n v="4840.62"/>
    <n v="4840.62"/>
    <n v="-3700.89"/>
    <n v="3700.89"/>
    <n v="18"/>
    <n v="22.3"/>
    <n v="1"/>
    <n v="1"/>
    <n v="6.3"/>
    <n v="6.3"/>
    <n v="0"/>
    <n v="0"/>
    <s v="Non performing"/>
    <s v="Non-Performing"/>
    <x v="0"/>
    <n v="4.247493089728175E-2"/>
    <s v="Healthy"/>
    <s v="Good"/>
    <s v="Small"/>
    <s v="High"/>
    <x v="1"/>
    <s v="Medium"/>
  </r>
  <r>
    <n v="23164"/>
    <n v="40"/>
    <s v="Contract"/>
    <x v="1"/>
    <n v="-1500"/>
    <n v="1500"/>
    <n v="23986.99"/>
    <n v="23986.99"/>
    <n v="18"/>
    <n v="23.8"/>
    <n v="2"/>
    <n v="2"/>
    <n v="5"/>
    <n v="5"/>
    <n v="60"/>
    <n v="60"/>
    <s v="Performing "/>
    <s v="Performing "/>
    <x v="3"/>
    <n v="0.88840703703703705"/>
    <s v="High Stress"/>
    <s v="High Risk"/>
    <s v="Medium"/>
    <s v="Low"/>
    <x v="2"/>
    <s v="Low"/>
  </r>
  <r>
    <n v="25242"/>
    <n v="54"/>
    <s v="Unemployed"/>
    <x v="3"/>
    <n v="5391.93"/>
    <n v="5391.93"/>
    <n v="22750.97"/>
    <n v="22750.97"/>
    <n v="18"/>
    <n v="20.04"/>
    <n v="1"/>
    <n v="1"/>
    <n v="-2"/>
    <n v="2"/>
    <m/>
    <s v="NULL"/>
    <s v="Written Off"/>
    <s v="Written Off"/>
    <x v="0"/>
    <n v="0.23441379576103136"/>
    <s v="Healthy"/>
    <s v="NULL"/>
    <s v="Medium"/>
    <s v="Low"/>
    <x v="0"/>
    <s v="Medium"/>
  </r>
  <r>
    <n v="20694"/>
    <n v="27"/>
    <s v="Unemployed"/>
    <x v="3"/>
    <n v="3831.9"/>
    <n v="3831.9"/>
    <n v="4973.08"/>
    <n v="4973.08"/>
    <n v="24"/>
    <n v="21.6"/>
    <n v="3"/>
    <n v="3"/>
    <n v="4"/>
    <n v="4"/>
    <n v="0"/>
    <n v="0"/>
    <s v="Performing"/>
    <s v="Performing"/>
    <x v="0"/>
    <n v="5.4075436902493973E-2"/>
    <s v="Healthy"/>
    <s v="Good"/>
    <s v="Small"/>
    <s v="Low"/>
    <x v="0"/>
    <s v="Medium"/>
  </r>
  <r>
    <n v="23858"/>
    <n v="40"/>
    <s v="Salaried "/>
    <x v="2"/>
    <n v="4670.8500000000004"/>
    <n v="4670.8500000000004"/>
    <n v="21548.66"/>
    <n v="21548.66"/>
    <n v="36"/>
    <n v="20.32"/>
    <n v="2"/>
    <n v="2"/>
    <n v="4.5999999999999996"/>
    <n v="4.5999999999999996"/>
    <n v="0"/>
    <n v="0"/>
    <s v="Written Off"/>
    <s v="Written Off"/>
    <x v="2"/>
    <n v="0.12815095515567593"/>
    <s v="Healthy"/>
    <s v="Good"/>
    <s v="Medium"/>
    <s v="High"/>
    <x v="1"/>
    <s v="Medium"/>
  </r>
  <r>
    <n v="25143"/>
    <n v="47"/>
    <s v="Unemployed"/>
    <x v="3"/>
    <n v="4204.37"/>
    <n v="4204.37"/>
    <n v="16622.310000000001"/>
    <n v="16622.310000000001"/>
    <n v="18"/>
    <n v="17.32"/>
    <n v="1"/>
    <n v="1"/>
    <n v="9.8000000000000007"/>
    <n v="9.8000000000000007"/>
    <n v="30"/>
    <n v="30"/>
    <s v="Non performing"/>
    <s v="Non-Performing"/>
    <x v="1"/>
    <n v="0.2196432917813291"/>
    <s v="Healthy"/>
    <s v="At Risk"/>
    <s v="Medium"/>
    <s v="Low"/>
    <x v="0"/>
    <s v="Medium"/>
  </r>
  <r>
    <n v="24605"/>
    <n v="51"/>
    <s v="Salaried"/>
    <x v="2"/>
    <n v="7904.17"/>
    <n v="7904.17"/>
    <n v="16719.78"/>
    <n v="16719.78"/>
    <n v="24"/>
    <n v="12.81"/>
    <m/>
    <s v="NULL"/>
    <n v="5.3"/>
    <n v="5.3"/>
    <m/>
    <s v="NULL"/>
    <s v="Performing "/>
    <s v="Performing "/>
    <x v="4"/>
    <n v="8.8137970210660943E-2"/>
    <s v="Healthy"/>
    <s v="NULL"/>
    <s v="Medium"/>
    <s v="High"/>
    <x v="0"/>
    <s v="Medium"/>
  </r>
  <r>
    <n v="24188"/>
    <n v="21"/>
    <s v="Salaried "/>
    <x v="2"/>
    <n v="5293.76"/>
    <n v="5293.76"/>
    <n v="13143.59"/>
    <n v="13143.59"/>
    <n v="18"/>
    <n v="16.760000000000002"/>
    <m/>
    <s v="NULL"/>
    <n v="-0.5"/>
    <n v="0.5"/>
    <n v="15"/>
    <n v="15"/>
    <s v="Performing"/>
    <s v="Performing"/>
    <x v="3"/>
    <n v="0.13793588006340379"/>
    <s v="Healthy"/>
    <s v="Good"/>
    <s v="Medium"/>
    <s v="High"/>
    <x v="1"/>
    <s v="Medium"/>
  </r>
  <r>
    <n v="25124"/>
    <n v="36"/>
    <s v="Self employed"/>
    <x v="0"/>
    <n v="2263.89"/>
    <n v="2263.89"/>
    <n v="27454.53"/>
    <n v="27454.53"/>
    <n v="12"/>
    <n v="16.25"/>
    <n v="2"/>
    <n v="2"/>
    <n v="8"/>
    <n v="8"/>
    <n v="60"/>
    <n v="60"/>
    <s v="Written Off"/>
    <s v="Written Off"/>
    <x v="2"/>
    <n v="1.0105957003211286"/>
    <s v="High Stress"/>
    <s v="High Risk"/>
    <s v="Medium"/>
    <s v="Medium"/>
    <x v="0"/>
    <s v="Medium"/>
  </r>
  <r>
    <n v="24302"/>
    <n v="31"/>
    <s v="Contract"/>
    <x v="1"/>
    <n v="5112.05"/>
    <n v="5112.05"/>
    <n v="29657.7"/>
    <n v="29657.7"/>
    <n v="60"/>
    <n v="7.82"/>
    <n v="0"/>
    <n v="0"/>
    <n v="6.1"/>
    <n v="6.1"/>
    <n v="15"/>
    <n v="15"/>
    <s v="Performing"/>
    <s v="Performing"/>
    <x v="4"/>
    <n v="9.6692129380581179E-2"/>
    <s v="Healthy"/>
    <s v="Good"/>
    <s v="Medium"/>
    <s v="Low"/>
    <x v="0"/>
    <s v="Medium"/>
  </r>
  <r>
    <n v="23658"/>
    <n v="42"/>
    <s v="Self employed"/>
    <x v="0"/>
    <n v="4613.13"/>
    <n v="4613.13"/>
    <n v="21261.38"/>
    <n v="21261.38"/>
    <n v="24"/>
    <n v="18.149999999999999"/>
    <n v="0"/>
    <n v="0"/>
    <n v="3.8"/>
    <n v="3.8"/>
    <n v="0"/>
    <n v="0"/>
    <s v="Performing "/>
    <s v="Performing "/>
    <x v="3"/>
    <n v="0.19203682387735299"/>
    <s v="Healthy"/>
    <s v="Good"/>
    <s v="Medium"/>
    <s v="Medium"/>
    <x v="1"/>
    <s v="Medium"/>
  </r>
  <r>
    <n v="22010"/>
    <n v="25"/>
    <s v="Self employed"/>
    <x v="0"/>
    <n v="4859.0200000000004"/>
    <n v="4859.0200000000004"/>
    <n v="40681.54"/>
    <n v="40681.54"/>
    <n v="60"/>
    <n v="14.48"/>
    <m/>
    <s v="NULL"/>
    <n v="8.1999999999999993"/>
    <n v="8.1999999999999993"/>
    <n v="0"/>
    <n v="0"/>
    <s v="Non-Performing"/>
    <s v="Non-Performing"/>
    <x v="1"/>
    <n v="0.13953959165977228"/>
    <s v="Healthy"/>
    <s v="Good"/>
    <s v="High"/>
    <s v="Medium"/>
    <x v="1"/>
    <s v="Medium"/>
  </r>
  <r>
    <n v="23662"/>
    <n v="22"/>
    <s v="Salaried "/>
    <x v="2"/>
    <n v="5235.97"/>
    <n v="5235.97"/>
    <n v="24297.34"/>
    <n v="24297.34"/>
    <n v="60"/>
    <n v="21.03"/>
    <n v="2"/>
    <n v="2"/>
    <n v="6.2"/>
    <n v="6.2"/>
    <n v="0"/>
    <n v="0"/>
    <s v="Non-Performing"/>
    <s v="Non-Performing"/>
    <x v="4"/>
    <n v="7.7341097574406784E-2"/>
    <s v="Healthy"/>
    <s v="Good"/>
    <s v="Medium"/>
    <s v="High"/>
    <x v="1"/>
    <s v="Medium"/>
  </r>
  <r>
    <n v="21834"/>
    <n v="18"/>
    <s v="Salaried "/>
    <x v="2"/>
    <n v="657.99"/>
    <n v="657.99"/>
    <n v="24797.56"/>
    <n v="24797.56"/>
    <n v="48"/>
    <n v="16.04"/>
    <n v="2"/>
    <n v="2"/>
    <n v="8.6"/>
    <n v="8.6"/>
    <n v="90"/>
    <n v="90"/>
    <s v="Non-Performing"/>
    <s v="Non-Performing"/>
    <x v="0"/>
    <n v="0.78514237805032505"/>
    <s v="High Stress"/>
    <s v="High Risk"/>
    <s v="Medium"/>
    <s v="High"/>
    <x v="0"/>
    <s v="Low"/>
  </r>
  <r>
    <n v="21481"/>
    <n v="120"/>
    <s v="Unemployed"/>
    <x v="3"/>
    <n v="5905.57"/>
    <n v="5905.57"/>
    <n v="22992.83"/>
    <n v="22992.83"/>
    <n v="12"/>
    <n v="18.8"/>
    <n v="0"/>
    <n v="0"/>
    <n v="6.7"/>
    <n v="6.7"/>
    <n v="0"/>
    <n v="0"/>
    <s v="Non-Performing"/>
    <s v="Non-Performing"/>
    <x v="1"/>
    <n v="0.32445118196324263"/>
    <s v="Stretched"/>
    <s v="Good"/>
    <s v="Medium"/>
    <s v="Low"/>
    <x v="3"/>
    <s v="Medium"/>
  </r>
  <r>
    <n v="23559"/>
    <n v="63"/>
    <s v="Self employed"/>
    <x v="0"/>
    <n v="8393.07"/>
    <n v="8393.07"/>
    <n v="12076.81"/>
    <n v="12076.81"/>
    <n v="12"/>
    <n v="25.99"/>
    <n v="1"/>
    <n v="1"/>
    <n v="5"/>
    <n v="5"/>
    <n v="15"/>
    <n v="15"/>
    <s v="Performing "/>
    <s v="Performing "/>
    <x v="0"/>
    <n v="0.11990854756761629"/>
    <s v="Healthy"/>
    <s v="Good"/>
    <s v="Medium"/>
    <s v="Medium"/>
    <x v="1"/>
    <s v="High"/>
  </r>
  <r>
    <n v="25589"/>
    <n v="31"/>
    <s v="Unemployed"/>
    <x v="3"/>
    <n v="7508.77"/>
    <n v="7508.77"/>
    <n v="22454.27"/>
    <n v="22454.27"/>
    <n v="24"/>
    <n v="16.600000000000001"/>
    <n v="4"/>
    <n v="4"/>
    <n v="10.1"/>
    <n v="10.1"/>
    <n v="15"/>
    <n v="15"/>
    <s v="Non performing"/>
    <s v="Non-Performing"/>
    <x v="3"/>
    <n v="0.12460024522436208"/>
    <s v="Healthy"/>
    <s v="Good"/>
    <s v="Medium"/>
    <s v="Low"/>
    <x v="0"/>
    <s v="Medium"/>
  </r>
  <r>
    <n v="25279"/>
    <n v="39"/>
    <s v="Unemployed"/>
    <x v="3"/>
    <n v="7654.32"/>
    <n v="7654.32"/>
    <n v="21188.75"/>
    <n v="21188.75"/>
    <n v="48"/>
    <n v="15.81"/>
    <n v="1"/>
    <n v="1"/>
    <n v="7"/>
    <n v="7"/>
    <n v="120"/>
    <n v="120"/>
    <s v="Non-Performing"/>
    <s v="Non-Performing"/>
    <x v="0"/>
    <n v="5.7671000384967794E-2"/>
    <s v="Healthy"/>
    <s v="High Risk"/>
    <s v="Medium"/>
    <s v="Low"/>
    <x v="0"/>
    <s v="Medium"/>
  </r>
  <r>
    <n v="25736"/>
    <n v="51"/>
    <s v="Salaried"/>
    <x v="2"/>
    <n v="6202.2"/>
    <n v="6202.2"/>
    <n v="20159.009999999998"/>
    <n v="20159.009999999998"/>
    <n v="60"/>
    <n v="17.399999999999999"/>
    <n v="3"/>
    <n v="3"/>
    <n v="12.6"/>
    <n v="12.6"/>
    <n v="0"/>
    <n v="0"/>
    <s v="Performing"/>
    <s v="Performing"/>
    <x v="2"/>
    <n v="5.4171664893102441E-2"/>
    <s v="Healthy"/>
    <s v="Good"/>
    <s v="Medium"/>
    <s v="High"/>
    <x v="1"/>
    <s v="Medium"/>
  </r>
  <r>
    <n v="22325"/>
    <n v="61"/>
    <s v="Salaried "/>
    <x v="2"/>
    <n v="10390.36"/>
    <n v="10390.36"/>
    <n v="16076.25"/>
    <n v="16076.25"/>
    <n v="36"/>
    <n v="8.4"/>
    <n v="3"/>
    <n v="3"/>
    <n v="10.199999999999999"/>
    <n v="10.199999999999999"/>
    <n v="90"/>
    <n v="90"/>
    <s v="Non-Performing"/>
    <s v="Non-Performing"/>
    <x v="0"/>
    <n v="4.2978539723358959E-2"/>
    <s v="Healthy"/>
    <s v="High Risk"/>
    <s v="Medium"/>
    <s v="High"/>
    <x v="0"/>
    <s v="High"/>
  </r>
  <r>
    <n v="23305"/>
    <n v="60"/>
    <s v="Unemployed"/>
    <x v="3"/>
    <n v="7604.95"/>
    <n v="7604.95"/>
    <n v="29575.7"/>
    <n v="29575.7"/>
    <n v="60"/>
    <n v="14.91"/>
    <n v="2"/>
    <n v="2"/>
    <n v="8.3000000000000007"/>
    <n v="8.3000000000000007"/>
    <n v="30"/>
    <n v="30"/>
    <s v="Performing "/>
    <s v="Performing "/>
    <x v="1"/>
    <n v="6.4816775039064467E-2"/>
    <s v="Healthy"/>
    <s v="At Risk"/>
    <s v="Medium"/>
    <s v="Low"/>
    <x v="0"/>
    <s v="Medium"/>
  </r>
  <r>
    <n v="21361"/>
    <n v="44"/>
    <s v="Self employed"/>
    <x v="0"/>
    <n v="4665.32"/>
    <n v="4665.32"/>
    <n v="36989.730000000003"/>
    <n v="36989.730000000003"/>
    <n v="18"/>
    <n v="16.68"/>
    <n v="2"/>
    <n v="2"/>
    <n v="11.7"/>
    <n v="11.7"/>
    <n v="60"/>
    <n v="60"/>
    <s v="Performing"/>
    <s v="Performing"/>
    <x v="0"/>
    <n v="0.44048103881405781"/>
    <s v="Stretched"/>
    <s v="High Risk"/>
    <s v="High"/>
    <s v="Medium"/>
    <x v="0"/>
    <s v="Medium"/>
  </r>
  <r>
    <n v="21761"/>
    <n v="75"/>
    <s v="Salaried "/>
    <x v="2"/>
    <n v="6074.32"/>
    <n v="6074.32"/>
    <n v="28246.39"/>
    <n v="28246.39"/>
    <n v="36"/>
    <n v="15.29"/>
    <n v="3"/>
    <n v="3"/>
    <n v="0.9"/>
    <n v="0.9"/>
    <n v="60"/>
    <n v="60"/>
    <s v="Performing "/>
    <s v="Performing "/>
    <x v="4"/>
    <n v="0.12917033420110308"/>
    <s v="Healthy"/>
    <s v="High Risk"/>
    <s v="Medium"/>
    <s v="High"/>
    <x v="0"/>
    <s v="Medium"/>
  </r>
  <r>
    <n v="22394"/>
    <n v="41"/>
    <s v="Salaried"/>
    <x v="2"/>
    <n v="5344.94"/>
    <n v="5344.94"/>
    <n v="4160.72"/>
    <n v="4160.72"/>
    <n v="36"/>
    <n v="16.46"/>
    <n v="4"/>
    <n v="4"/>
    <n v="1.3"/>
    <n v="1.3"/>
    <n v="30"/>
    <n v="30"/>
    <s v="Written Off"/>
    <s v="Written Off"/>
    <x v="4"/>
    <n v="2.1623358832008509E-2"/>
    <s v="Healthy"/>
    <s v="At Risk"/>
    <s v="Small"/>
    <s v="High"/>
    <x v="0"/>
    <s v="Medium"/>
  </r>
  <r>
    <n v="22244"/>
    <n v="53"/>
    <s v="Self-Employed"/>
    <x v="0"/>
    <n v="6442.21"/>
    <n v="6442.21"/>
    <n v="34386.800000000003"/>
    <n v="34386.800000000003"/>
    <n v="6"/>
    <n v="26.1"/>
    <n v="4"/>
    <n v="4"/>
    <n v="0.8"/>
    <n v="0.8"/>
    <n v="0"/>
    <n v="0"/>
    <s v="Non-Performing"/>
    <s v="Non-Performing"/>
    <x v="0"/>
    <n v="0.88962224660998845"/>
    <s v="High Stress"/>
    <s v="Good"/>
    <s v="High"/>
    <s v="Medium"/>
    <x v="0"/>
    <s v="Medium"/>
  </r>
  <r>
    <n v="22518"/>
    <n v="120"/>
    <s v="Contract"/>
    <x v="1"/>
    <n v="6291.52"/>
    <n v="6291.52"/>
    <n v="6699.62"/>
    <n v="6699.62"/>
    <n v="12"/>
    <n v="11.09"/>
    <n v="0"/>
    <n v="0"/>
    <m/>
    <s v="NULL"/>
    <n v="30"/>
    <n v="30"/>
    <s v="Performing "/>
    <s v="Performing "/>
    <x v="3"/>
    <n v="8.8738757353813799E-2"/>
    <s v="Healthy"/>
    <s v="At Risk"/>
    <s v="Small"/>
    <s v="Low"/>
    <x v="3"/>
    <s v="Medium"/>
  </r>
  <r>
    <n v="24230"/>
    <n v="54"/>
    <s v="Salaried "/>
    <x v="2"/>
    <n v="6048.98"/>
    <n v="6048.98"/>
    <n v="24195.71"/>
    <n v="24195.71"/>
    <n v="12"/>
    <n v="20.61"/>
    <n v="4"/>
    <n v="4"/>
    <n v="11.9"/>
    <n v="11.9"/>
    <n v="60"/>
    <n v="60"/>
    <s v="Performing "/>
    <s v="Performing "/>
    <x v="3"/>
    <n v="0.33333044028359604"/>
    <s v="Stretched"/>
    <s v="High Risk"/>
    <s v="Medium"/>
    <s v="High"/>
    <x v="0"/>
    <s v="Medium"/>
  </r>
  <r>
    <n v="25304"/>
    <n v="49"/>
    <s v="Self employed"/>
    <x v="0"/>
    <n v="8684.26"/>
    <n v="8684.26"/>
    <n v="14490.58"/>
    <n v="14490.58"/>
    <n v="60"/>
    <n v="21.67"/>
    <m/>
    <s v="NULL"/>
    <n v="4.2"/>
    <n v="4.2"/>
    <n v="0"/>
    <n v="0"/>
    <s v="Non-Performing"/>
    <s v="Non-Performing"/>
    <x v="2"/>
    <n v="2.7810045607416942E-2"/>
    <s v="Healthy"/>
    <s v="Good"/>
    <s v="Medium"/>
    <s v="Medium"/>
    <x v="1"/>
    <s v="High"/>
  </r>
  <r>
    <n v="20226"/>
    <n v="56"/>
    <s v="Self employed"/>
    <x v="0"/>
    <n v="4197.79"/>
    <n v="4197.79"/>
    <n v="15296.57"/>
    <n v="15296.57"/>
    <n v="12"/>
    <n v="17.309999999999999"/>
    <n v="4"/>
    <n v="4"/>
    <n v="6.9"/>
    <n v="6.9"/>
    <n v="0"/>
    <n v="0"/>
    <s v="Performing "/>
    <s v="Performing "/>
    <x v="1"/>
    <n v="0.30366315767741281"/>
    <s v="Stretched"/>
    <s v="Good"/>
    <s v="Medium"/>
    <s v="Medium"/>
    <x v="0"/>
    <s v="Medium"/>
  </r>
  <r>
    <n v="24318"/>
    <n v="27"/>
    <s v="Unemployed"/>
    <x v="3"/>
    <n v="4908.41"/>
    <n v="4908.41"/>
    <n v="17387.07"/>
    <n v="17387.07"/>
    <n v="24"/>
    <n v="55"/>
    <n v="1"/>
    <n v="1"/>
    <n v="6.1"/>
    <n v="6.1"/>
    <n v="30"/>
    <n v="30"/>
    <s v="Performing "/>
    <s v="Performing "/>
    <x v="3"/>
    <n v="0.14759591191444887"/>
    <s v="Healthy"/>
    <s v="At Risk"/>
    <s v="Medium"/>
    <s v="Low"/>
    <x v="0"/>
    <s v="Medium"/>
  </r>
  <r>
    <n v="20782"/>
    <n v="21"/>
    <s v="Self-Employed"/>
    <x v="0"/>
    <n v="7163.13"/>
    <n v="7163.13"/>
    <n v="32989.949999999997"/>
    <n v="32989.949999999997"/>
    <n v="24"/>
    <n v="26.78"/>
    <n v="1"/>
    <n v="1"/>
    <n v="9.5"/>
    <n v="9.5"/>
    <n v="90"/>
    <n v="90"/>
    <s v="Non performing"/>
    <s v="Non-Performing"/>
    <x v="0"/>
    <n v="0.19189673369043977"/>
    <s v="Healthy"/>
    <s v="High Risk"/>
    <s v="High"/>
    <s v="Medium"/>
    <x v="0"/>
    <s v="Medium"/>
  </r>
  <r>
    <n v="21519"/>
    <n v="31"/>
    <s v="Salaried "/>
    <x v="2"/>
    <n v="5880.78"/>
    <n v="5880.78"/>
    <n v="25657.05"/>
    <n v="25657.05"/>
    <n v="12"/>
    <n v="11.16"/>
    <n v="1"/>
    <n v="1"/>
    <n v="4.4000000000000004"/>
    <n v="4.4000000000000004"/>
    <n v="0"/>
    <n v="0"/>
    <s v="Performing "/>
    <s v="Performing "/>
    <x v="1"/>
    <n v="0.3635720941779832"/>
    <s v="Stretched"/>
    <s v="Good"/>
    <s v="Medium"/>
    <s v="High"/>
    <x v="0"/>
    <s v="Medium"/>
  </r>
  <r>
    <n v="25425"/>
    <n v="25"/>
    <s v="Contract"/>
    <x v="1"/>
    <n v="4929.03"/>
    <n v="4929.03"/>
    <n v="11235.97"/>
    <n v="11235.97"/>
    <n v="6"/>
    <n v="16.47"/>
    <n v="3"/>
    <n v="3"/>
    <n v="3"/>
    <n v="3"/>
    <n v="30"/>
    <n v="30"/>
    <s v="Performing "/>
    <s v="Performing "/>
    <x v="2"/>
    <n v="0.37992498862183161"/>
    <s v="Stretched"/>
    <s v="At Risk"/>
    <s v="Medium"/>
    <s v="Low"/>
    <x v="0"/>
    <s v="Medium"/>
  </r>
  <r>
    <n v="21566"/>
    <n v="33"/>
    <s v="Salaried"/>
    <x v="2"/>
    <n v="5238.74"/>
    <n v="5238.74"/>
    <n v="12190"/>
    <n v="12190"/>
    <n v="18"/>
    <n v="14.81"/>
    <m/>
    <s v="NULL"/>
    <n v="7.6"/>
    <n v="7.6"/>
    <n v="0"/>
    <n v="0"/>
    <s v="Performing"/>
    <s v="Performing"/>
    <x v="3"/>
    <n v="0.12927196658399201"/>
    <s v="Healthy"/>
    <s v="Good"/>
    <s v="Medium"/>
    <s v="High"/>
    <x v="1"/>
    <s v="Medium"/>
  </r>
  <r>
    <n v="23298"/>
    <n v="57"/>
    <s v="Self employed"/>
    <x v="0"/>
    <n v="7450.47"/>
    <n v="7450.47"/>
    <n v="27559.43"/>
    <n v="27559.43"/>
    <n v="48"/>
    <n v="12.98"/>
    <n v="0"/>
    <n v="0"/>
    <n v="10.9"/>
    <n v="10.9"/>
    <n v="30"/>
    <n v="30"/>
    <s v="Non-Performing"/>
    <s v="Non-Performing"/>
    <x v="4"/>
    <n v="7.7062895584663338E-2"/>
    <s v="Healthy"/>
    <s v="At Risk"/>
    <s v="Medium"/>
    <s v="Medium"/>
    <x v="0"/>
    <s v="Medium"/>
  </r>
  <r>
    <n v="22618"/>
    <n v="60"/>
    <s v="Self employed"/>
    <x v="0"/>
    <n v="-1500"/>
    <n v="1500"/>
    <n v="16584.84"/>
    <n v="16584.84"/>
    <n v="18"/>
    <n v="22.09"/>
    <n v="4"/>
    <n v="4"/>
    <n v="1.5"/>
    <n v="1.5"/>
    <m/>
    <s v="NULL"/>
    <s v="Performing"/>
    <s v="Performing"/>
    <x v="0"/>
    <n v="0.61425333333333332"/>
    <s v="High Stress"/>
    <s v="NULL"/>
    <s v="Medium"/>
    <s v="Medium"/>
    <x v="0"/>
    <s v="Low"/>
  </r>
  <r>
    <n v="24777"/>
    <n v="25"/>
    <s v="Self employed"/>
    <x v="0"/>
    <n v="3401.3"/>
    <n v="3401.3"/>
    <n v="24373.64"/>
    <n v="24373.64"/>
    <n v="36"/>
    <n v="16.440000000000001"/>
    <n v="2"/>
    <n v="2"/>
    <n v="4.7"/>
    <n v="4.7"/>
    <n v="0"/>
    <n v="0"/>
    <s v="Non performing"/>
    <s v="Non-Performing"/>
    <x v="1"/>
    <n v="0.19905493651120323"/>
    <s v="Healthy"/>
    <s v="Good"/>
    <s v="Medium"/>
    <s v="Medium"/>
    <x v="1"/>
    <s v="Medium"/>
  </r>
  <r>
    <n v="21657"/>
    <n v="54"/>
    <s v="Self employed"/>
    <x v="0"/>
    <n v="5102"/>
    <n v="5102"/>
    <n v="12870.53"/>
    <n v="12870.53"/>
    <n v="18"/>
    <n v="17.239999999999998"/>
    <n v="4"/>
    <n v="4"/>
    <n v="4"/>
    <n v="4"/>
    <n v="90"/>
    <n v="90"/>
    <s v="Written Off"/>
    <s v="Written Off"/>
    <x v="3"/>
    <n v="0.14014689228624941"/>
    <s v="Healthy"/>
    <s v="High Risk"/>
    <s v="Medium"/>
    <s v="Medium"/>
    <x v="0"/>
    <s v="Medium"/>
  </r>
  <r>
    <n v="23138"/>
    <n v="39"/>
    <s v="Self employed"/>
    <x v="0"/>
    <n v="3710.75"/>
    <n v="3710.75"/>
    <n v="13978.23"/>
    <n v="13978.23"/>
    <n v="12"/>
    <n v="19.420000000000002"/>
    <n v="1"/>
    <n v="1"/>
    <m/>
    <s v="NULL"/>
    <n v="30"/>
    <n v="30"/>
    <s v="Non performing"/>
    <s v="Non-Performing"/>
    <x v="1"/>
    <n v="0.31391295560196725"/>
    <s v="Stretched"/>
    <s v="At Risk"/>
    <s v="Medium"/>
    <s v="Medium"/>
    <x v="0"/>
    <s v="Medium"/>
  </r>
  <r>
    <n v="20598"/>
    <n v="28"/>
    <s v="Contract"/>
    <x v="1"/>
    <n v="4701.09"/>
    <n v="4701.09"/>
    <n v="6277.27"/>
    <n v="6277.27"/>
    <n v="60"/>
    <n v="23.72"/>
    <n v="4"/>
    <n v="4"/>
    <n v="7.8"/>
    <n v="7.8"/>
    <m/>
    <s v="NULL"/>
    <s v="Non performing"/>
    <s v="Non-Performing"/>
    <x v="1"/>
    <n v="2.2254661507579449E-2"/>
    <s v="Healthy"/>
    <s v="NULL"/>
    <s v="Small"/>
    <s v="Low"/>
    <x v="0"/>
    <s v="Medium"/>
  </r>
  <r>
    <n v="23293"/>
    <n v="33"/>
    <s v="Unemployed"/>
    <x v="3"/>
    <n v="4520.79"/>
    <n v="4520.79"/>
    <n v="19921.38"/>
    <n v="19921.38"/>
    <n v="48"/>
    <n v="10.87"/>
    <n v="3"/>
    <n v="3"/>
    <n v="10.8"/>
    <n v="10.8"/>
    <n v="30"/>
    <n v="30"/>
    <s v="Performing"/>
    <s v="Performing"/>
    <x v="1"/>
    <n v="9.1804474439202005E-2"/>
    <s v="Healthy"/>
    <s v="At Risk"/>
    <s v="Medium"/>
    <s v="Low"/>
    <x v="0"/>
    <s v="Medium"/>
  </r>
  <r>
    <n v="21634"/>
    <n v="29"/>
    <s v="Contract"/>
    <x v="1"/>
    <n v="7178.47"/>
    <n v="7178.47"/>
    <n v="18890.28"/>
    <n v="18890.28"/>
    <n v="12"/>
    <n v="12.58"/>
    <m/>
    <s v="NULL"/>
    <n v="6.8"/>
    <n v="6.8"/>
    <n v="15"/>
    <n v="15"/>
    <s v="Non performing"/>
    <s v="Non-Performing"/>
    <x v="3"/>
    <n v="0.21929324772549025"/>
    <s v="Healthy"/>
    <s v="Good"/>
    <s v="Medium"/>
    <s v="Low"/>
    <x v="0"/>
    <s v="Medium"/>
  </r>
  <r>
    <n v="22434"/>
    <n v="33"/>
    <s v="Salaried"/>
    <x v="2"/>
    <n v="6664.95"/>
    <n v="6664.95"/>
    <n v="29155.59"/>
    <n v="29155.59"/>
    <n v="36"/>
    <n v="18.920000000000002"/>
    <n v="2"/>
    <n v="2"/>
    <n v="3.3"/>
    <n v="3.3"/>
    <n v="30"/>
    <n v="30"/>
    <s v="Non-Performing"/>
    <s v="Non-Performing"/>
    <x v="0"/>
    <n v="0.1215129145755032"/>
    <s v="Healthy"/>
    <s v="At Risk"/>
    <s v="Medium"/>
    <s v="High"/>
    <x v="0"/>
    <s v="Medium"/>
  </r>
  <r>
    <n v="23207"/>
    <n v="18"/>
    <s v="Salaried "/>
    <x v="2"/>
    <n v="3031.63"/>
    <n v="3031.63"/>
    <n v="20349.23"/>
    <n v="20349.23"/>
    <n v="36"/>
    <n v="22.36"/>
    <m/>
    <s v="NULL"/>
    <n v="3.1"/>
    <n v="3.1"/>
    <n v="90"/>
    <n v="90"/>
    <s v="Written Off"/>
    <s v="Written Off"/>
    <x v="4"/>
    <n v="0.18645296058189451"/>
    <s v="Healthy"/>
    <s v="High Risk"/>
    <s v="Medium"/>
    <s v="High"/>
    <x v="0"/>
    <s v="Medium"/>
  </r>
  <r>
    <n v="21968"/>
    <n v="43"/>
    <s v="Self employed"/>
    <x v="0"/>
    <n v="4393.74"/>
    <n v="4393.74"/>
    <n v="16463.18"/>
    <n v="16463.18"/>
    <n v="48"/>
    <n v="22.34"/>
    <n v="0"/>
    <n v="0"/>
    <n v="7.8"/>
    <n v="7.8"/>
    <n v="15"/>
    <n v="15"/>
    <s v="Non-Performing"/>
    <s v="Non-Performing"/>
    <x v="0"/>
    <n v="7.8061723421655974E-2"/>
    <s v="Healthy"/>
    <s v="Good"/>
    <s v="Medium"/>
    <s v="Medium"/>
    <x v="1"/>
    <s v="Medium"/>
  </r>
  <r>
    <n v="23428"/>
    <n v="42"/>
    <s v="Salaried "/>
    <x v="2"/>
    <n v="3927.76"/>
    <n v="3927.76"/>
    <n v="20220.66"/>
    <n v="20220.66"/>
    <n v="6"/>
    <n v="22.8"/>
    <n v="1"/>
    <n v="1"/>
    <n v="9.1"/>
    <n v="9.1"/>
    <m/>
    <s v="NULL"/>
    <s v="Non performing"/>
    <s v="Non-Performing"/>
    <x v="3"/>
    <n v="0.85802340265189314"/>
    <s v="High Stress"/>
    <s v="NULL"/>
    <s v="Medium"/>
    <s v="High"/>
    <x v="0"/>
    <s v="Medium"/>
  </r>
  <r>
    <n v="21148"/>
    <n v="75"/>
    <s v="Self-Employed"/>
    <x v="0"/>
    <n v="4796.26"/>
    <n v="4796.26"/>
    <n v="23885.33"/>
    <n v="23885.33"/>
    <n v="18"/>
    <n v="15.08"/>
    <n v="4"/>
    <n v="4"/>
    <n v="1.4"/>
    <n v="1.4"/>
    <n v="30"/>
    <n v="30"/>
    <s v="Performing "/>
    <s v="Performing "/>
    <x v="1"/>
    <n v="0.27666614774382076"/>
    <s v="Healthy"/>
    <s v="At Risk"/>
    <s v="Medium"/>
    <s v="Medium"/>
    <x v="0"/>
    <s v="Medium"/>
  </r>
  <r>
    <n v="22443"/>
    <n v="64"/>
    <s v="Salaried"/>
    <x v="2"/>
    <n v="7551.94"/>
    <n v="7551.94"/>
    <n v="31433.279999999999"/>
    <n v="31433.279999999999"/>
    <n v="24"/>
    <n v="10.199999999999999"/>
    <m/>
    <s v="NULL"/>
    <n v="6.8"/>
    <n v="6.8"/>
    <n v="90"/>
    <n v="90"/>
    <s v="Performing"/>
    <s v="Performing"/>
    <x v="0"/>
    <n v="0.17342828465268526"/>
    <s v="Healthy"/>
    <s v="High Risk"/>
    <s v="High"/>
    <s v="High"/>
    <x v="0"/>
    <s v="Medium"/>
  </r>
  <r>
    <n v="21591"/>
    <n v="24"/>
    <s v="Contract"/>
    <x v="1"/>
    <n v="5219.6099999999997"/>
    <n v="5219.6099999999997"/>
    <n v="16131.71"/>
    <n v="16131.71"/>
    <n v="12"/>
    <n v="14.09"/>
    <n v="1"/>
    <n v="1"/>
    <n v="4.8"/>
    <n v="4.8"/>
    <n v="120"/>
    <n v="120"/>
    <s v="Performing "/>
    <s v="Performing "/>
    <x v="2"/>
    <n v="0.25754973392009495"/>
    <s v="Healthy"/>
    <s v="High Risk"/>
    <s v="Medium"/>
    <s v="Low"/>
    <x v="0"/>
    <s v="Medium"/>
  </r>
  <r>
    <n v="25870"/>
    <n v="59"/>
    <s v="Contract"/>
    <x v="1"/>
    <n v="5986.97"/>
    <n v="5986.97"/>
    <n v="14907.39"/>
    <n v="14907.39"/>
    <n v="18"/>
    <n v="22.43"/>
    <n v="1"/>
    <n v="1"/>
    <n v="9.4"/>
    <n v="9.4"/>
    <n v="60"/>
    <n v="60"/>
    <s v="Non-Performing"/>
    <s v="Non-Performing"/>
    <x v="1"/>
    <n v="0.13833179944668728"/>
    <s v="Healthy"/>
    <s v="High Risk"/>
    <s v="Medium"/>
    <s v="Low"/>
    <x v="0"/>
    <s v="Medium"/>
  </r>
  <r>
    <n v="20154"/>
    <n v="52"/>
    <s v="Salaried"/>
    <x v="2"/>
    <n v="4678.71"/>
    <n v="4678.71"/>
    <n v="33778.620000000003"/>
    <n v="33778.620000000003"/>
    <n v="24"/>
    <n v="18.14"/>
    <n v="4"/>
    <n v="4"/>
    <n v="1.7"/>
    <n v="1.7"/>
    <n v="0"/>
    <n v="0"/>
    <s v="Non-Performing"/>
    <s v="Non-Performing"/>
    <x v="4"/>
    <n v="0.30081849484152684"/>
    <s v="Stretched"/>
    <s v="Good"/>
    <s v="High"/>
    <s v="High"/>
    <x v="0"/>
    <s v="Medium"/>
  </r>
  <r>
    <n v="23540"/>
    <n v="21"/>
    <s v="Self employed"/>
    <x v="0"/>
    <n v="3818.43"/>
    <n v="3818.43"/>
    <n v="11571.69"/>
    <n v="11571.69"/>
    <n v="6"/>
    <n v="16.73"/>
    <n v="4"/>
    <n v="4"/>
    <n v="4"/>
    <n v="4"/>
    <n v="120"/>
    <n v="120"/>
    <s v="Non performing"/>
    <s v="Non-Performing"/>
    <x v="1"/>
    <n v="0.5050806221405133"/>
    <s v="High Stress"/>
    <s v="High Risk"/>
    <s v="Medium"/>
    <s v="Medium"/>
    <x v="0"/>
    <s v="Medium"/>
  </r>
  <r>
    <n v="23799"/>
    <n v="34"/>
    <s v="Self-Employed"/>
    <x v="0"/>
    <n v="4283.75"/>
    <n v="4283.75"/>
    <n v="23594.05"/>
    <n v="23594.05"/>
    <n v="60"/>
    <n v="55"/>
    <n v="4"/>
    <n v="4"/>
    <n v="9.1999999999999993"/>
    <n v="9.1999999999999993"/>
    <n v="90"/>
    <n v="90"/>
    <s v="Performing"/>
    <s v="Performing"/>
    <x v="1"/>
    <n v="9.1796712382063994E-2"/>
    <s v="Healthy"/>
    <s v="High Risk"/>
    <s v="Medium"/>
    <s v="Medium"/>
    <x v="0"/>
    <s v="Medium"/>
  </r>
  <r>
    <n v="20210"/>
    <n v="43"/>
    <s v="Salaried "/>
    <x v="2"/>
    <n v="3332.53"/>
    <n v="3332.53"/>
    <n v="22340.84"/>
    <n v="22340.84"/>
    <n v="36"/>
    <n v="20.350000000000001"/>
    <n v="3"/>
    <n v="3"/>
    <n v="6"/>
    <n v="6"/>
    <m/>
    <s v="NULL"/>
    <s v="Performing"/>
    <s v="Performing"/>
    <x v="1"/>
    <n v="0.18621854533609267"/>
    <s v="Healthy"/>
    <s v="NULL"/>
    <s v="Medium"/>
    <s v="High"/>
    <x v="0"/>
    <s v="Medium"/>
  </r>
  <r>
    <n v="22097"/>
    <n v="50"/>
    <s v="Salaried"/>
    <x v="2"/>
    <n v="2500.52"/>
    <n v="2500.52"/>
    <n v="21441.040000000001"/>
    <n v="21441.040000000001"/>
    <n v="24"/>
    <n v="19.059999999999999"/>
    <n v="0"/>
    <n v="0"/>
    <n v="10.199999999999999"/>
    <n v="10.199999999999999"/>
    <n v="0"/>
    <n v="0"/>
    <s v="Non-Performing"/>
    <s v="Non-Performing"/>
    <x v="0"/>
    <n v="0.35727635318520418"/>
    <s v="Stretched"/>
    <s v="Good"/>
    <s v="Medium"/>
    <s v="High"/>
    <x v="0"/>
    <s v="Medium"/>
  </r>
  <r>
    <n v="23255"/>
    <n v="21"/>
    <s v="Salaried"/>
    <x v="2"/>
    <n v="8085.72"/>
    <n v="8085.72"/>
    <n v="16943.72"/>
    <n v="16943.72"/>
    <n v="48"/>
    <n v="26.07"/>
    <n v="1"/>
    <n v="1"/>
    <n v="5.3"/>
    <n v="5.3"/>
    <n v="90"/>
    <n v="90"/>
    <s v="Performing"/>
    <s v="Performing"/>
    <x v="2"/>
    <n v="4.3656491526625547E-2"/>
    <s v="Healthy"/>
    <s v="High Risk"/>
    <s v="Medium"/>
    <s v="High"/>
    <x v="0"/>
    <s v="High"/>
  </r>
  <r>
    <n v="24318"/>
    <n v="62"/>
    <s v="Contract"/>
    <x v="1"/>
    <n v="5525.8"/>
    <n v="5525.8"/>
    <n v="11946"/>
    <n v="11946"/>
    <n v="60"/>
    <n v="23.84"/>
    <n v="0"/>
    <n v="0"/>
    <n v="10.6"/>
    <n v="10.6"/>
    <n v="0"/>
    <n v="0"/>
    <s v="Performing"/>
    <s v="Performing"/>
    <x v="0"/>
    <n v="3.603098193926671E-2"/>
    <s v="Healthy"/>
    <s v="Good"/>
    <s v="Medium"/>
    <s v="Low"/>
    <x v="0"/>
    <s v="Medium"/>
  </r>
  <r>
    <n v="21404"/>
    <n v="31"/>
    <s v="Self employed"/>
    <x v="0"/>
    <n v="6479.87"/>
    <n v="6479.87"/>
    <n v="27475.66"/>
    <n v="27475.66"/>
    <n v="12"/>
    <n v="15.4"/>
    <n v="3"/>
    <n v="3"/>
    <n v="0.4"/>
    <n v="0.4"/>
    <n v="0"/>
    <n v="0"/>
    <s v="Performing "/>
    <s v="Performing "/>
    <x v="4"/>
    <n v="0.3533463377094499"/>
    <s v="Stretched"/>
    <s v="Good"/>
    <s v="Medium"/>
    <s v="Medium"/>
    <x v="0"/>
    <s v="Medium"/>
  </r>
  <r>
    <n v="20609"/>
    <n v="52"/>
    <s v="Contract"/>
    <x v="1"/>
    <n v="5710.35"/>
    <n v="5710.35"/>
    <n v="22512.22"/>
    <n v="22512.22"/>
    <n v="24"/>
    <n v="16.98"/>
    <n v="4"/>
    <n v="4"/>
    <n v="3.3"/>
    <n v="3.3"/>
    <n v="30"/>
    <n v="30"/>
    <s v="Non performing"/>
    <s v="Non-Performing"/>
    <x v="1"/>
    <n v="0.16426474150737985"/>
    <s v="Healthy"/>
    <s v="At Risk"/>
    <s v="Medium"/>
    <s v="Low"/>
    <x v="0"/>
    <s v="Medium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:E8" firstHeaderRow="0" firstDataRow="1" firstDataCol="1"/>
  <pivotFields count="26"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2"/>
        <item x="1"/>
        <item x="3"/>
        <item m="1" x="4"/>
        <item x="0"/>
        <item t="default"/>
      </items>
    </pivotField>
    <pivotField showAll="0"/>
  </pivotFields>
  <rowFields count="1">
    <field x="24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Customer_ID" fld="0" subtotal="count" baseField="0" baseItem="0"/>
    <dataField name="Average of Debt-to_Income_Ratio (DTI)" fld="19" subtotal="average" baseField="0" baseItem="0"/>
    <dataField name="Average of Loan_Amount_New" fld="7" subtotal="average" baseField="0" baseItem="0"/>
  </dataFields>
  <formats count="11">
    <format dxfId="15">
      <pivotArea collapsedLevelsAreSubtotals="1" fieldPosition="0">
        <references count="2">
          <reference field="4294967294" count="1" selected="0">
            <x v="2"/>
          </reference>
          <reference field="24" count="1">
            <x v="0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24" count="1">
            <x v="1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2"/>
          </reference>
          <reference field="24" count="1">
            <x v="2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2"/>
          </reference>
          <reference field="24" count="1">
            <x v="3"/>
          </reference>
        </references>
      </pivotArea>
    </format>
    <format dxfId="19">
      <pivotArea field="2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">
      <pivotArea collapsedLevelsAreSubtotals="1" fieldPosition="0">
        <references count="2">
          <reference field="4294967294" count="1" selected="0">
            <x v="2"/>
          </reference>
          <reference field="24" count="1">
            <x v="4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1"/>
          </reference>
          <reference field="24" count="1">
            <x v="0"/>
          </reference>
        </references>
      </pivotArea>
    </format>
    <format dxfId="22">
      <pivotArea collapsedLevelsAreSubtotals="1" fieldPosition="0">
        <references count="2">
          <reference field="4294967294" count="1" selected="0">
            <x v="1"/>
          </reference>
          <reference field="24" count="1">
            <x v="1"/>
          </reference>
        </references>
      </pivotArea>
    </format>
    <format dxfId="23">
      <pivotArea collapsedLevelsAreSubtotals="1" fieldPosition="0">
        <references count="2">
          <reference field="4294967294" count="1" selected="0">
            <x v="1"/>
          </reference>
          <reference field="24" count="1">
            <x v="2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1"/>
          </reference>
          <reference field="24" count="1">
            <x v="4"/>
          </reference>
        </references>
      </pivotArea>
    </format>
    <format dxfId="1">
      <pivotArea field="2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6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:D18" firstHeaderRow="0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6">
        <item x="3"/>
        <item x="2"/>
        <item x="1"/>
        <item x="0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Debt-to_Income_Ratio (DTI)" fld="19" subtotal="average" baseField="0" baseItem="0"/>
    <dataField name="Average of Days_Past_Due_New" fld="15" subtotal="average" baseField="0" baseItem="0"/>
  </dataFields>
  <formats count="12">
    <format dxfId="13">
      <pivotArea collapsedLevelsAreSubtotals="1" fieldPosition="0">
        <references count="2">
          <reference field="4294967294" count="1" selected="0">
            <x v="0"/>
          </reference>
          <reference field="18" count="1">
            <x v="0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0"/>
          </reference>
          <reference field="18" count="1">
            <x v="1"/>
          </reference>
        </references>
      </pivotArea>
    </format>
    <format dxfId="11">
      <pivotArea collapsedLevelsAreSubtotals="1" fieldPosition="0">
        <references count="2">
          <reference field="4294967294" count="1" selected="0">
            <x v="0"/>
          </reference>
          <reference field="18" count="1">
            <x v="2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0"/>
          </reference>
          <reference field="18" count="1">
            <x v="3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0"/>
          </reference>
          <reference field="18" count="1">
            <x v="4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1"/>
          </reference>
          <reference field="18" count="1">
            <x v="0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1"/>
          </reference>
          <reference field="18" count="1">
            <x v="1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1"/>
          </reference>
          <reference field="18" count="1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1"/>
          </reference>
          <reference field="18" count="1">
            <x v="3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1"/>
          </reference>
          <reference field="18" count="1">
            <x v="4"/>
          </reference>
        </references>
      </pivotArea>
    </format>
    <format dxfId="3">
      <pivotArea field="18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2">
      <pivotArea field="18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:G10" firstHeaderRow="1" firstDataRow="2" firstDataCol="1"/>
  <pivotFields count="26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3"/>
        <item x="2"/>
        <item x="1"/>
        <item x="0"/>
        <item x="4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3"/>
        <item m="1" x="4"/>
        <item x="0"/>
        <item t="default"/>
      </items>
    </pivotField>
    <pivotField showAll="0"/>
  </pivotFields>
  <rowFields count="1">
    <field x="1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4"/>
  </colFields>
  <colItems count="5">
    <i>
      <x/>
    </i>
    <i>
      <x v="1"/>
    </i>
    <i>
      <x v="2"/>
    </i>
    <i>
      <x v="4"/>
    </i>
    <i t="grand">
      <x/>
    </i>
  </colItems>
  <dataFields count="1">
    <dataField name="Count of Customer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7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:G18" firstHeaderRow="1" firstDataRow="2" firstDataCol="1"/>
  <pivotFields count="26">
    <pivotField dataField="1" showAll="0"/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m="1" x="4"/>
        <item t="default"/>
      </items>
    </pivotField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24"/>
  </colFields>
  <colItems count="5">
    <i>
      <x/>
    </i>
    <i>
      <x v="1"/>
    </i>
    <i>
      <x v="2"/>
    </i>
    <i>
      <x v="3"/>
    </i>
    <i t="grand">
      <x/>
    </i>
  </colItems>
  <dataFields count="1">
    <dataField name="Count of Customer_ID" fld="0" subtotal="count" showDataAs="percentOfRow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10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:D8" firstHeaderRow="0" firstDataRow="1" firstDataCol="1"/>
  <pivotFields count="26">
    <pivotField showAll="0"/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Debt-to_Income_Ratio (DTI)" fld="19" subtotal="average" baseField="0" baseItem="0"/>
    <dataField name="Average of Days_Past_Due_New" fld="1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AA1201" totalsRowShown="0">
  <autoFilter ref="A1:AA1201"/>
  <tableColumns count="27">
    <tableColumn id="1" name="Customer_ID"/>
    <tableColumn id="2" name="Age"/>
    <tableColumn id="27" name="Age_new" dataDxfId="0">
      <calculatedColumnFormula>IF(B2=120,"NULL",B2)</calculatedColumnFormula>
    </tableColumn>
    <tableColumn id="3" name="Employment_Type"/>
    <tableColumn id="13" name="Employment_Type_New" dataDxfId="25">
      <calculatedColumnFormula>TRIM(IF(D2="Self employed","Self-Employed",D2))</calculatedColumnFormula>
    </tableColumn>
    <tableColumn id="4" name="Monthly_Income"/>
    <tableColumn id="17" name="Monthly_Income_New" dataDxfId="29">
      <calculatedColumnFormula>ABS(Table1[[#This Row],[Monthly_Income]])</calculatedColumnFormula>
    </tableColumn>
    <tableColumn id="5" name="Loan_Amount"/>
    <tableColumn id="18" name="Loan_Amount_New" dataDxfId="27">
      <calculatedColumnFormula>IF(H2="","NULL",ABS(H2))</calculatedColumnFormula>
    </tableColumn>
    <tableColumn id="6" name="Loan_Tenure_Months"/>
    <tableColumn id="7" name="Interest_Rate"/>
    <tableColumn id="8" name="Existing_Loans"/>
    <tableColumn id="19" name="Existing_Loans_New" dataDxfId="35">
      <calculatedColumnFormula>IF(L2="","NULL",L2)</calculatedColumnFormula>
    </tableColumn>
    <tableColumn id="9" name="Credit_History_Years"/>
    <tableColumn id="20" name="Credit_History_Years_New" dataDxfId="28">
      <calculatedColumnFormula>IF(N2="","NULL",ABS(N2))</calculatedColumnFormula>
    </tableColumn>
    <tableColumn id="10" name="Days_Past_Due"/>
    <tableColumn id="21" name="Days_Past_Due_New" dataDxfId="34">
      <calculatedColumnFormula>IF(P2="","NULL",P2)</calculatedColumnFormula>
    </tableColumn>
    <tableColumn id="11" name="Loan_Status"/>
    <tableColumn id="14" name="Loan_Status_New" dataDxfId="36">
      <calculatedColumnFormula>IF(R2="Non performing","Non-Performing",R2)</calculatedColumnFormula>
    </tableColumn>
    <tableColumn id="12" name="Branch"/>
    <tableColumn id="15" name="Debt-to_Income_Ratio (DTI)" dataCellStyle="Percent">
      <calculatedColumnFormula>IFERROR(I2/(G2*J2),"NULL")</calculatedColumnFormula>
    </tableColumn>
    <tableColumn id="24" name="DTI_Bands" dataDxfId="32">
      <calculatedColumnFormula>IF(U2="NULL","NULL",IF(U2&lt;=0.3,"Healthy",IF(U2&lt;=0.45,"Stretched","High Stress")))</calculatedColumnFormula>
    </tableColumn>
    <tableColumn id="16" name="Deliquency_Bands" dataDxfId="31">
      <calculatedColumnFormula>IF(Q2="NULL","NULL",IF(Q2&lt;30,"Good",IF(Q2&lt;60,"At Risk","High Risk")))</calculatedColumnFormula>
    </tableColumn>
    <tableColumn id="22" name="Loan_Size_Band" dataDxfId="33">
      <calculatedColumnFormula>IF(I2&lt;10000,"Small",IF(I2&lt;=30000,"Medium","High"))</calculatedColumnFormula>
    </tableColumn>
    <tableColumn id="23" name="Borrower_Stability_Score" dataDxfId="24">
      <calculatedColumnFormula>IF(E2="Salaried","High",IF(E2="Self-Employed","Medium","Low"))</calculatedColumnFormula>
    </tableColumn>
    <tableColumn id="25" name="Risk_Category" dataDxfId="26">
      <calculatedColumnFormula>IF(B2=120,"NULL",IF(AND(V2="High Stress", W2="High Risk", Y2="Low"),"High Risk : Reject", IF(AND(V2="Healthy", W2="Good",Y2&lt;&gt;"Low"), "Low Risk : Approve", "Medium Risk : Review")))</calculatedColumnFormula>
    </tableColumn>
    <tableColumn id="26" name="Monthly_income_Band" dataDxfId="30">
      <calculatedColumnFormula>IF(G2="NULL","NULL",IF(G2&gt;8000,"High",IF(G2&gt;2000,"Medium","Low")))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201"/>
  <sheetViews>
    <sheetView workbookViewId="0">
      <selection activeCell="O2" sqref="O2"/>
    </sheetView>
  </sheetViews>
  <sheetFormatPr baseColWidth="10" defaultRowHeight="16" x14ac:dyDescent="0.2"/>
  <cols>
    <col min="1" max="1" width="11.6640625" bestFit="1" customWidth="1"/>
    <col min="3" max="3" width="16.5" bestFit="1" customWidth="1"/>
    <col min="4" max="4" width="14.83203125" bestFit="1" customWidth="1"/>
    <col min="5" max="5" width="12.5" bestFit="1" customWidth="1"/>
    <col min="6" max="6" width="19" bestFit="1" customWidth="1"/>
    <col min="7" max="7" width="12.33203125" bestFit="1" customWidth="1"/>
    <col min="8" max="8" width="13.1640625" bestFit="1" customWidth="1"/>
    <col min="9" max="9" width="18.33203125" bestFit="1" customWidth="1"/>
    <col min="10" max="10" width="13.6640625" bestFit="1" customWidth="1"/>
    <col min="11" max="11" width="14.33203125" bestFit="1" customWidth="1"/>
    <col min="12" max="12" width="12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24272</v>
      </c>
      <c r="B2">
        <v>27</v>
      </c>
      <c r="C2" t="s">
        <v>12</v>
      </c>
      <c r="D2">
        <v>-1500</v>
      </c>
      <c r="E2">
        <v>26417.31</v>
      </c>
      <c r="F2">
        <v>36</v>
      </c>
      <c r="G2">
        <v>10.84</v>
      </c>
      <c r="H2">
        <v>4</v>
      </c>
      <c r="I2">
        <v>4.0999999999999996</v>
      </c>
      <c r="J2">
        <v>0</v>
      </c>
      <c r="K2" t="s">
        <v>13</v>
      </c>
      <c r="L2" t="s">
        <v>14</v>
      </c>
    </row>
    <row r="3" spans="1:12" x14ac:dyDescent="0.2">
      <c r="A3">
        <v>21221</v>
      </c>
      <c r="B3">
        <v>37</v>
      </c>
      <c r="C3" t="s">
        <v>12</v>
      </c>
      <c r="D3">
        <v>-1500</v>
      </c>
      <c r="E3">
        <v>17170.419999999998</v>
      </c>
      <c r="F3">
        <v>24</v>
      </c>
      <c r="G3">
        <v>21.89</v>
      </c>
      <c r="H3">
        <v>0</v>
      </c>
      <c r="I3">
        <v>6.6</v>
      </c>
      <c r="J3">
        <v>30</v>
      </c>
      <c r="K3" t="s">
        <v>15</v>
      </c>
      <c r="L3" t="s">
        <v>16</v>
      </c>
    </row>
    <row r="4" spans="1:12" x14ac:dyDescent="0.2">
      <c r="A4">
        <v>20538</v>
      </c>
      <c r="B4">
        <v>34</v>
      </c>
      <c r="C4" t="s">
        <v>17</v>
      </c>
      <c r="D4">
        <v>4042.73</v>
      </c>
      <c r="E4">
        <v>15761.35</v>
      </c>
      <c r="F4">
        <v>48</v>
      </c>
      <c r="G4">
        <v>22.02</v>
      </c>
      <c r="I4">
        <v>6.2</v>
      </c>
      <c r="J4">
        <v>0</v>
      </c>
      <c r="K4" t="s">
        <v>18</v>
      </c>
      <c r="L4" t="s">
        <v>19</v>
      </c>
    </row>
    <row r="5" spans="1:12" x14ac:dyDescent="0.2">
      <c r="A5">
        <v>22551</v>
      </c>
      <c r="B5">
        <v>35</v>
      </c>
      <c r="C5" t="s">
        <v>12</v>
      </c>
      <c r="D5">
        <v>4406.25</v>
      </c>
      <c r="E5">
        <v>9012.68</v>
      </c>
      <c r="F5">
        <v>48</v>
      </c>
      <c r="G5">
        <v>24.77</v>
      </c>
      <c r="H5">
        <v>3</v>
      </c>
      <c r="I5">
        <v>6.8</v>
      </c>
      <c r="J5">
        <v>0</v>
      </c>
      <c r="K5" t="s">
        <v>20</v>
      </c>
      <c r="L5" t="s">
        <v>19</v>
      </c>
    </row>
    <row r="6" spans="1:12" x14ac:dyDescent="0.2">
      <c r="A6">
        <v>25700</v>
      </c>
      <c r="B6">
        <v>22</v>
      </c>
      <c r="C6" t="s">
        <v>21</v>
      </c>
      <c r="D6">
        <v>4896.3900000000003</v>
      </c>
      <c r="E6">
        <v>23125.47</v>
      </c>
      <c r="F6">
        <v>60</v>
      </c>
      <c r="G6">
        <v>13.92</v>
      </c>
      <c r="H6">
        <v>1</v>
      </c>
      <c r="I6">
        <v>6.9</v>
      </c>
      <c r="J6">
        <v>0</v>
      </c>
      <c r="K6" t="s">
        <v>15</v>
      </c>
      <c r="L6" t="s">
        <v>22</v>
      </c>
    </row>
    <row r="7" spans="1:12" x14ac:dyDescent="0.2">
      <c r="A7">
        <v>24308</v>
      </c>
      <c r="B7">
        <v>51</v>
      </c>
      <c r="C7" t="s">
        <v>23</v>
      </c>
      <c r="D7">
        <v>4669.18</v>
      </c>
      <c r="E7">
        <v>13176.32</v>
      </c>
      <c r="F7">
        <v>36</v>
      </c>
      <c r="G7">
        <v>24.25</v>
      </c>
      <c r="H7">
        <v>3</v>
      </c>
      <c r="I7">
        <v>6.5</v>
      </c>
      <c r="J7">
        <v>0</v>
      </c>
      <c r="K7" t="s">
        <v>15</v>
      </c>
      <c r="L7" t="s">
        <v>14</v>
      </c>
    </row>
    <row r="8" spans="1:12" x14ac:dyDescent="0.2">
      <c r="A8">
        <v>20920</v>
      </c>
      <c r="B8">
        <v>38</v>
      </c>
      <c r="C8" t="s">
        <v>23</v>
      </c>
      <c r="D8">
        <v>3891.1</v>
      </c>
      <c r="E8">
        <v>17072.47</v>
      </c>
      <c r="F8">
        <v>60</v>
      </c>
      <c r="G8">
        <v>12.21</v>
      </c>
      <c r="H8">
        <v>2</v>
      </c>
      <c r="I8">
        <v>9.4</v>
      </c>
      <c r="K8" t="s">
        <v>13</v>
      </c>
      <c r="L8" t="s">
        <v>19</v>
      </c>
    </row>
    <row r="9" spans="1:12" x14ac:dyDescent="0.2">
      <c r="A9">
        <v>25736</v>
      </c>
      <c r="B9">
        <v>55</v>
      </c>
      <c r="C9" t="s">
        <v>23</v>
      </c>
      <c r="D9">
        <v>-1500</v>
      </c>
      <c r="E9">
        <v>16412.11</v>
      </c>
      <c r="F9">
        <v>6</v>
      </c>
      <c r="G9">
        <v>20.18</v>
      </c>
      <c r="I9">
        <v>4.3</v>
      </c>
      <c r="J9">
        <v>0</v>
      </c>
      <c r="K9" t="s">
        <v>18</v>
      </c>
      <c r="L9" t="s">
        <v>22</v>
      </c>
    </row>
    <row r="10" spans="1:12" x14ac:dyDescent="0.2">
      <c r="A10">
        <v>21373</v>
      </c>
      <c r="B10">
        <v>54</v>
      </c>
      <c r="C10" t="s">
        <v>12</v>
      </c>
      <c r="D10">
        <v>1529.87</v>
      </c>
      <c r="E10">
        <v>27758.63</v>
      </c>
      <c r="F10">
        <v>48</v>
      </c>
      <c r="G10">
        <v>15.61</v>
      </c>
      <c r="I10">
        <v>13</v>
      </c>
      <c r="J10">
        <v>0</v>
      </c>
      <c r="K10" t="s">
        <v>15</v>
      </c>
      <c r="L10" t="s">
        <v>16</v>
      </c>
    </row>
    <row r="11" spans="1:12" x14ac:dyDescent="0.2">
      <c r="A11">
        <v>23258</v>
      </c>
      <c r="B11">
        <v>21</v>
      </c>
      <c r="C11" t="s">
        <v>21</v>
      </c>
      <c r="D11">
        <v>3870.03</v>
      </c>
      <c r="E11">
        <v>16117.96</v>
      </c>
      <c r="F11">
        <v>6</v>
      </c>
      <c r="G11">
        <v>26.11</v>
      </c>
      <c r="H11">
        <v>2</v>
      </c>
      <c r="J11">
        <v>0</v>
      </c>
      <c r="K11" t="s">
        <v>15</v>
      </c>
      <c r="L11" t="s">
        <v>22</v>
      </c>
    </row>
    <row r="12" spans="1:12" x14ac:dyDescent="0.2">
      <c r="A12">
        <v>22584</v>
      </c>
      <c r="B12">
        <v>40</v>
      </c>
      <c r="C12" t="s">
        <v>12</v>
      </c>
      <c r="D12">
        <v>5921.4</v>
      </c>
      <c r="F12">
        <v>18</v>
      </c>
      <c r="G12">
        <v>11.33</v>
      </c>
      <c r="H12">
        <v>4</v>
      </c>
      <c r="I12">
        <v>8.5</v>
      </c>
      <c r="K12" t="s">
        <v>18</v>
      </c>
      <c r="L12" t="s">
        <v>19</v>
      </c>
    </row>
    <row r="13" spans="1:12" x14ac:dyDescent="0.2">
      <c r="A13">
        <v>23657</v>
      </c>
      <c r="B13">
        <v>63</v>
      </c>
      <c r="C13" t="s">
        <v>23</v>
      </c>
      <c r="D13">
        <v>6747.83</v>
      </c>
      <c r="E13">
        <v>20561.05</v>
      </c>
      <c r="F13">
        <v>48</v>
      </c>
      <c r="G13">
        <v>23.68</v>
      </c>
      <c r="H13">
        <v>4</v>
      </c>
      <c r="I13">
        <v>8.6</v>
      </c>
      <c r="J13">
        <v>0</v>
      </c>
      <c r="K13" t="s">
        <v>20</v>
      </c>
      <c r="L13" t="s">
        <v>19</v>
      </c>
    </row>
    <row r="14" spans="1:12" x14ac:dyDescent="0.2">
      <c r="A14">
        <v>24442</v>
      </c>
      <c r="B14">
        <v>49</v>
      </c>
      <c r="C14" t="s">
        <v>23</v>
      </c>
      <c r="D14">
        <v>5446.05</v>
      </c>
      <c r="E14">
        <v>39740.629999999997</v>
      </c>
      <c r="F14">
        <v>48</v>
      </c>
      <c r="G14">
        <v>7.26</v>
      </c>
      <c r="I14">
        <v>4.5999999999999996</v>
      </c>
      <c r="J14">
        <v>60</v>
      </c>
      <c r="K14" t="s">
        <v>15</v>
      </c>
      <c r="L14" t="s">
        <v>22</v>
      </c>
    </row>
    <row r="15" spans="1:12" x14ac:dyDescent="0.2">
      <c r="A15">
        <v>24463</v>
      </c>
      <c r="B15">
        <v>26</v>
      </c>
      <c r="C15" t="s">
        <v>23</v>
      </c>
      <c r="D15">
        <v>7918.16</v>
      </c>
      <c r="E15">
        <v>24529.94</v>
      </c>
      <c r="F15">
        <v>60</v>
      </c>
      <c r="G15">
        <v>17.48</v>
      </c>
      <c r="H15">
        <v>1</v>
      </c>
      <c r="I15">
        <v>6.7</v>
      </c>
      <c r="J15">
        <v>0</v>
      </c>
      <c r="K15" t="s">
        <v>24</v>
      </c>
      <c r="L15" t="s">
        <v>25</v>
      </c>
    </row>
    <row r="16" spans="1:12" x14ac:dyDescent="0.2">
      <c r="A16">
        <v>22779</v>
      </c>
      <c r="B16">
        <v>41</v>
      </c>
      <c r="C16" t="s">
        <v>26</v>
      </c>
      <c r="D16">
        <v>-1500</v>
      </c>
      <c r="E16">
        <v>20880.16</v>
      </c>
      <c r="F16">
        <v>18</v>
      </c>
      <c r="G16">
        <v>16.53</v>
      </c>
      <c r="H16">
        <v>4</v>
      </c>
      <c r="I16">
        <v>3.1</v>
      </c>
      <c r="J16">
        <v>0</v>
      </c>
      <c r="K16" t="s">
        <v>20</v>
      </c>
      <c r="L16" t="s">
        <v>16</v>
      </c>
    </row>
    <row r="17" spans="1:12" x14ac:dyDescent="0.2">
      <c r="A17">
        <v>25001</v>
      </c>
      <c r="B17">
        <v>40</v>
      </c>
      <c r="C17" t="s">
        <v>26</v>
      </c>
      <c r="D17">
        <v>3157.05</v>
      </c>
      <c r="E17">
        <v>19119.919999999998</v>
      </c>
      <c r="F17">
        <v>12</v>
      </c>
      <c r="G17">
        <v>8.19</v>
      </c>
      <c r="H17">
        <v>4</v>
      </c>
      <c r="I17">
        <v>15.7</v>
      </c>
      <c r="J17">
        <v>0</v>
      </c>
      <c r="K17" t="s">
        <v>18</v>
      </c>
      <c r="L17" t="s">
        <v>14</v>
      </c>
    </row>
    <row r="18" spans="1:12" x14ac:dyDescent="0.2">
      <c r="A18">
        <v>23240</v>
      </c>
      <c r="B18">
        <v>61</v>
      </c>
      <c r="C18" t="s">
        <v>23</v>
      </c>
      <c r="D18">
        <v>6608.54</v>
      </c>
      <c r="E18">
        <v>16723.009999999998</v>
      </c>
      <c r="F18">
        <v>24</v>
      </c>
      <c r="G18">
        <v>20.71</v>
      </c>
      <c r="H18">
        <v>4</v>
      </c>
      <c r="I18">
        <v>11.4</v>
      </c>
      <c r="J18">
        <v>120</v>
      </c>
      <c r="K18" t="s">
        <v>24</v>
      </c>
      <c r="L18" t="s">
        <v>19</v>
      </c>
    </row>
    <row r="19" spans="1:12" x14ac:dyDescent="0.2">
      <c r="A19">
        <v>21093</v>
      </c>
      <c r="B19">
        <v>22</v>
      </c>
      <c r="C19" t="s">
        <v>23</v>
      </c>
      <c r="D19">
        <v>8016.85</v>
      </c>
      <c r="E19">
        <v>9467.32</v>
      </c>
      <c r="F19">
        <v>12</v>
      </c>
      <c r="G19">
        <v>23.05</v>
      </c>
      <c r="H19">
        <v>2</v>
      </c>
      <c r="I19">
        <v>8.6999999999999993</v>
      </c>
      <c r="J19">
        <v>15</v>
      </c>
      <c r="K19" t="s">
        <v>13</v>
      </c>
      <c r="L19" t="s">
        <v>16</v>
      </c>
    </row>
    <row r="20" spans="1:12" x14ac:dyDescent="0.2">
      <c r="A20">
        <v>21457</v>
      </c>
      <c r="B20">
        <v>75</v>
      </c>
      <c r="C20" t="s">
        <v>26</v>
      </c>
      <c r="D20">
        <v>6176.71</v>
      </c>
      <c r="E20">
        <v>21808.720000000001</v>
      </c>
      <c r="F20">
        <v>12</v>
      </c>
      <c r="G20">
        <v>28.97</v>
      </c>
      <c r="I20">
        <v>4.7</v>
      </c>
      <c r="J20">
        <v>0</v>
      </c>
      <c r="K20" t="s">
        <v>13</v>
      </c>
      <c r="L20" t="s">
        <v>16</v>
      </c>
    </row>
    <row r="21" spans="1:12" x14ac:dyDescent="0.2">
      <c r="A21">
        <v>20392</v>
      </c>
      <c r="B21">
        <v>36</v>
      </c>
      <c r="C21" t="s">
        <v>27</v>
      </c>
      <c r="D21">
        <v>5635.05</v>
      </c>
      <c r="E21">
        <v>31457.38</v>
      </c>
      <c r="F21">
        <v>48</v>
      </c>
      <c r="G21">
        <v>24.57</v>
      </c>
      <c r="H21">
        <v>1</v>
      </c>
      <c r="I21">
        <v>11.3</v>
      </c>
      <c r="J21">
        <v>120</v>
      </c>
      <c r="K21" t="s">
        <v>18</v>
      </c>
      <c r="L21" t="s">
        <v>19</v>
      </c>
    </row>
    <row r="22" spans="1:12" x14ac:dyDescent="0.2">
      <c r="A22">
        <v>25196</v>
      </c>
      <c r="B22">
        <v>36</v>
      </c>
      <c r="C22" t="s">
        <v>12</v>
      </c>
      <c r="D22">
        <v>4241.63</v>
      </c>
      <c r="E22">
        <v>38958.94</v>
      </c>
      <c r="F22">
        <v>48</v>
      </c>
      <c r="G22">
        <v>24.96</v>
      </c>
      <c r="H22">
        <v>1</v>
      </c>
      <c r="I22">
        <v>4.3</v>
      </c>
      <c r="J22">
        <v>15</v>
      </c>
      <c r="K22" t="s">
        <v>13</v>
      </c>
      <c r="L22" t="s">
        <v>14</v>
      </c>
    </row>
    <row r="23" spans="1:12" x14ac:dyDescent="0.2">
      <c r="A23">
        <v>22872</v>
      </c>
      <c r="B23">
        <v>38</v>
      </c>
      <c r="C23" t="s">
        <v>23</v>
      </c>
      <c r="D23">
        <v>3759.17</v>
      </c>
      <c r="E23">
        <v>8771.09</v>
      </c>
      <c r="F23">
        <v>36</v>
      </c>
      <c r="G23">
        <v>14.17</v>
      </c>
      <c r="H23">
        <v>3</v>
      </c>
      <c r="I23">
        <v>8.4</v>
      </c>
      <c r="J23">
        <v>90</v>
      </c>
      <c r="K23" t="s">
        <v>20</v>
      </c>
      <c r="L23" t="s">
        <v>22</v>
      </c>
    </row>
    <row r="24" spans="1:12" x14ac:dyDescent="0.2">
      <c r="A24">
        <v>22299</v>
      </c>
      <c r="B24">
        <v>30</v>
      </c>
      <c r="C24" t="s">
        <v>17</v>
      </c>
      <c r="D24">
        <v>5246.4</v>
      </c>
      <c r="E24">
        <v>13174.55</v>
      </c>
      <c r="F24">
        <v>12</v>
      </c>
      <c r="G24">
        <v>15.31</v>
      </c>
      <c r="H24">
        <v>2</v>
      </c>
      <c r="I24">
        <v>12.3</v>
      </c>
      <c r="J24">
        <v>90</v>
      </c>
      <c r="K24" t="s">
        <v>13</v>
      </c>
      <c r="L24" t="s">
        <v>16</v>
      </c>
    </row>
    <row r="25" spans="1:12" x14ac:dyDescent="0.2">
      <c r="A25">
        <v>23517</v>
      </c>
      <c r="B25">
        <v>46</v>
      </c>
      <c r="C25" t="s">
        <v>12</v>
      </c>
      <c r="D25">
        <v>1938.73</v>
      </c>
      <c r="E25">
        <v>31791.33</v>
      </c>
      <c r="F25">
        <v>36</v>
      </c>
      <c r="G25">
        <v>20.46</v>
      </c>
      <c r="I25">
        <v>5.0999999999999996</v>
      </c>
      <c r="J25">
        <v>0</v>
      </c>
      <c r="K25" t="s">
        <v>20</v>
      </c>
      <c r="L25" t="s">
        <v>14</v>
      </c>
    </row>
    <row r="26" spans="1:12" x14ac:dyDescent="0.2">
      <c r="A26">
        <v>23117</v>
      </c>
      <c r="B26">
        <v>54</v>
      </c>
      <c r="C26" t="s">
        <v>12</v>
      </c>
      <c r="D26">
        <v>8065.05</v>
      </c>
      <c r="E26">
        <v>28728.53</v>
      </c>
      <c r="F26">
        <v>60</v>
      </c>
      <c r="G26">
        <v>19.32</v>
      </c>
      <c r="H26">
        <v>0</v>
      </c>
      <c r="I26">
        <v>6.8</v>
      </c>
      <c r="J26">
        <v>0</v>
      </c>
      <c r="K26" t="s">
        <v>20</v>
      </c>
      <c r="L26" t="s">
        <v>16</v>
      </c>
    </row>
    <row r="27" spans="1:12" x14ac:dyDescent="0.2">
      <c r="A27">
        <v>23776</v>
      </c>
      <c r="B27">
        <v>23</v>
      </c>
      <c r="C27" t="s">
        <v>12</v>
      </c>
      <c r="D27">
        <v>5365.6</v>
      </c>
      <c r="E27">
        <v>21754.09</v>
      </c>
      <c r="F27">
        <v>6</v>
      </c>
      <c r="G27">
        <v>21.54</v>
      </c>
      <c r="H27">
        <v>4</v>
      </c>
      <c r="I27">
        <v>5.2</v>
      </c>
      <c r="J27">
        <v>120</v>
      </c>
      <c r="K27" t="s">
        <v>15</v>
      </c>
      <c r="L27" t="s">
        <v>25</v>
      </c>
    </row>
    <row r="28" spans="1:12" x14ac:dyDescent="0.2">
      <c r="A28">
        <v>21350</v>
      </c>
      <c r="B28">
        <v>59</v>
      </c>
      <c r="C28" t="s">
        <v>26</v>
      </c>
      <c r="D28">
        <v>3838.26</v>
      </c>
      <c r="E28">
        <v>19966.7</v>
      </c>
      <c r="F28">
        <v>48</v>
      </c>
      <c r="G28">
        <v>20.86</v>
      </c>
      <c r="H28">
        <v>2</v>
      </c>
      <c r="I28">
        <v>11.4</v>
      </c>
      <c r="J28">
        <v>0</v>
      </c>
      <c r="K28" t="s">
        <v>15</v>
      </c>
      <c r="L28" t="s">
        <v>19</v>
      </c>
    </row>
    <row r="29" spans="1:12" x14ac:dyDescent="0.2">
      <c r="A29">
        <v>23897</v>
      </c>
      <c r="B29">
        <v>21</v>
      </c>
      <c r="C29" t="s">
        <v>26</v>
      </c>
      <c r="D29">
        <v>6227.16</v>
      </c>
      <c r="E29">
        <v>20328.91</v>
      </c>
      <c r="F29">
        <v>6</v>
      </c>
      <c r="G29">
        <v>14.27</v>
      </c>
      <c r="I29">
        <v>-0.8</v>
      </c>
      <c r="J29">
        <v>60</v>
      </c>
      <c r="K29" t="s">
        <v>20</v>
      </c>
      <c r="L29" t="s">
        <v>25</v>
      </c>
    </row>
    <row r="30" spans="1:12" x14ac:dyDescent="0.2">
      <c r="A30">
        <v>21177</v>
      </c>
      <c r="B30">
        <v>49</v>
      </c>
      <c r="C30" t="s">
        <v>17</v>
      </c>
      <c r="D30">
        <v>2576.19</v>
      </c>
      <c r="E30">
        <v>15161.91</v>
      </c>
      <c r="F30">
        <v>36</v>
      </c>
      <c r="G30">
        <v>19.3</v>
      </c>
      <c r="H30">
        <v>3</v>
      </c>
      <c r="I30">
        <v>12.6</v>
      </c>
      <c r="J30">
        <v>0</v>
      </c>
      <c r="K30" t="s">
        <v>15</v>
      </c>
      <c r="L30" t="s">
        <v>22</v>
      </c>
    </row>
    <row r="31" spans="1:12" x14ac:dyDescent="0.2">
      <c r="A31">
        <v>24280</v>
      </c>
      <c r="B31">
        <v>21</v>
      </c>
      <c r="C31" t="s">
        <v>12</v>
      </c>
      <c r="D31">
        <v>3108.58</v>
      </c>
      <c r="E31">
        <v>12446.73</v>
      </c>
      <c r="F31">
        <v>18</v>
      </c>
      <c r="G31">
        <v>19.04</v>
      </c>
      <c r="H31">
        <v>0</v>
      </c>
      <c r="I31">
        <v>5.2</v>
      </c>
      <c r="J31">
        <v>60</v>
      </c>
      <c r="K31" t="s">
        <v>13</v>
      </c>
      <c r="L31" t="s">
        <v>25</v>
      </c>
    </row>
    <row r="32" spans="1:12" x14ac:dyDescent="0.2">
      <c r="A32">
        <v>22998</v>
      </c>
      <c r="B32">
        <v>29</v>
      </c>
      <c r="C32" t="s">
        <v>12</v>
      </c>
      <c r="D32">
        <v>5719.12</v>
      </c>
      <c r="E32">
        <v>22304.639999999999</v>
      </c>
      <c r="F32">
        <v>12</v>
      </c>
      <c r="G32">
        <v>11.99</v>
      </c>
      <c r="H32">
        <v>3</v>
      </c>
      <c r="I32">
        <v>12.2</v>
      </c>
      <c r="J32">
        <v>0</v>
      </c>
      <c r="K32" t="s">
        <v>13</v>
      </c>
      <c r="L32" t="s">
        <v>14</v>
      </c>
    </row>
    <row r="33" spans="1:12" x14ac:dyDescent="0.2">
      <c r="A33">
        <v>24860</v>
      </c>
      <c r="B33">
        <v>27</v>
      </c>
      <c r="C33" t="s">
        <v>26</v>
      </c>
      <c r="D33">
        <v>4341.58</v>
      </c>
      <c r="E33">
        <v>4480.5200000000004</v>
      </c>
      <c r="F33">
        <v>60</v>
      </c>
      <c r="G33">
        <v>21.9</v>
      </c>
      <c r="H33">
        <v>2</v>
      </c>
      <c r="I33">
        <v>5.9</v>
      </c>
      <c r="J33">
        <v>120</v>
      </c>
      <c r="K33" t="s">
        <v>15</v>
      </c>
      <c r="L33" t="s">
        <v>19</v>
      </c>
    </row>
    <row r="34" spans="1:12" x14ac:dyDescent="0.2">
      <c r="A34">
        <v>24033</v>
      </c>
      <c r="B34">
        <v>49</v>
      </c>
      <c r="C34" t="s">
        <v>21</v>
      </c>
      <c r="D34">
        <v>6227.68</v>
      </c>
      <c r="E34">
        <v>17997</v>
      </c>
      <c r="F34">
        <v>36</v>
      </c>
      <c r="G34">
        <v>27.97</v>
      </c>
      <c r="H34">
        <v>0</v>
      </c>
      <c r="J34">
        <v>0</v>
      </c>
      <c r="K34" t="s">
        <v>18</v>
      </c>
      <c r="L34" t="s">
        <v>22</v>
      </c>
    </row>
    <row r="35" spans="1:12" x14ac:dyDescent="0.2">
      <c r="A35">
        <v>24387</v>
      </c>
      <c r="B35">
        <v>49</v>
      </c>
      <c r="C35" t="s">
        <v>12</v>
      </c>
      <c r="D35">
        <v>6408.13</v>
      </c>
      <c r="E35">
        <v>21749.37</v>
      </c>
      <c r="F35">
        <v>48</v>
      </c>
      <c r="G35">
        <v>12.71</v>
      </c>
      <c r="H35">
        <v>3</v>
      </c>
      <c r="I35">
        <v>7.1</v>
      </c>
      <c r="J35">
        <v>0</v>
      </c>
      <c r="K35" t="s">
        <v>13</v>
      </c>
      <c r="L35" t="s">
        <v>25</v>
      </c>
    </row>
    <row r="36" spans="1:12" x14ac:dyDescent="0.2">
      <c r="A36">
        <v>20313</v>
      </c>
      <c r="B36">
        <v>53</v>
      </c>
      <c r="C36" t="s">
        <v>23</v>
      </c>
      <c r="D36">
        <v>8056.71</v>
      </c>
      <c r="E36">
        <v>26859.22</v>
      </c>
      <c r="F36">
        <v>36</v>
      </c>
      <c r="G36">
        <v>18.989999999999998</v>
      </c>
      <c r="I36">
        <v>10.6</v>
      </c>
      <c r="J36">
        <v>0</v>
      </c>
      <c r="K36" t="s">
        <v>15</v>
      </c>
      <c r="L36" t="s">
        <v>25</v>
      </c>
    </row>
    <row r="37" spans="1:12" x14ac:dyDescent="0.2">
      <c r="A37">
        <v>25583</v>
      </c>
      <c r="B37">
        <v>38</v>
      </c>
      <c r="C37" t="s">
        <v>26</v>
      </c>
      <c r="D37">
        <v>1820.56</v>
      </c>
      <c r="E37">
        <v>12331.18</v>
      </c>
      <c r="F37">
        <v>24</v>
      </c>
      <c r="G37">
        <v>15.97</v>
      </c>
      <c r="H37">
        <v>2</v>
      </c>
      <c r="I37">
        <v>9.6999999999999993</v>
      </c>
      <c r="J37">
        <v>120</v>
      </c>
      <c r="K37" t="s">
        <v>18</v>
      </c>
      <c r="L37" t="s">
        <v>19</v>
      </c>
    </row>
    <row r="38" spans="1:12" x14ac:dyDescent="0.2">
      <c r="A38">
        <v>20773</v>
      </c>
      <c r="B38">
        <v>42</v>
      </c>
      <c r="C38" t="s">
        <v>23</v>
      </c>
      <c r="D38">
        <v>4022.39</v>
      </c>
      <c r="E38">
        <v>28390.76</v>
      </c>
      <c r="F38">
        <v>24</v>
      </c>
      <c r="G38">
        <v>26.48</v>
      </c>
      <c r="H38">
        <v>3</v>
      </c>
      <c r="I38">
        <v>-0.8</v>
      </c>
      <c r="J38">
        <v>120</v>
      </c>
      <c r="K38" t="s">
        <v>20</v>
      </c>
      <c r="L38" t="s">
        <v>14</v>
      </c>
    </row>
    <row r="39" spans="1:12" x14ac:dyDescent="0.2">
      <c r="A39">
        <v>21162</v>
      </c>
      <c r="B39">
        <v>54</v>
      </c>
      <c r="C39" t="s">
        <v>12</v>
      </c>
      <c r="D39">
        <v>7062.88</v>
      </c>
      <c r="E39">
        <v>-5864.6</v>
      </c>
      <c r="F39">
        <v>12</v>
      </c>
      <c r="G39">
        <v>18.440000000000001</v>
      </c>
      <c r="H39">
        <v>0</v>
      </c>
      <c r="I39">
        <v>10.4</v>
      </c>
      <c r="J39">
        <v>0</v>
      </c>
      <c r="K39" t="s">
        <v>24</v>
      </c>
      <c r="L39" t="s">
        <v>16</v>
      </c>
    </row>
    <row r="40" spans="1:12" x14ac:dyDescent="0.2">
      <c r="A40">
        <v>21220</v>
      </c>
      <c r="B40">
        <v>28</v>
      </c>
      <c r="C40" t="s">
        <v>21</v>
      </c>
      <c r="D40">
        <v>4787.5600000000004</v>
      </c>
      <c r="E40">
        <v>15260.31</v>
      </c>
      <c r="F40">
        <v>24</v>
      </c>
      <c r="G40">
        <v>12.43</v>
      </c>
      <c r="H40">
        <v>0</v>
      </c>
      <c r="I40">
        <v>0.5</v>
      </c>
      <c r="J40">
        <v>0</v>
      </c>
      <c r="K40" t="s">
        <v>13</v>
      </c>
      <c r="L40" t="s">
        <v>16</v>
      </c>
    </row>
    <row r="41" spans="1:12" x14ac:dyDescent="0.2">
      <c r="A41">
        <v>25041</v>
      </c>
      <c r="B41">
        <v>25</v>
      </c>
      <c r="C41" t="s">
        <v>12</v>
      </c>
      <c r="D41">
        <v>4151.49</v>
      </c>
      <c r="E41">
        <v>13668.85</v>
      </c>
      <c r="F41">
        <v>24</v>
      </c>
      <c r="G41">
        <v>25.86</v>
      </c>
      <c r="H41">
        <v>0</v>
      </c>
      <c r="I41">
        <v>3.6</v>
      </c>
      <c r="J41">
        <v>90</v>
      </c>
      <c r="K41" t="s">
        <v>24</v>
      </c>
      <c r="L41" t="s">
        <v>14</v>
      </c>
    </row>
    <row r="42" spans="1:12" x14ac:dyDescent="0.2">
      <c r="A42">
        <v>20258</v>
      </c>
      <c r="B42">
        <v>26</v>
      </c>
      <c r="C42" t="s">
        <v>26</v>
      </c>
      <c r="D42">
        <v>3796.61</v>
      </c>
      <c r="E42">
        <v>6193.06</v>
      </c>
      <c r="F42">
        <v>6</v>
      </c>
      <c r="G42">
        <v>16.45</v>
      </c>
      <c r="H42">
        <v>2</v>
      </c>
      <c r="J42">
        <v>120</v>
      </c>
      <c r="K42" t="s">
        <v>15</v>
      </c>
      <c r="L42" t="s">
        <v>19</v>
      </c>
    </row>
    <row r="43" spans="1:12" x14ac:dyDescent="0.2">
      <c r="A43">
        <v>21729</v>
      </c>
      <c r="B43">
        <v>58</v>
      </c>
      <c r="C43" t="s">
        <v>17</v>
      </c>
      <c r="D43">
        <v>8909.2800000000007</v>
      </c>
      <c r="E43">
        <v>20658.150000000001</v>
      </c>
      <c r="F43">
        <v>24</v>
      </c>
      <c r="G43">
        <v>15.33</v>
      </c>
      <c r="I43">
        <v>1.7</v>
      </c>
      <c r="J43">
        <v>120</v>
      </c>
      <c r="K43" t="s">
        <v>13</v>
      </c>
      <c r="L43" t="s">
        <v>14</v>
      </c>
    </row>
    <row r="44" spans="1:12" x14ac:dyDescent="0.2">
      <c r="A44">
        <v>22449</v>
      </c>
      <c r="B44">
        <v>51</v>
      </c>
      <c r="C44" t="s">
        <v>27</v>
      </c>
      <c r="D44">
        <v>5344.65</v>
      </c>
      <c r="E44">
        <v>11473.46</v>
      </c>
      <c r="F44">
        <v>48</v>
      </c>
      <c r="G44">
        <v>22.53</v>
      </c>
      <c r="H44">
        <v>4</v>
      </c>
      <c r="I44">
        <v>7.9</v>
      </c>
      <c r="J44">
        <v>90</v>
      </c>
      <c r="K44" t="s">
        <v>24</v>
      </c>
      <c r="L44" t="s">
        <v>22</v>
      </c>
    </row>
    <row r="45" spans="1:12" x14ac:dyDescent="0.2">
      <c r="A45">
        <v>25470</v>
      </c>
      <c r="B45">
        <v>50</v>
      </c>
      <c r="C45" t="s">
        <v>27</v>
      </c>
      <c r="D45">
        <v>3786.52</v>
      </c>
      <c r="E45">
        <v>20818.849999999999</v>
      </c>
      <c r="F45">
        <v>60</v>
      </c>
      <c r="G45">
        <v>19.239999999999998</v>
      </c>
      <c r="H45">
        <v>1</v>
      </c>
      <c r="I45">
        <v>10.8</v>
      </c>
      <c r="J45">
        <v>30</v>
      </c>
      <c r="K45" t="s">
        <v>24</v>
      </c>
      <c r="L45" t="s">
        <v>16</v>
      </c>
    </row>
    <row r="46" spans="1:12" x14ac:dyDescent="0.2">
      <c r="A46">
        <v>22989</v>
      </c>
      <c r="B46">
        <v>54</v>
      </c>
      <c r="C46" t="s">
        <v>12</v>
      </c>
      <c r="D46">
        <v>4609.5600000000004</v>
      </c>
      <c r="F46">
        <v>48</v>
      </c>
      <c r="G46">
        <v>20.48</v>
      </c>
      <c r="H46">
        <v>2</v>
      </c>
      <c r="I46">
        <v>1.9</v>
      </c>
      <c r="J46">
        <v>60</v>
      </c>
      <c r="K46" t="s">
        <v>13</v>
      </c>
      <c r="L46" t="s">
        <v>14</v>
      </c>
    </row>
    <row r="47" spans="1:12" x14ac:dyDescent="0.2">
      <c r="A47">
        <v>20765</v>
      </c>
      <c r="B47">
        <v>26</v>
      </c>
      <c r="C47" t="s">
        <v>21</v>
      </c>
      <c r="D47">
        <v>5271.12</v>
      </c>
      <c r="E47">
        <v>36559.660000000003</v>
      </c>
      <c r="F47">
        <v>12</v>
      </c>
      <c r="G47">
        <v>10.87</v>
      </c>
      <c r="H47">
        <v>0</v>
      </c>
      <c r="I47">
        <v>8</v>
      </c>
      <c r="J47">
        <v>0</v>
      </c>
      <c r="K47" t="s">
        <v>15</v>
      </c>
      <c r="L47" t="s">
        <v>19</v>
      </c>
    </row>
    <row r="48" spans="1:12" x14ac:dyDescent="0.2">
      <c r="A48">
        <v>25704</v>
      </c>
      <c r="B48">
        <v>45</v>
      </c>
      <c r="C48" t="s">
        <v>26</v>
      </c>
      <c r="D48">
        <v>9798.31</v>
      </c>
      <c r="E48">
        <v>14844.9</v>
      </c>
      <c r="F48">
        <v>24</v>
      </c>
      <c r="G48">
        <v>17.82</v>
      </c>
      <c r="H48">
        <v>1</v>
      </c>
      <c r="I48">
        <v>7.8</v>
      </c>
      <c r="J48">
        <v>120</v>
      </c>
      <c r="K48" t="s">
        <v>20</v>
      </c>
      <c r="L48" t="s">
        <v>14</v>
      </c>
    </row>
    <row r="49" spans="1:12" x14ac:dyDescent="0.2">
      <c r="A49">
        <v>22794</v>
      </c>
      <c r="B49">
        <v>21</v>
      </c>
      <c r="C49" t="s">
        <v>27</v>
      </c>
      <c r="D49">
        <v>4205</v>
      </c>
      <c r="E49">
        <v>29182.51</v>
      </c>
      <c r="F49">
        <v>24</v>
      </c>
      <c r="G49">
        <v>15.2</v>
      </c>
      <c r="I49">
        <v>6.2</v>
      </c>
      <c r="K49" t="s">
        <v>15</v>
      </c>
      <c r="L49" t="s">
        <v>16</v>
      </c>
    </row>
    <row r="50" spans="1:12" x14ac:dyDescent="0.2">
      <c r="A50">
        <v>22852</v>
      </c>
      <c r="B50">
        <v>60</v>
      </c>
      <c r="C50" t="s">
        <v>21</v>
      </c>
      <c r="D50">
        <v>6272.72</v>
      </c>
      <c r="E50">
        <v>19561.8</v>
      </c>
      <c r="F50">
        <v>48</v>
      </c>
      <c r="G50">
        <v>19.899999999999999</v>
      </c>
      <c r="H50">
        <v>3</v>
      </c>
      <c r="I50">
        <v>8.8000000000000007</v>
      </c>
      <c r="J50">
        <v>90</v>
      </c>
      <c r="K50" t="s">
        <v>18</v>
      </c>
      <c r="L50" t="s">
        <v>22</v>
      </c>
    </row>
    <row r="51" spans="1:12" x14ac:dyDescent="0.2">
      <c r="A51">
        <v>25569</v>
      </c>
      <c r="B51">
        <v>37</v>
      </c>
      <c r="C51" t="s">
        <v>21</v>
      </c>
      <c r="D51">
        <v>4012.5</v>
      </c>
      <c r="E51">
        <v>20328.95</v>
      </c>
      <c r="F51">
        <v>18</v>
      </c>
      <c r="G51">
        <v>29.3</v>
      </c>
      <c r="H51">
        <v>0</v>
      </c>
      <c r="I51">
        <v>6.6</v>
      </c>
      <c r="J51">
        <v>15</v>
      </c>
      <c r="K51" t="s">
        <v>24</v>
      </c>
      <c r="L51" t="s">
        <v>19</v>
      </c>
    </row>
    <row r="52" spans="1:12" x14ac:dyDescent="0.2">
      <c r="A52">
        <v>25438</v>
      </c>
      <c r="B52">
        <v>37</v>
      </c>
      <c r="C52" t="s">
        <v>17</v>
      </c>
      <c r="D52">
        <v>3768.47</v>
      </c>
      <c r="E52">
        <v>28192.37</v>
      </c>
      <c r="F52">
        <v>18</v>
      </c>
      <c r="G52">
        <v>17.53</v>
      </c>
      <c r="H52">
        <v>4</v>
      </c>
      <c r="I52">
        <v>6.6</v>
      </c>
      <c r="J52">
        <v>60</v>
      </c>
      <c r="K52" t="s">
        <v>13</v>
      </c>
      <c r="L52" t="s">
        <v>19</v>
      </c>
    </row>
    <row r="53" spans="1:12" x14ac:dyDescent="0.2">
      <c r="A53">
        <v>25512</v>
      </c>
      <c r="B53">
        <v>33</v>
      </c>
      <c r="C53" t="s">
        <v>12</v>
      </c>
      <c r="D53">
        <v>4355.04</v>
      </c>
      <c r="E53">
        <v>22093.18</v>
      </c>
      <c r="F53">
        <v>12</v>
      </c>
      <c r="G53">
        <v>20.54</v>
      </c>
      <c r="H53">
        <v>4</v>
      </c>
      <c r="I53">
        <v>3.2</v>
      </c>
      <c r="K53" t="s">
        <v>24</v>
      </c>
      <c r="L53" t="s">
        <v>16</v>
      </c>
    </row>
    <row r="54" spans="1:12" x14ac:dyDescent="0.2">
      <c r="A54">
        <v>25272</v>
      </c>
      <c r="B54">
        <v>43</v>
      </c>
      <c r="C54" t="s">
        <v>12</v>
      </c>
      <c r="D54">
        <v>6931.81</v>
      </c>
      <c r="E54">
        <v>24241.84</v>
      </c>
      <c r="F54">
        <v>12</v>
      </c>
      <c r="G54">
        <v>14.28</v>
      </c>
      <c r="H54">
        <v>2</v>
      </c>
      <c r="I54">
        <v>4.3</v>
      </c>
      <c r="J54">
        <v>0</v>
      </c>
      <c r="K54" t="s">
        <v>15</v>
      </c>
      <c r="L54" t="s">
        <v>25</v>
      </c>
    </row>
    <row r="55" spans="1:12" x14ac:dyDescent="0.2">
      <c r="A55">
        <v>20093</v>
      </c>
      <c r="B55">
        <v>24</v>
      </c>
      <c r="C55" t="s">
        <v>23</v>
      </c>
      <c r="D55">
        <v>2406.61</v>
      </c>
      <c r="E55">
        <v>36748.35</v>
      </c>
      <c r="F55">
        <v>48</v>
      </c>
      <c r="G55">
        <v>22.19</v>
      </c>
      <c r="H55">
        <v>0</v>
      </c>
      <c r="I55">
        <v>11.8</v>
      </c>
      <c r="J55">
        <v>30</v>
      </c>
      <c r="K55" t="s">
        <v>20</v>
      </c>
      <c r="L55" t="s">
        <v>16</v>
      </c>
    </row>
    <row r="56" spans="1:12" x14ac:dyDescent="0.2">
      <c r="A56">
        <v>24856</v>
      </c>
      <c r="B56">
        <v>41</v>
      </c>
      <c r="C56" t="s">
        <v>26</v>
      </c>
      <c r="D56">
        <v>4020.55</v>
      </c>
      <c r="E56">
        <v>23557.51</v>
      </c>
      <c r="F56">
        <v>60</v>
      </c>
      <c r="G56">
        <v>14.08</v>
      </c>
      <c r="H56">
        <v>4</v>
      </c>
      <c r="I56">
        <v>12.2</v>
      </c>
      <c r="J56">
        <v>15</v>
      </c>
      <c r="K56" t="s">
        <v>18</v>
      </c>
      <c r="L56" t="s">
        <v>16</v>
      </c>
    </row>
    <row r="57" spans="1:12" x14ac:dyDescent="0.2">
      <c r="A57">
        <v>21249</v>
      </c>
      <c r="B57">
        <v>25</v>
      </c>
      <c r="C57" t="s">
        <v>21</v>
      </c>
      <c r="D57">
        <v>3856.45</v>
      </c>
      <c r="E57">
        <v>30500.69</v>
      </c>
      <c r="F57">
        <v>60</v>
      </c>
      <c r="G57">
        <v>18.29</v>
      </c>
      <c r="H57">
        <v>4</v>
      </c>
      <c r="I57">
        <v>15.1</v>
      </c>
      <c r="J57">
        <v>0</v>
      </c>
      <c r="K57" t="s">
        <v>20</v>
      </c>
      <c r="L57" t="s">
        <v>16</v>
      </c>
    </row>
    <row r="58" spans="1:12" x14ac:dyDescent="0.2">
      <c r="A58">
        <v>21686</v>
      </c>
      <c r="B58">
        <v>27</v>
      </c>
      <c r="C58" t="s">
        <v>27</v>
      </c>
      <c r="D58">
        <v>4856.5600000000004</v>
      </c>
      <c r="E58">
        <v>19254.830000000002</v>
      </c>
      <c r="F58">
        <v>60</v>
      </c>
      <c r="G58">
        <v>18.920000000000002</v>
      </c>
      <c r="H58">
        <v>1</v>
      </c>
      <c r="I58">
        <v>10.1</v>
      </c>
      <c r="K58" t="s">
        <v>24</v>
      </c>
      <c r="L58" t="s">
        <v>22</v>
      </c>
    </row>
    <row r="59" spans="1:12" x14ac:dyDescent="0.2">
      <c r="A59">
        <v>22405</v>
      </c>
      <c r="B59">
        <v>58</v>
      </c>
      <c r="C59" t="s">
        <v>23</v>
      </c>
      <c r="D59">
        <v>-812.59</v>
      </c>
      <c r="E59">
        <v>21899.73</v>
      </c>
      <c r="F59">
        <v>24</v>
      </c>
      <c r="G59">
        <v>17.829999999999998</v>
      </c>
      <c r="H59">
        <v>2</v>
      </c>
      <c r="I59">
        <v>5.8</v>
      </c>
      <c r="J59">
        <v>0</v>
      </c>
      <c r="K59" t="s">
        <v>20</v>
      </c>
      <c r="L59" t="s">
        <v>19</v>
      </c>
    </row>
    <row r="60" spans="1:12" x14ac:dyDescent="0.2">
      <c r="A60">
        <v>20932</v>
      </c>
      <c r="B60">
        <v>35</v>
      </c>
      <c r="C60" t="s">
        <v>26</v>
      </c>
      <c r="D60">
        <v>4509.66</v>
      </c>
      <c r="E60">
        <v>14470.87</v>
      </c>
      <c r="F60">
        <v>60</v>
      </c>
      <c r="G60">
        <v>20.29</v>
      </c>
      <c r="H60">
        <v>1</v>
      </c>
      <c r="I60">
        <v>8.6</v>
      </c>
      <c r="J60">
        <v>15</v>
      </c>
      <c r="K60" t="s">
        <v>24</v>
      </c>
      <c r="L60" t="s">
        <v>14</v>
      </c>
    </row>
    <row r="61" spans="1:12" x14ac:dyDescent="0.2">
      <c r="A61">
        <v>22628</v>
      </c>
      <c r="B61">
        <v>27</v>
      </c>
      <c r="C61" t="s">
        <v>26</v>
      </c>
      <c r="D61">
        <v>4437.08</v>
      </c>
      <c r="E61">
        <v>29393.05</v>
      </c>
      <c r="F61">
        <v>18</v>
      </c>
      <c r="G61">
        <v>21.8</v>
      </c>
      <c r="H61">
        <v>2</v>
      </c>
      <c r="I61">
        <v>6.3</v>
      </c>
      <c r="J61">
        <v>90</v>
      </c>
      <c r="K61" t="s">
        <v>15</v>
      </c>
      <c r="L61" t="s">
        <v>22</v>
      </c>
    </row>
    <row r="62" spans="1:12" x14ac:dyDescent="0.2">
      <c r="A62">
        <v>25340</v>
      </c>
      <c r="B62">
        <v>28</v>
      </c>
      <c r="C62" t="s">
        <v>26</v>
      </c>
      <c r="D62">
        <v>3337.18</v>
      </c>
      <c r="E62">
        <v>26306.38</v>
      </c>
      <c r="F62">
        <v>6</v>
      </c>
      <c r="G62">
        <v>19.41</v>
      </c>
      <c r="H62">
        <v>2</v>
      </c>
      <c r="I62">
        <v>6.5</v>
      </c>
      <c r="J62">
        <v>0</v>
      </c>
      <c r="K62" t="s">
        <v>18</v>
      </c>
      <c r="L62" t="s">
        <v>16</v>
      </c>
    </row>
    <row r="63" spans="1:12" x14ac:dyDescent="0.2">
      <c r="A63">
        <v>24578</v>
      </c>
      <c r="B63">
        <v>27</v>
      </c>
      <c r="C63" t="s">
        <v>27</v>
      </c>
      <c r="D63">
        <v>3368.48</v>
      </c>
      <c r="E63">
        <v>12247.7</v>
      </c>
      <c r="F63">
        <v>6</v>
      </c>
      <c r="G63">
        <v>19.440000000000001</v>
      </c>
      <c r="H63">
        <v>2</v>
      </c>
      <c r="I63">
        <v>13</v>
      </c>
      <c r="J63">
        <v>120</v>
      </c>
      <c r="K63" t="s">
        <v>20</v>
      </c>
      <c r="L63" t="s">
        <v>14</v>
      </c>
    </row>
    <row r="64" spans="1:12" x14ac:dyDescent="0.2">
      <c r="A64">
        <v>25140</v>
      </c>
      <c r="B64">
        <v>58</v>
      </c>
      <c r="C64" t="s">
        <v>26</v>
      </c>
      <c r="D64">
        <v>5881.95</v>
      </c>
      <c r="E64">
        <v>21356.639999999999</v>
      </c>
      <c r="F64">
        <v>6</v>
      </c>
      <c r="G64">
        <v>19.739999999999998</v>
      </c>
      <c r="H64">
        <v>2</v>
      </c>
      <c r="I64">
        <v>6.5</v>
      </c>
      <c r="K64" t="s">
        <v>24</v>
      </c>
      <c r="L64" t="s">
        <v>14</v>
      </c>
    </row>
    <row r="65" spans="1:12" x14ac:dyDescent="0.2">
      <c r="A65">
        <v>20788</v>
      </c>
      <c r="B65">
        <v>54</v>
      </c>
      <c r="C65" t="s">
        <v>23</v>
      </c>
      <c r="D65">
        <v>5325.45</v>
      </c>
      <c r="E65">
        <v>22263.06</v>
      </c>
      <c r="F65">
        <v>6</v>
      </c>
      <c r="G65">
        <v>21.32</v>
      </c>
      <c r="H65">
        <v>2</v>
      </c>
      <c r="I65">
        <v>8.6999999999999993</v>
      </c>
      <c r="J65">
        <v>15</v>
      </c>
      <c r="K65" t="s">
        <v>15</v>
      </c>
      <c r="L65" t="s">
        <v>22</v>
      </c>
    </row>
    <row r="66" spans="1:12" x14ac:dyDescent="0.2">
      <c r="A66">
        <v>20034</v>
      </c>
      <c r="B66">
        <v>120</v>
      </c>
      <c r="C66" t="s">
        <v>17</v>
      </c>
      <c r="D66">
        <v>2652.64</v>
      </c>
      <c r="E66">
        <v>9197.76</v>
      </c>
      <c r="F66">
        <v>6</v>
      </c>
      <c r="G66">
        <v>20.98</v>
      </c>
      <c r="H66">
        <v>3</v>
      </c>
      <c r="I66">
        <v>9.6999999999999993</v>
      </c>
      <c r="J66">
        <v>0</v>
      </c>
      <c r="K66" t="s">
        <v>18</v>
      </c>
      <c r="L66" t="s">
        <v>16</v>
      </c>
    </row>
    <row r="67" spans="1:12" x14ac:dyDescent="0.2">
      <c r="A67">
        <v>23196</v>
      </c>
      <c r="B67">
        <v>32</v>
      </c>
      <c r="C67" t="s">
        <v>27</v>
      </c>
      <c r="D67">
        <v>-843.12</v>
      </c>
      <c r="F67">
        <v>36</v>
      </c>
      <c r="G67">
        <v>13.58</v>
      </c>
      <c r="H67">
        <v>2</v>
      </c>
      <c r="I67">
        <v>10.5</v>
      </c>
      <c r="J67">
        <v>0</v>
      </c>
      <c r="K67" t="s">
        <v>20</v>
      </c>
      <c r="L67" t="s">
        <v>25</v>
      </c>
    </row>
    <row r="68" spans="1:12" x14ac:dyDescent="0.2">
      <c r="A68">
        <v>25407</v>
      </c>
      <c r="B68">
        <v>45</v>
      </c>
      <c r="C68" t="s">
        <v>21</v>
      </c>
      <c r="D68">
        <v>8986.19</v>
      </c>
      <c r="E68">
        <v>11938.5</v>
      </c>
      <c r="F68">
        <v>18</v>
      </c>
      <c r="G68">
        <v>17.170000000000002</v>
      </c>
      <c r="H68">
        <v>4</v>
      </c>
      <c r="I68">
        <v>8.8000000000000007</v>
      </c>
      <c r="J68">
        <v>90</v>
      </c>
      <c r="K68" t="s">
        <v>13</v>
      </c>
      <c r="L68" t="s">
        <v>19</v>
      </c>
    </row>
    <row r="69" spans="1:12" x14ac:dyDescent="0.2">
      <c r="A69">
        <v>21866</v>
      </c>
      <c r="B69">
        <v>36</v>
      </c>
      <c r="C69" t="s">
        <v>27</v>
      </c>
      <c r="D69">
        <v>6884.7</v>
      </c>
      <c r="E69">
        <v>4214.29</v>
      </c>
      <c r="F69">
        <v>60</v>
      </c>
      <c r="G69">
        <v>18.93</v>
      </c>
      <c r="H69">
        <v>2</v>
      </c>
      <c r="I69">
        <v>2.2000000000000002</v>
      </c>
      <c r="J69">
        <v>0</v>
      </c>
      <c r="K69" t="s">
        <v>15</v>
      </c>
      <c r="L69" t="s">
        <v>14</v>
      </c>
    </row>
    <row r="70" spans="1:12" x14ac:dyDescent="0.2">
      <c r="A70">
        <v>25086</v>
      </c>
      <c r="B70">
        <v>75</v>
      </c>
      <c r="C70" t="s">
        <v>12</v>
      </c>
      <c r="D70">
        <v>998.07</v>
      </c>
      <c r="E70">
        <v>20955.560000000001</v>
      </c>
      <c r="F70">
        <v>12</v>
      </c>
      <c r="G70">
        <v>13.37</v>
      </c>
      <c r="H70">
        <v>0</v>
      </c>
      <c r="I70">
        <v>8.9</v>
      </c>
      <c r="K70" t="s">
        <v>24</v>
      </c>
      <c r="L70" t="s">
        <v>19</v>
      </c>
    </row>
    <row r="71" spans="1:12" x14ac:dyDescent="0.2">
      <c r="A71">
        <v>21440</v>
      </c>
      <c r="B71">
        <v>64</v>
      </c>
      <c r="C71" t="s">
        <v>12</v>
      </c>
      <c r="D71">
        <v>3550.07</v>
      </c>
      <c r="E71">
        <v>13761.73</v>
      </c>
      <c r="F71">
        <v>12</v>
      </c>
      <c r="G71">
        <v>24.18</v>
      </c>
      <c r="H71">
        <v>4</v>
      </c>
      <c r="I71">
        <v>4.4000000000000004</v>
      </c>
      <c r="K71" t="s">
        <v>15</v>
      </c>
      <c r="L71" t="s">
        <v>16</v>
      </c>
    </row>
    <row r="72" spans="1:12" x14ac:dyDescent="0.2">
      <c r="A72">
        <v>25251</v>
      </c>
      <c r="B72">
        <v>36</v>
      </c>
      <c r="C72" t="s">
        <v>21</v>
      </c>
      <c r="D72">
        <v>4879.1000000000004</v>
      </c>
      <c r="E72">
        <v>19994.919999999998</v>
      </c>
      <c r="F72">
        <v>48</v>
      </c>
      <c r="G72">
        <v>14.78</v>
      </c>
      <c r="H72">
        <v>4</v>
      </c>
      <c r="I72">
        <v>4</v>
      </c>
      <c r="J72">
        <v>0</v>
      </c>
      <c r="K72" t="s">
        <v>13</v>
      </c>
      <c r="L72" t="s">
        <v>22</v>
      </c>
    </row>
    <row r="73" spans="1:12" x14ac:dyDescent="0.2">
      <c r="A73">
        <v>25204</v>
      </c>
      <c r="B73">
        <v>36</v>
      </c>
      <c r="C73" t="s">
        <v>21</v>
      </c>
      <c r="D73">
        <v>3483.36</v>
      </c>
      <c r="E73">
        <v>9478.94</v>
      </c>
      <c r="F73">
        <v>24</v>
      </c>
      <c r="G73">
        <v>17.39</v>
      </c>
      <c r="H73">
        <v>0</v>
      </c>
      <c r="I73">
        <v>8.8000000000000007</v>
      </c>
      <c r="J73">
        <v>60</v>
      </c>
      <c r="K73" t="s">
        <v>15</v>
      </c>
      <c r="L73" t="s">
        <v>16</v>
      </c>
    </row>
    <row r="74" spans="1:12" x14ac:dyDescent="0.2">
      <c r="A74">
        <v>24019</v>
      </c>
      <c r="B74">
        <v>22</v>
      </c>
      <c r="C74" t="s">
        <v>12</v>
      </c>
      <c r="D74">
        <v>5803.94</v>
      </c>
      <c r="E74">
        <v>12124.47</v>
      </c>
      <c r="F74">
        <v>24</v>
      </c>
      <c r="G74">
        <v>24.25</v>
      </c>
      <c r="H74">
        <v>2</v>
      </c>
      <c r="I74">
        <v>12.1</v>
      </c>
      <c r="J74">
        <v>0</v>
      </c>
      <c r="K74" t="s">
        <v>20</v>
      </c>
      <c r="L74" t="s">
        <v>25</v>
      </c>
    </row>
    <row r="75" spans="1:12" x14ac:dyDescent="0.2">
      <c r="A75">
        <v>24499</v>
      </c>
      <c r="B75">
        <v>28</v>
      </c>
      <c r="C75" t="s">
        <v>26</v>
      </c>
      <c r="D75">
        <v>7207.77</v>
      </c>
      <c r="E75">
        <v>31458.36</v>
      </c>
      <c r="F75">
        <v>6</v>
      </c>
      <c r="G75">
        <v>12.41</v>
      </c>
      <c r="H75">
        <v>1</v>
      </c>
      <c r="I75">
        <v>7.5</v>
      </c>
      <c r="J75">
        <v>30</v>
      </c>
      <c r="K75" t="s">
        <v>24</v>
      </c>
      <c r="L75" t="s">
        <v>14</v>
      </c>
    </row>
    <row r="76" spans="1:12" x14ac:dyDescent="0.2">
      <c r="A76">
        <v>25752</v>
      </c>
      <c r="B76">
        <v>54</v>
      </c>
      <c r="C76" t="s">
        <v>27</v>
      </c>
      <c r="D76">
        <v>6811.46</v>
      </c>
      <c r="E76">
        <v>11020.03</v>
      </c>
      <c r="F76">
        <v>36</v>
      </c>
      <c r="G76">
        <v>12.7</v>
      </c>
      <c r="H76">
        <v>0</v>
      </c>
      <c r="I76">
        <v>0.9</v>
      </c>
      <c r="K76" t="s">
        <v>24</v>
      </c>
      <c r="L76" t="s">
        <v>25</v>
      </c>
    </row>
    <row r="77" spans="1:12" x14ac:dyDescent="0.2">
      <c r="A77">
        <v>23652</v>
      </c>
      <c r="B77">
        <v>50</v>
      </c>
      <c r="C77" t="s">
        <v>27</v>
      </c>
      <c r="D77">
        <v>8580.98</v>
      </c>
      <c r="E77">
        <v>14914.3</v>
      </c>
      <c r="F77">
        <v>48</v>
      </c>
      <c r="G77">
        <v>17.71</v>
      </c>
      <c r="H77">
        <v>1</v>
      </c>
      <c r="I77">
        <v>4.5999999999999996</v>
      </c>
      <c r="J77">
        <v>60</v>
      </c>
      <c r="K77" t="s">
        <v>15</v>
      </c>
      <c r="L77" t="s">
        <v>25</v>
      </c>
    </row>
    <row r="78" spans="1:12" x14ac:dyDescent="0.2">
      <c r="A78">
        <v>20048</v>
      </c>
      <c r="B78">
        <v>47</v>
      </c>
      <c r="C78" t="s">
        <v>17</v>
      </c>
      <c r="D78">
        <v>8091.04</v>
      </c>
      <c r="E78">
        <v>39328.39</v>
      </c>
      <c r="F78">
        <v>12</v>
      </c>
      <c r="G78">
        <v>16.28</v>
      </c>
      <c r="H78">
        <v>0</v>
      </c>
      <c r="I78">
        <v>9.3000000000000007</v>
      </c>
      <c r="K78" t="s">
        <v>18</v>
      </c>
      <c r="L78" t="s">
        <v>25</v>
      </c>
    </row>
    <row r="79" spans="1:12" x14ac:dyDescent="0.2">
      <c r="A79">
        <v>20785</v>
      </c>
      <c r="B79">
        <v>48</v>
      </c>
      <c r="C79" t="s">
        <v>26</v>
      </c>
      <c r="D79">
        <v>7377.69</v>
      </c>
      <c r="E79">
        <v>35026.32</v>
      </c>
      <c r="F79">
        <v>12</v>
      </c>
      <c r="G79">
        <v>10.63</v>
      </c>
      <c r="H79">
        <v>1</v>
      </c>
      <c r="I79">
        <v>8.6</v>
      </c>
      <c r="J79">
        <v>60</v>
      </c>
      <c r="K79" t="s">
        <v>18</v>
      </c>
      <c r="L79" t="s">
        <v>22</v>
      </c>
    </row>
    <row r="80" spans="1:12" x14ac:dyDescent="0.2">
      <c r="A80">
        <v>20350</v>
      </c>
      <c r="B80">
        <v>120</v>
      </c>
      <c r="C80" t="s">
        <v>12</v>
      </c>
      <c r="D80">
        <v>6437.08</v>
      </c>
      <c r="E80">
        <v>17336.11</v>
      </c>
      <c r="F80">
        <v>12</v>
      </c>
      <c r="G80">
        <v>32.17</v>
      </c>
      <c r="H80">
        <v>1</v>
      </c>
      <c r="I80">
        <v>1.1000000000000001</v>
      </c>
      <c r="J80">
        <v>90</v>
      </c>
      <c r="K80" t="s">
        <v>13</v>
      </c>
      <c r="L80" t="s">
        <v>14</v>
      </c>
    </row>
    <row r="81" spans="1:12" x14ac:dyDescent="0.2">
      <c r="A81">
        <v>22156</v>
      </c>
      <c r="B81">
        <v>35</v>
      </c>
      <c r="C81" t="s">
        <v>26</v>
      </c>
      <c r="D81">
        <v>6076.99</v>
      </c>
      <c r="E81">
        <v>18302.310000000001</v>
      </c>
      <c r="F81">
        <v>36</v>
      </c>
      <c r="G81">
        <v>15.74</v>
      </c>
      <c r="H81">
        <v>1</v>
      </c>
      <c r="I81">
        <v>7.1</v>
      </c>
      <c r="J81">
        <v>0</v>
      </c>
      <c r="K81" t="s">
        <v>13</v>
      </c>
      <c r="L81" t="s">
        <v>16</v>
      </c>
    </row>
    <row r="82" spans="1:12" x14ac:dyDescent="0.2">
      <c r="A82">
        <v>24490</v>
      </c>
      <c r="B82">
        <v>24</v>
      </c>
      <c r="C82" t="s">
        <v>23</v>
      </c>
      <c r="D82">
        <v>3041.45</v>
      </c>
      <c r="E82">
        <v>17129.29</v>
      </c>
      <c r="F82">
        <v>12</v>
      </c>
      <c r="G82">
        <v>14.03</v>
      </c>
      <c r="H82">
        <v>3</v>
      </c>
      <c r="I82">
        <v>5.5</v>
      </c>
      <c r="J82">
        <v>15</v>
      </c>
      <c r="K82" t="s">
        <v>13</v>
      </c>
      <c r="L82" t="s">
        <v>19</v>
      </c>
    </row>
    <row r="83" spans="1:12" x14ac:dyDescent="0.2">
      <c r="A83">
        <v>20845</v>
      </c>
      <c r="B83">
        <v>48</v>
      </c>
      <c r="C83" t="s">
        <v>26</v>
      </c>
      <c r="D83">
        <v>3240.54</v>
      </c>
      <c r="E83">
        <v>19010.169999999998</v>
      </c>
      <c r="F83">
        <v>6</v>
      </c>
      <c r="G83">
        <v>18.04</v>
      </c>
      <c r="H83">
        <v>0</v>
      </c>
      <c r="I83">
        <v>10.8</v>
      </c>
      <c r="J83">
        <v>15</v>
      </c>
      <c r="K83" t="s">
        <v>20</v>
      </c>
      <c r="L83" t="s">
        <v>22</v>
      </c>
    </row>
    <row r="84" spans="1:12" x14ac:dyDescent="0.2">
      <c r="A84">
        <v>25956</v>
      </c>
      <c r="B84">
        <v>37</v>
      </c>
      <c r="C84" t="s">
        <v>17</v>
      </c>
      <c r="D84">
        <v>7480.68</v>
      </c>
      <c r="E84">
        <v>460.9</v>
      </c>
      <c r="F84">
        <v>6</v>
      </c>
      <c r="G84">
        <v>10.24</v>
      </c>
      <c r="H84">
        <v>1</v>
      </c>
      <c r="I84">
        <v>10.3</v>
      </c>
      <c r="J84">
        <v>60</v>
      </c>
      <c r="K84" t="s">
        <v>24</v>
      </c>
      <c r="L84" t="s">
        <v>19</v>
      </c>
    </row>
    <row r="85" spans="1:12" x14ac:dyDescent="0.2">
      <c r="A85">
        <v>24719</v>
      </c>
      <c r="B85">
        <v>61</v>
      </c>
      <c r="C85" t="s">
        <v>21</v>
      </c>
      <c r="D85">
        <v>4984.04</v>
      </c>
      <c r="E85">
        <v>12268.47</v>
      </c>
      <c r="F85">
        <v>36</v>
      </c>
      <c r="G85">
        <v>17.690000000000001</v>
      </c>
      <c r="H85">
        <v>1</v>
      </c>
      <c r="I85">
        <v>7.4</v>
      </c>
      <c r="J85">
        <v>90</v>
      </c>
      <c r="K85" t="s">
        <v>24</v>
      </c>
      <c r="L85" t="s">
        <v>14</v>
      </c>
    </row>
    <row r="86" spans="1:12" x14ac:dyDescent="0.2">
      <c r="A86">
        <v>24751</v>
      </c>
      <c r="B86">
        <v>33</v>
      </c>
      <c r="C86" t="s">
        <v>17</v>
      </c>
      <c r="D86">
        <v>5506.43</v>
      </c>
      <c r="E86">
        <v>25934.36</v>
      </c>
      <c r="F86">
        <v>18</v>
      </c>
      <c r="G86">
        <v>20.52</v>
      </c>
      <c r="H86">
        <v>4</v>
      </c>
      <c r="I86">
        <v>4.7</v>
      </c>
      <c r="K86" t="s">
        <v>13</v>
      </c>
      <c r="L86" t="s">
        <v>22</v>
      </c>
    </row>
    <row r="87" spans="1:12" x14ac:dyDescent="0.2">
      <c r="A87">
        <v>24733</v>
      </c>
      <c r="B87">
        <v>37</v>
      </c>
      <c r="C87" t="s">
        <v>21</v>
      </c>
      <c r="D87">
        <v>847.56</v>
      </c>
      <c r="E87">
        <v>-1966.89</v>
      </c>
      <c r="F87">
        <v>12</v>
      </c>
      <c r="G87">
        <v>22.6</v>
      </c>
      <c r="H87">
        <v>1</v>
      </c>
      <c r="I87">
        <v>4.8</v>
      </c>
      <c r="J87">
        <v>30</v>
      </c>
      <c r="K87" t="s">
        <v>24</v>
      </c>
      <c r="L87" t="s">
        <v>22</v>
      </c>
    </row>
    <row r="88" spans="1:12" x14ac:dyDescent="0.2">
      <c r="A88">
        <v>24373</v>
      </c>
      <c r="B88">
        <v>28</v>
      </c>
      <c r="C88" t="s">
        <v>21</v>
      </c>
      <c r="D88">
        <v>4583.38</v>
      </c>
      <c r="E88">
        <v>15513.88</v>
      </c>
      <c r="F88">
        <v>36</v>
      </c>
      <c r="G88">
        <v>32.14</v>
      </c>
      <c r="H88">
        <v>3</v>
      </c>
      <c r="I88">
        <v>3.7</v>
      </c>
      <c r="K88" t="s">
        <v>13</v>
      </c>
      <c r="L88" t="s">
        <v>25</v>
      </c>
    </row>
    <row r="89" spans="1:12" x14ac:dyDescent="0.2">
      <c r="A89">
        <v>24406</v>
      </c>
      <c r="B89">
        <v>58</v>
      </c>
      <c r="C89" t="s">
        <v>12</v>
      </c>
      <c r="D89">
        <v>9100.3799999999992</v>
      </c>
      <c r="E89">
        <v>16015.8</v>
      </c>
      <c r="F89">
        <v>6</v>
      </c>
      <c r="G89">
        <v>22.82</v>
      </c>
      <c r="H89">
        <v>2</v>
      </c>
      <c r="I89">
        <v>5</v>
      </c>
      <c r="J89">
        <v>30</v>
      </c>
      <c r="K89" t="s">
        <v>13</v>
      </c>
      <c r="L89" t="s">
        <v>14</v>
      </c>
    </row>
    <row r="90" spans="1:12" x14ac:dyDescent="0.2">
      <c r="A90">
        <v>22045</v>
      </c>
      <c r="B90">
        <v>28</v>
      </c>
      <c r="C90" t="s">
        <v>23</v>
      </c>
      <c r="D90">
        <v>-1500</v>
      </c>
      <c r="E90">
        <v>31032.75</v>
      </c>
      <c r="F90">
        <v>12</v>
      </c>
      <c r="G90">
        <v>19.510000000000002</v>
      </c>
      <c r="H90">
        <v>3</v>
      </c>
      <c r="I90">
        <v>9.9</v>
      </c>
      <c r="J90">
        <v>120</v>
      </c>
      <c r="K90" t="s">
        <v>13</v>
      </c>
      <c r="L90" t="s">
        <v>14</v>
      </c>
    </row>
    <row r="91" spans="1:12" x14ac:dyDescent="0.2">
      <c r="A91">
        <v>24924</v>
      </c>
      <c r="B91">
        <v>34</v>
      </c>
      <c r="C91" t="s">
        <v>21</v>
      </c>
      <c r="D91">
        <v>5472.62</v>
      </c>
      <c r="E91">
        <v>24076.880000000001</v>
      </c>
      <c r="F91">
        <v>60</v>
      </c>
      <c r="G91">
        <v>16.16</v>
      </c>
      <c r="H91">
        <v>2</v>
      </c>
      <c r="I91">
        <v>12.7</v>
      </c>
      <c r="J91">
        <v>0</v>
      </c>
      <c r="K91" t="s">
        <v>13</v>
      </c>
      <c r="L91" t="s">
        <v>16</v>
      </c>
    </row>
    <row r="92" spans="1:12" x14ac:dyDescent="0.2">
      <c r="A92">
        <v>21841</v>
      </c>
      <c r="B92">
        <v>32</v>
      </c>
      <c r="C92" t="s">
        <v>27</v>
      </c>
      <c r="D92">
        <v>2355.0700000000002</v>
      </c>
      <c r="E92">
        <v>14586.28</v>
      </c>
      <c r="F92">
        <v>6</v>
      </c>
      <c r="G92">
        <v>55</v>
      </c>
      <c r="H92">
        <v>2</v>
      </c>
      <c r="I92">
        <v>10.6</v>
      </c>
      <c r="J92">
        <v>0</v>
      </c>
      <c r="K92" t="s">
        <v>24</v>
      </c>
      <c r="L92" t="s">
        <v>14</v>
      </c>
    </row>
    <row r="93" spans="1:12" x14ac:dyDescent="0.2">
      <c r="A93">
        <v>22309</v>
      </c>
      <c r="B93">
        <v>39</v>
      </c>
      <c r="C93" t="s">
        <v>23</v>
      </c>
      <c r="D93">
        <v>5628.26</v>
      </c>
      <c r="E93">
        <v>23886.78</v>
      </c>
      <c r="F93">
        <v>60</v>
      </c>
      <c r="G93">
        <v>24.42</v>
      </c>
      <c r="H93">
        <v>1</v>
      </c>
      <c r="I93">
        <v>13</v>
      </c>
      <c r="J93">
        <v>90</v>
      </c>
      <c r="K93" t="s">
        <v>15</v>
      </c>
      <c r="L93" t="s">
        <v>25</v>
      </c>
    </row>
    <row r="94" spans="1:12" x14ac:dyDescent="0.2">
      <c r="A94">
        <v>21836</v>
      </c>
      <c r="B94">
        <v>30</v>
      </c>
      <c r="C94" t="s">
        <v>26</v>
      </c>
      <c r="D94">
        <v>5906.17</v>
      </c>
      <c r="E94">
        <v>15940.37</v>
      </c>
      <c r="F94">
        <v>6</v>
      </c>
      <c r="G94">
        <v>15.48</v>
      </c>
      <c r="H94">
        <v>0</v>
      </c>
      <c r="I94">
        <v>5.3</v>
      </c>
      <c r="J94">
        <v>0</v>
      </c>
      <c r="K94" t="s">
        <v>13</v>
      </c>
      <c r="L94" t="s">
        <v>16</v>
      </c>
    </row>
    <row r="95" spans="1:12" x14ac:dyDescent="0.2">
      <c r="A95">
        <v>25595</v>
      </c>
      <c r="B95">
        <v>18</v>
      </c>
      <c r="C95" t="s">
        <v>23</v>
      </c>
      <c r="D95">
        <v>8099.59</v>
      </c>
      <c r="E95">
        <v>25528.15</v>
      </c>
      <c r="F95">
        <v>36</v>
      </c>
      <c r="G95">
        <v>24.16</v>
      </c>
      <c r="H95">
        <v>0</v>
      </c>
      <c r="I95">
        <v>6.1</v>
      </c>
      <c r="J95">
        <v>15</v>
      </c>
      <c r="K95" t="s">
        <v>18</v>
      </c>
      <c r="L95" t="s">
        <v>22</v>
      </c>
    </row>
    <row r="96" spans="1:12" x14ac:dyDescent="0.2">
      <c r="A96">
        <v>25883</v>
      </c>
      <c r="B96">
        <v>30</v>
      </c>
      <c r="C96" t="s">
        <v>27</v>
      </c>
      <c r="D96">
        <v>6732.65</v>
      </c>
      <c r="E96">
        <v>15047.75</v>
      </c>
      <c r="F96">
        <v>18</v>
      </c>
      <c r="G96">
        <v>22.32</v>
      </c>
      <c r="H96">
        <v>2</v>
      </c>
      <c r="I96">
        <v>7.9</v>
      </c>
      <c r="J96">
        <v>0</v>
      </c>
      <c r="K96" t="s">
        <v>13</v>
      </c>
      <c r="L96" t="s">
        <v>16</v>
      </c>
    </row>
    <row r="97" spans="1:12" x14ac:dyDescent="0.2">
      <c r="A97">
        <v>23639</v>
      </c>
      <c r="B97">
        <v>23</v>
      </c>
      <c r="C97" t="s">
        <v>21</v>
      </c>
      <c r="D97">
        <v>3727.21</v>
      </c>
      <c r="E97">
        <v>31038.27</v>
      </c>
      <c r="F97">
        <v>18</v>
      </c>
      <c r="G97">
        <v>19.920000000000002</v>
      </c>
      <c r="H97">
        <v>3</v>
      </c>
      <c r="I97">
        <v>13.3</v>
      </c>
      <c r="J97">
        <v>30</v>
      </c>
      <c r="K97" t="s">
        <v>18</v>
      </c>
      <c r="L97" t="s">
        <v>25</v>
      </c>
    </row>
    <row r="98" spans="1:12" x14ac:dyDescent="0.2">
      <c r="A98">
        <v>23628</v>
      </c>
      <c r="B98">
        <v>54</v>
      </c>
      <c r="C98" t="s">
        <v>17</v>
      </c>
      <c r="D98">
        <v>3257.2</v>
      </c>
      <c r="E98">
        <v>33357.47</v>
      </c>
      <c r="F98">
        <v>24</v>
      </c>
      <c r="G98">
        <v>20.07</v>
      </c>
      <c r="H98">
        <v>3</v>
      </c>
      <c r="I98">
        <v>12.8</v>
      </c>
      <c r="J98">
        <v>15</v>
      </c>
      <c r="K98" t="s">
        <v>15</v>
      </c>
      <c r="L98" t="s">
        <v>25</v>
      </c>
    </row>
    <row r="99" spans="1:12" x14ac:dyDescent="0.2">
      <c r="A99">
        <v>23288</v>
      </c>
      <c r="B99">
        <v>25</v>
      </c>
      <c r="C99" t="s">
        <v>17</v>
      </c>
      <c r="D99">
        <v>4454.2700000000004</v>
      </c>
      <c r="E99">
        <v>21227.79</v>
      </c>
      <c r="F99">
        <v>60</v>
      </c>
      <c r="G99">
        <v>22.84</v>
      </c>
      <c r="H99">
        <v>2</v>
      </c>
      <c r="I99">
        <v>4.2</v>
      </c>
      <c r="J99">
        <v>120</v>
      </c>
      <c r="K99" t="s">
        <v>24</v>
      </c>
      <c r="L99" t="s">
        <v>19</v>
      </c>
    </row>
    <row r="100" spans="1:12" x14ac:dyDescent="0.2">
      <c r="A100">
        <v>20974</v>
      </c>
      <c r="B100">
        <v>23</v>
      </c>
      <c r="C100" t="s">
        <v>17</v>
      </c>
      <c r="D100">
        <v>-1500</v>
      </c>
      <c r="E100">
        <v>13147.44</v>
      </c>
      <c r="F100">
        <v>12</v>
      </c>
      <c r="G100">
        <v>17.809999999999999</v>
      </c>
      <c r="H100">
        <v>0</v>
      </c>
      <c r="I100">
        <v>12.4</v>
      </c>
      <c r="J100">
        <v>15</v>
      </c>
      <c r="K100" t="s">
        <v>18</v>
      </c>
      <c r="L100" t="s">
        <v>14</v>
      </c>
    </row>
    <row r="101" spans="1:12" x14ac:dyDescent="0.2">
      <c r="A101">
        <v>24136</v>
      </c>
      <c r="B101">
        <v>51</v>
      </c>
      <c r="C101" t="s">
        <v>26</v>
      </c>
      <c r="D101">
        <v>6247.75</v>
      </c>
      <c r="E101">
        <v>18702.88</v>
      </c>
      <c r="F101">
        <v>24</v>
      </c>
      <c r="G101">
        <v>19.82</v>
      </c>
      <c r="H101">
        <v>3</v>
      </c>
      <c r="I101">
        <v>15</v>
      </c>
      <c r="K101" t="s">
        <v>20</v>
      </c>
      <c r="L101" t="s">
        <v>19</v>
      </c>
    </row>
    <row r="102" spans="1:12" x14ac:dyDescent="0.2">
      <c r="A102">
        <v>21156</v>
      </c>
      <c r="B102">
        <v>45</v>
      </c>
      <c r="C102" t="s">
        <v>21</v>
      </c>
      <c r="D102">
        <v>6325.57</v>
      </c>
      <c r="E102">
        <v>41445.599999999999</v>
      </c>
      <c r="F102">
        <v>18</v>
      </c>
      <c r="G102">
        <v>12.72</v>
      </c>
      <c r="H102">
        <v>1</v>
      </c>
      <c r="I102">
        <v>9.3000000000000007</v>
      </c>
      <c r="J102">
        <v>0</v>
      </c>
      <c r="K102" t="s">
        <v>24</v>
      </c>
      <c r="L102" t="s">
        <v>16</v>
      </c>
    </row>
    <row r="103" spans="1:12" x14ac:dyDescent="0.2">
      <c r="A103">
        <v>23486</v>
      </c>
      <c r="B103">
        <v>26</v>
      </c>
      <c r="C103" t="s">
        <v>12</v>
      </c>
      <c r="D103">
        <v>4325</v>
      </c>
      <c r="E103">
        <v>25483.99</v>
      </c>
      <c r="F103">
        <v>36</v>
      </c>
      <c r="G103">
        <v>16.11</v>
      </c>
      <c r="H103">
        <v>2</v>
      </c>
      <c r="I103">
        <v>8.6</v>
      </c>
      <c r="J103">
        <v>60</v>
      </c>
      <c r="K103" t="s">
        <v>18</v>
      </c>
      <c r="L103" t="s">
        <v>16</v>
      </c>
    </row>
    <row r="104" spans="1:12" x14ac:dyDescent="0.2">
      <c r="A104">
        <v>24557</v>
      </c>
      <c r="B104">
        <v>23</v>
      </c>
      <c r="C104" t="s">
        <v>12</v>
      </c>
      <c r="D104">
        <v>3972.73</v>
      </c>
      <c r="E104">
        <v>25733.64</v>
      </c>
      <c r="F104">
        <v>6</v>
      </c>
      <c r="G104">
        <v>19.84</v>
      </c>
      <c r="H104">
        <v>0</v>
      </c>
      <c r="I104">
        <v>5.5</v>
      </c>
      <c r="J104">
        <v>90</v>
      </c>
      <c r="K104" t="s">
        <v>18</v>
      </c>
      <c r="L104" t="s">
        <v>16</v>
      </c>
    </row>
    <row r="105" spans="1:12" x14ac:dyDescent="0.2">
      <c r="A105">
        <v>22896</v>
      </c>
      <c r="B105">
        <v>29</v>
      </c>
      <c r="C105" t="s">
        <v>17</v>
      </c>
      <c r="D105">
        <v>4724.8100000000004</v>
      </c>
      <c r="E105">
        <v>13863.31</v>
      </c>
      <c r="F105">
        <v>24</v>
      </c>
      <c r="G105">
        <v>14.3</v>
      </c>
      <c r="H105">
        <v>3</v>
      </c>
      <c r="I105">
        <v>5.4</v>
      </c>
      <c r="J105">
        <v>60</v>
      </c>
      <c r="K105" t="s">
        <v>20</v>
      </c>
      <c r="L105" t="s">
        <v>22</v>
      </c>
    </row>
    <row r="106" spans="1:12" x14ac:dyDescent="0.2">
      <c r="A106">
        <v>23721</v>
      </c>
      <c r="B106">
        <v>23</v>
      </c>
      <c r="C106" t="s">
        <v>27</v>
      </c>
      <c r="D106">
        <v>5304.77</v>
      </c>
      <c r="E106">
        <v>28647.14</v>
      </c>
      <c r="F106">
        <v>6</v>
      </c>
      <c r="G106">
        <v>19.079999999999998</v>
      </c>
      <c r="H106">
        <v>1</v>
      </c>
      <c r="I106">
        <v>4.7</v>
      </c>
      <c r="J106">
        <v>60</v>
      </c>
      <c r="K106" t="s">
        <v>15</v>
      </c>
      <c r="L106" t="s">
        <v>22</v>
      </c>
    </row>
    <row r="107" spans="1:12" x14ac:dyDescent="0.2">
      <c r="A107">
        <v>20567</v>
      </c>
      <c r="B107">
        <v>45</v>
      </c>
      <c r="C107" t="s">
        <v>17</v>
      </c>
      <c r="D107">
        <v>3328.91</v>
      </c>
      <c r="E107">
        <v>23118.61</v>
      </c>
      <c r="F107">
        <v>48</v>
      </c>
      <c r="G107">
        <v>18.37</v>
      </c>
      <c r="H107">
        <v>0</v>
      </c>
      <c r="I107">
        <v>6.6</v>
      </c>
      <c r="J107">
        <v>60</v>
      </c>
      <c r="K107" t="s">
        <v>18</v>
      </c>
      <c r="L107" t="s">
        <v>19</v>
      </c>
    </row>
    <row r="108" spans="1:12" x14ac:dyDescent="0.2">
      <c r="A108">
        <v>24775</v>
      </c>
      <c r="B108">
        <v>45</v>
      </c>
      <c r="C108" t="s">
        <v>27</v>
      </c>
      <c r="D108">
        <v>8517.17</v>
      </c>
      <c r="E108">
        <v>24400.5</v>
      </c>
      <c r="F108">
        <v>18</v>
      </c>
      <c r="G108">
        <v>13.65</v>
      </c>
      <c r="I108">
        <v>7.9</v>
      </c>
      <c r="J108">
        <v>0</v>
      </c>
      <c r="K108" t="s">
        <v>18</v>
      </c>
      <c r="L108" t="s">
        <v>22</v>
      </c>
    </row>
    <row r="109" spans="1:12" x14ac:dyDescent="0.2">
      <c r="A109">
        <v>20374</v>
      </c>
      <c r="B109">
        <v>120</v>
      </c>
      <c r="C109" t="s">
        <v>26</v>
      </c>
      <c r="D109">
        <v>6143.01</v>
      </c>
      <c r="F109">
        <v>36</v>
      </c>
      <c r="G109">
        <v>22.5</v>
      </c>
      <c r="H109">
        <v>2</v>
      </c>
      <c r="I109">
        <v>12.7</v>
      </c>
      <c r="J109">
        <v>0</v>
      </c>
      <c r="K109" t="s">
        <v>24</v>
      </c>
      <c r="L109" t="s">
        <v>16</v>
      </c>
    </row>
    <row r="110" spans="1:12" x14ac:dyDescent="0.2">
      <c r="A110">
        <v>22759</v>
      </c>
      <c r="B110">
        <v>59</v>
      </c>
      <c r="C110" t="s">
        <v>12</v>
      </c>
      <c r="D110">
        <v>-1500</v>
      </c>
      <c r="E110">
        <v>297.49</v>
      </c>
      <c r="F110">
        <v>48</v>
      </c>
      <c r="G110">
        <v>26.1</v>
      </c>
      <c r="I110">
        <v>-0.7</v>
      </c>
      <c r="J110">
        <v>90</v>
      </c>
      <c r="K110" t="s">
        <v>20</v>
      </c>
      <c r="L110" t="s">
        <v>16</v>
      </c>
    </row>
    <row r="111" spans="1:12" x14ac:dyDescent="0.2">
      <c r="A111">
        <v>23734</v>
      </c>
      <c r="B111">
        <v>31</v>
      </c>
      <c r="C111" t="s">
        <v>23</v>
      </c>
      <c r="D111">
        <v>4595.24</v>
      </c>
      <c r="E111">
        <v>31350.61</v>
      </c>
      <c r="F111">
        <v>48</v>
      </c>
      <c r="G111">
        <v>27.01</v>
      </c>
      <c r="H111">
        <v>0</v>
      </c>
      <c r="I111">
        <v>9.6999999999999993</v>
      </c>
      <c r="J111">
        <v>0</v>
      </c>
      <c r="K111" t="s">
        <v>15</v>
      </c>
      <c r="L111" t="s">
        <v>19</v>
      </c>
    </row>
    <row r="112" spans="1:12" x14ac:dyDescent="0.2">
      <c r="A112">
        <v>24141</v>
      </c>
      <c r="B112">
        <v>46</v>
      </c>
      <c r="C112" t="s">
        <v>26</v>
      </c>
      <c r="D112">
        <v>7616.98</v>
      </c>
      <c r="E112">
        <v>22317.71</v>
      </c>
      <c r="F112">
        <v>48</v>
      </c>
      <c r="G112">
        <v>13.21</v>
      </c>
      <c r="H112">
        <v>4</v>
      </c>
      <c r="I112">
        <v>8</v>
      </c>
      <c r="J112">
        <v>90</v>
      </c>
      <c r="K112" t="s">
        <v>18</v>
      </c>
      <c r="L112" t="s">
        <v>19</v>
      </c>
    </row>
    <row r="113" spans="1:12" x14ac:dyDescent="0.2">
      <c r="A113">
        <v>23036</v>
      </c>
      <c r="B113">
        <v>28</v>
      </c>
      <c r="C113" t="s">
        <v>27</v>
      </c>
      <c r="D113">
        <v>7845.85</v>
      </c>
      <c r="E113">
        <v>17895.46</v>
      </c>
      <c r="F113">
        <v>36</v>
      </c>
      <c r="G113">
        <v>20.76</v>
      </c>
      <c r="I113">
        <v>4.2</v>
      </c>
      <c r="J113">
        <v>0</v>
      </c>
      <c r="K113" t="s">
        <v>13</v>
      </c>
      <c r="L113" t="s">
        <v>16</v>
      </c>
    </row>
    <row r="114" spans="1:12" x14ac:dyDescent="0.2">
      <c r="A114">
        <v>20648</v>
      </c>
      <c r="B114">
        <v>44</v>
      </c>
      <c r="C114" t="s">
        <v>17</v>
      </c>
      <c r="D114">
        <v>4735.26</v>
      </c>
      <c r="E114">
        <v>27789.91</v>
      </c>
      <c r="F114">
        <v>18</v>
      </c>
      <c r="G114">
        <v>15.95</v>
      </c>
      <c r="H114">
        <v>0</v>
      </c>
      <c r="I114">
        <v>8.6</v>
      </c>
      <c r="J114">
        <v>0</v>
      </c>
      <c r="K114" t="s">
        <v>20</v>
      </c>
      <c r="L114" t="s">
        <v>19</v>
      </c>
    </row>
    <row r="115" spans="1:12" x14ac:dyDescent="0.2">
      <c r="A115">
        <v>23794</v>
      </c>
      <c r="B115">
        <v>40</v>
      </c>
      <c r="C115" t="s">
        <v>23</v>
      </c>
      <c r="D115">
        <v>1000.48</v>
      </c>
      <c r="E115">
        <v>15183.41</v>
      </c>
      <c r="F115">
        <v>12</v>
      </c>
      <c r="G115">
        <v>16.8</v>
      </c>
      <c r="H115">
        <v>3</v>
      </c>
      <c r="I115">
        <v>7.8</v>
      </c>
      <c r="J115">
        <v>0</v>
      </c>
      <c r="K115" t="s">
        <v>20</v>
      </c>
      <c r="L115" t="s">
        <v>22</v>
      </c>
    </row>
    <row r="116" spans="1:12" x14ac:dyDescent="0.2">
      <c r="A116">
        <v>24592</v>
      </c>
      <c r="B116">
        <v>23</v>
      </c>
      <c r="C116" t="s">
        <v>23</v>
      </c>
      <c r="D116">
        <v>4651.3999999999996</v>
      </c>
      <c r="E116">
        <v>17583.150000000001</v>
      </c>
      <c r="F116">
        <v>18</v>
      </c>
      <c r="G116">
        <v>14.09</v>
      </c>
      <c r="H116">
        <v>4</v>
      </c>
      <c r="J116">
        <v>0</v>
      </c>
      <c r="K116" t="s">
        <v>15</v>
      </c>
      <c r="L116" t="s">
        <v>14</v>
      </c>
    </row>
    <row r="117" spans="1:12" x14ac:dyDescent="0.2">
      <c r="A117">
        <v>20198</v>
      </c>
      <c r="B117">
        <v>30</v>
      </c>
      <c r="C117" t="s">
        <v>21</v>
      </c>
      <c r="D117">
        <v>1433.39</v>
      </c>
      <c r="E117">
        <v>17809.189999999999</v>
      </c>
      <c r="F117">
        <v>6</v>
      </c>
      <c r="G117">
        <v>24.46</v>
      </c>
      <c r="I117">
        <v>8.4</v>
      </c>
      <c r="J117">
        <v>0</v>
      </c>
      <c r="K117" t="s">
        <v>24</v>
      </c>
      <c r="L117" t="s">
        <v>19</v>
      </c>
    </row>
    <row r="118" spans="1:12" x14ac:dyDescent="0.2">
      <c r="A118">
        <v>22149</v>
      </c>
      <c r="B118">
        <v>58</v>
      </c>
      <c r="C118" t="s">
        <v>21</v>
      </c>
      <c r="D118">
        <v>9226.5300000000007</v>
      </c>
      <c r="E118">
        <v>10423.08</v>
      </c>
      <c r="F118">
        <v>60</v>
      </c>
      <c r="G118">
        <v>11.96</v>
      </c>
      <c r="H118">
        <v>0</v>
      </c>
      <c r="I118">
        <v>1.2</v>
      </c>
      <c r="K118" t="s">
        <v>15</v>
      </c>
      <c r="L118" t="s">
        <v>22</v>
      </c>
    </row>
    <row r="119" spans="1:12" x14ac:dyDescent="0.2">
      <c r="A119">
        <v>23253</v>
      </c>
      <c r="B119">
        <v>64</v>
      </c>
      <c r="C119" t="s">
        <v>12</v>
      </c>
      <c r="D119">
        <v>5836.71</v>
      </c>
      <c r="E119">
        <v>22263.35</v>
      </c>
      <c r="F119">
        <v>36</v>
      </c>
      <c r="G119">
        <v>24</v>
      </c>
      <c r="I119">
        <v>7.6</v>
      </c>
      <c r="J119">
        <v>0</v>
      </c>
      <c r="K119" t="s">
        <v>15</v>
      </c>
      <c r="L119" t="s">
        <v>14</v>
      </c>
    </row>
    <row r="120" spans="1:12" x14ac:dyDescent="0.2">
      <c r="A120">
        <v>21002</v>
      </c>
      <c r="B120">
        <v>42</v>
      </c>
      <c r="C120" t="s">
        <v>23</v>
      </c>
      <c r="D120">
        <v>3488.61</v>
      </c>
      <c r="E120">
        <v>19569.05</v>
      </c>
      <c r="F120">
        <v>12</v>
      </c>
      <c r="G120">
        <v>27.42</v>
      </c>
      <c r="H120">
        <v>3</v>
      </c>
      <c r="I120">
        <v>10.3</v>
      </c>
      <c r="J120">
        <v>30</v>
      </c>
      <c r="K120" t="s">
        <v>15</v>
      </c>
      <c r="L120" t="s">
        <v>25</v>
      </c>
    </row>
    <row r="121" spans="1:12" x14ac:dyDescent="0.2">
      <c r="A121">
        <v>20170</v>
      </c>
      <c r="B121">
        <v>29</v>
      </c>
      <c r="C121" t="s">
        <v>21</v>
      </c>
      <c r="D121">
        <v>3937.23</v>
      </c>
      <c r="E121">
        <v>24426.78</v>
      </c>
      <c r="F121">
        <v>18</v>
      </c>
      <c r="G121">
        <v>17.68</v>
      </c>
      <c r="H121">
        <v>4</v>
      </c>
      <c r="I121">
        <v>4.7</v>
      </c>
      <c r="J121">
        <v>0</v>
      </c>
      <c r="K121" t="s">
        <v>15</v>
      </c>
      <c r="L121" t="s">
        <v>19</v>
      </c>
    </row>
    <row r="122" spans="1:12" x14ac:dyDescent="0.2">
      <c r="A122">
        <v>24126</v>
      </c>
      <c r="B122">
        <v>52</v>
      </c>
      <c r="C122" t="s">
        <v>26</v>
      </c>
      <c r="D122">
        <v>3101.62</v>
      </c>
      <c r="E122">
        <v>14529.85</v>
      </c>
      <c r="F122">
        <v>36</v>
      </c>
      <c r="G122">
        <v>12.58</v>
      </c>
      <c r="I122">
        <v>1.1000000000000001</v>
      </c>
      <c r="J122">
        <v>60</v>
      </c>
      <c r="K122" t="s">
        <v>13</v>
      </c>
      <c r="L122" t="s">
        <v>22</v>
      </c>
    </row>
    <row r="123" spans="1:12" x14ac:dyDescent="0.2">
      <c r="A123">
        <v>22331</v>
      </c>
      <c r="B123">
        <v>48</v>
      </c>
      <c r="C123" t="s">
        <v>21</v>
      </c>
      <c r="D123">
        <v>5151.1899999999996</v>
      </c>
      <c r="E123">
        <v>26881.83</v>
      </c>
      <c r="F123">
        <v>24</v>
      </c>
      <c r="G123">
        <v>27.31</v>
      </c>
      <c r="H123">
        <v>1</v>
      </c>
      <c r="I123">
        <v>9.6999999999999993</v>
      </c>
      <c r="J123">
        <v>60</v>
      </c>
      <c r="K123" t="s">
        <v>24</v>
      </c>
      <c r="L123" t="s">
        <v>14</v>
      </c>
    </row>
    <row r="124" spans="1:12" x14ac:dyDescent="0.2">
      <c r="A124">
        <v>25953</v>
      </c>
      <c r="B124">
        <v>23</v>
      </c>
      <c r="C124" t="s">
        <v>17</v>
      </c>
      <c r="D124">
        <v>10280.950000000001</v>
      </c>
      <c r="E124">
        <v>16821.79</v>
      </c>
      <c r="F124">
        <v>24</v>
      </c>
      <c r="G124">
        <v>20.27</v>
      </c>
      <c r="H124">
        <v>0</v>
      </c>
      <c r="I124">
        <v>5.8</v>
      </c>
      <c r="J124">
        <v>0</v>
      </c>
      <c r="K124" t="s">
        <v>18</v>
      </c>
      <c r="L124" t="s">
        <v>16</v>
      </c>
    </row>
    <row r="125" spans="1:12" x14ac:dyDescent="0.2">
      <c r="A125">
        <v>22239</v>
      </c>
      <c r="B125">
        <v>42</v>
      </c>
      <c r="C125" t="s">
        <v>21</v>
      </c>
      <c r="D125">
        <v>3008.66</v>
      </c>
      <c r="E125">
        <v>24075.38</v>
      </c>
      <c r="F125">
        <v>6</v>
      </c>
      <c r="G125">
        <v>11.47</v>
      </c>
      <c r="H125">
        <v>2</v>
      </c>
      <c r="I125">
        <v>-1.8</v>
      </c>
      <c r="J125">
        <v>60</v>
      </c>
      <c r="K125" t="s">
        <v>13</v>
      </c>
      <c r="L125" t="s">
        <v>14</v>
      </c>
    </row>
    <row r="126" spans="1:12" x14ac:dyDescent="0.2">
      <c r="A126">
        <v>20727</v>
      </c>
      <c r="B126">
        <v>45</v>
      </c>
      <c r="C126" t="s">
        <v>12</v>
      </c>
      <c r="D126">
        <v>6466.6</v>
      </c>
      <c r="E126">
        <v>14994.27</v>
      </c>
      <c r="F126">
        <v>24</v>
      </c>
      <c r="G126">
        <v>14.97</v>
      </c>
      <c r="H126">
        <v>0</v>
      </c>
      <c r="I126">
        <v>13.5</v>
      </c>
      <c r="J126">
        <v>0</v>
      </c>
      <c r="K126" t="s">
        <v>20</v>
      </c>
      <c r="L126" t="s">
        <v>19</v>
      </c>
    </row>
    <row r="127" spans="1:12" x14ac:dyDescent="0.2">
      <c r="A127">
        <v>25859</v>
      </c>
      <c r="B127">
        <v>24</v>
      </c>
      <c r="C127" t="s">
        <v>26</v>
      </c>
      <c r="D127">
        <v>6796.88</v>
      </c>
      <c r="E127">
        <v>18407.38</v>
      </c>
      <c r="F127">
        <v>24</v>
      </c>
      <c r="G127">
        <v>23.64</v>
      </c>
      <c r="H127">
        <v>0</v>
      </c>
      <c r="I127">
        <v>5.8</v>
      </c>
      <c r="J127">
        <v>0</v>
      </c>
      <c r="K127" t="s">
        <v>15</v>
      </c>
      <c r="L127" t="s">
        <v>19</v>
      </c>
    </row>
    <row r="128" spans="1:12" x14ac:dyDescent="0.2">
      <c r="A128">
        <v>24743</v>
      </c>
      <c r="B128">
        <v>43</v>
      </c>
      <c r="C128" t="s">
        <v>17</v>
      </c>
      <c r="D128">
        <v>6912.44</v>
      </c>
      <c r="E128">
        <v>8347.06</v>
      </c>
      <c r="F128">
        <v>48</v>
      </c>
      <c r="G128">
        <v>14.75</v>
      </c>
      <c r="I128">
        <v>5.6</v>
      </c>
      <c r="J128">
        <v>90</v>
      </c>
      <c r="K128" t="s">
        <v>24</v>
      </c>
      <c r="L128" t="s">
        <v>16</v>
      </c>
    </row>
    <row r="129" spans="1:12" x14ac:dyDescent="0.2">
      <c r="A129">
        <v>21955</v>
      </c>
      <c r="B129">
        <v>50</v>
      </c>
      <c r="C129" t="s">
        <v>23</v>
      </c>
      <c r="D129">
        <v>4622.55</v>
      </c>
      <c r="E129">
        <v>17297.98</v>
      </c>
      <c r="F129">
        <v>6</v>
      </c>
      <c r="G129">
        <v>22.66</v>
      </c>
      <c r="H129">
        <v>4</v>
      </c>
      <c r="I129">
        <v>12.1</v>
      </c>
      <c r="K129" t="s">
        <v>15</v>
      </c>
      <c r="L129" t="s">
        <v>19</v>
      </c>
    </row>
    <row r="130" spans="1:12" x14ac:dyDescent="0.2">
      <c r="A130">
        <v>20444</v>
      </c>
      <c r="B130">
        <v>62</v>
      </c>
      <c r="C130" t="s">
        <v>21</v>
      </c>
      <c r="D130">
        <v>5080.6499999999996</v>
      </c>
      <c r="E130">
        <v>29498.19</v>
      </c>
      <c r="F130">
        <v>48</v>
      </c>
      <c r="G130">
        <v>15.51</v>
      </c>
      <c r="I130">
        <v>1.7</v>
      </c>
      <c r="J130">
        <v>30</v>
      </c>
      <c r="K130" t="s">
        <v>20</v>
      </c>
      <c r="L130" t="s">
        <v>25</v>
      </c>
    </row>
    <row r="131" spans="1:12" x14ac:dyDescent="0.2">
      <c r="A131">
        <v>20107</v>
      </c>
      <c r="B131">
        <v>56</v>
      </c>
      <c r="C131" t="s">
        <v>26</v>
      </c>
      <c r="D131">
        <v>7515.53</v>
      </c>
      <c r="E131">
        <v>17844.21</v>
      </c>
      <c r="F131">
        <v>60</v>
      </c>
      <c r="G131">
        <v>18.7</v>
      </c>
      <c r="H131">
        <v>4</v>
      </c>
      <c r="I131">
        <v>8.1999999999999993</v>
      </c>
      <c r="J131">
        <v>90</v>
      </c>
      <c r="K131" t="s">
        <v>13</v>
      </c>
      <c r="L131" t="s">
        <v>16</v>
      </c>
    </row>
    <row r="132" spans="1:12" x14ac:dyDescent="0.2">
      <c r="A132">
        <v>25470</v>
      </c>
      <c r="B132">
        <v>46</v>
      </c>
      <c r="C132" t="s">
        <v>12</v>
      </c>
      <c r="D132">
        <v>2497.1</v>
      </c>
      <c r="E132">
        <v>35991.49</v>
      </c>
      <c r="F132">
        <v>48</v>
      </c>
      <c r="G132">
        <v>17.510000000000002</v>
      </c>
      <c r="H132">
        <v>1</v>
      </c>
      <c r="I132">
        <v>2.5</v>
      </c>
      <c r="K132" t="s">
        <v>20</v>
      </c>
      <c r="L132" t="s">
        <v>14</v>
      </c>
    </row>
    <row r="133" spans="1:12" x14ac:dyDescent="0.2">
      <c r="A133">
        <v>24583</v>
      </c>
      <c r="B133">
        <v>51</v>
      </c>
      <c r="C133" t="s">
        <v>27</v>
      </c>
      <c r="D133">
        <v>5772.04</v>
      </c>
      <c r="E133">
        <v>20574.48</v>
      </c>
      <c r="F133">
        <v>18</v>
      </c>
      <c r="G133">
        <v>24.04</v>
      </c>
      <c r="H133">
        <v>2</v>
      </c>
      <c r="I133">
        <v>5.9</v>
      </c>
      <c r="J133">
        <v>0</v>
      </c>
      <c r="K133" t="s">
        <v>20</v>
      </c>
      <c r="L133" t="s">
        <v>16</v>
      </c>
    </row>
    <row r="134" spans="1:12" x14ac:dyDescent="0.2">
      <c r="A134">
        <v>25355</v>
      </c>
      <c r="B134">
        <v>29</v>
      </c>
      <c r="C134" t="s">
        <v>23</v>
      </c>
      <c r="D134">
        <v>8993.16</v>
      </c>
      <c r="E134">
        <v>16138.83</v>
      </c>
      <c r="F134">
        <v>48</v>
      </c>
      <c r="G134">
        <v>15.84</v>
      </c>
      <c r="H134">
        <v>4</v>
      </c>
      <c r="I134">
        <v>8.8000000000000007</v>
      </c>
      <c r="K134" t="s">
        <v>15</v>
      </c>
      <c r="L134" t="s">
        <v>22</v>
      </c>
    </row>
    <row r="135" spans="1:12" x14ac:dyDescent="0.2">
      <c r="A135">
        <v>22896</v>
      </c>
      <c r="B135">
        <v>43</v>
      </c>
      <c r="C135" t="s">
        <v>27</v>
      </c>
      <c r="D135">
        <v>6129.13</v>
      </c>
      <c r="E135">
        <v>35512.120000000003</v>
      </c>
      <c r="F135">
        <v>48</v>
      </c>
      <c r="G135">
        <v>10.11</v>
      </c>
      <c r="H135">
        <v>2</v>
      </c>
      <c r="I135">
        <v>5.7</v>
      </c>
      <c r="J135">
        <v>30</v>
      </c>
      <c r="K135" t="s">
        <v>24</v>
      </c>
      <c r="L135" t="s">
        <v>22</v>
      </c>
    </row>
    <row r="136" spans="1:12" x14ac:dyDescent="0.2">
      <c r="A136">
        <v>20050</v>
      </c>
      <c r="B136">
        <v>27</v>
      </c>
      <c r="C136" t="s">
        <v>12</v>
      </c>
      <c r="D136">
        <v>5847.1</v>
      </c>
      <c r="E136">
        <v>24571.72</v>
      </c>
      <c r="F136">
        <v>18</v>
      </c>
      <c r="G136">
        <v>26.82</v>
      </c>
      <c r="H136">
        <v>4</v>
      </c>
      <c r="I136">
        <v>10.9</v>
      </c>
      <c r="J136">
        <v>60</v>
      </c>
      <c r="K136" t="s">
        <v>13</v>
      </c>
      <c r="L136" t="s">
        <v>16</v>
      </c>
    </row>
    <row r="137" spans="1:12" x14ac:dyDescent="0.2">
      <c r="A137">
        <v>21463</v>
      </c>
      <c r="B137">
        <v>26</v>
      </c>
      <c r="C137" t="s">
        <v>12</v>
      </c>
      <c r="D137">
        <v>782.41</v>
      </c>
      <c r="E137">
        <v>23063.42</v>
      </c>
      <c r="F137">
        <v>12</v>
      </c>
      <c r="G137">
        <v>23.55</v>
      </c>
      <c r="H137">
        <v>3</v>
      </c>
      <c r="I137">
        <v>9.6</v>
      </c>
      <c r="J137">
        <v>120</v>
      </c>
      <c r="K137" t="s">
        <v>24</v>
      </c>
      <c r="L137" t="s">
        <v>16</v>
      </c>
    </row>
    <row r="138" spans="1:12" x14ac:dyDescent="0.2">
      <c r="A138">
        <v>25453</v>
      </c>
      <c r="B138">
        <v>44</v>
      </c>
      <c r="C138" t="s">
        <v>27</v>
      </c>
      <c r="D138">
        <v>3666.64</v>
      </c>
      <c r="E138">
        <v>39759.85</v>
      </c>
      <c r="F138">
        <v>12</v>
      </c>
      <c r="G138">
        <v>18.809999999999999</v>
      </c>
      <c r="H138">
        <v>4</v>
      </c>
      <c r="I138">
        <v>3.6</v>
      </c>
      <c r="J138">
        <v>60</v>
      </c>
      <c r="K138" t="s">
        <v>13</v>
      </c>
      <c r="L138" t="s">
        <v>19</v>
      </c>
    </row>
    <row r="139" spans="1:12" x14ac:dyDescent="0.2">
      <c r="A139">
        <v>25738</v>
      </c>
      <c r="B139">
        <v>53</v>
      </c>
      <c r="C139" t="s">
        <v>17</v>
      </c>
      <c r="D139">
        <v>5606.42</v>
      </c>
      <c r="E139">
        <v>8025.93</v>
      </c>
      <c r="F139">
        <v>60</v>
      </c>
      <c r="G139">
        <v>10.9</v>
      </c>
      <c r="I139">
        <v>5.2</v>
      </c>
      <c r="J139">
        <v>0</v>
      </c>
      <c r="K139" t="s">
        <v>13</v>
      </c>
      <c r="L139" t="s">
        <v>14</v>
      </c>
    </row>
    <row r="140" spans="1:12" x14ac:dyDescent="0.2">
      <c r="A140">
        <v>25097</v>
      </c>
      <c r="B140">
        <v>64</v>
      </c>
      <c r="C140" t="s">
        <v>17</v>
      </c>
      <c r="D140">
        <v>9998.5</v>
      </c>
      <c r="E140">
        <v>16899.259999999998</v>
      </c>
      <c r="F140">
        <v>60</v>
      </c>
      <c r="G140">
        <v>28.95</v>
      </c>
      <c r="H140">
        <v>2</v>
      </c>
      <c r="I140">
        <v>10.5</v>
      </c>
      <c r="J140">
        <v>120</v>
      </c>
      <c r="K140" t="s">
        <v>18</v>
      </c>
      <c r="L140" t="s">
        <v>14</v>
      </c>
    </row>
    <row r="141" spans="1:12" x14ac:dyDescent="0.2">
      <c r="A141">
        <v>25085</v>
      </c>
      <c r="B141">
        <v>75</v>
      </c>
      <c r="C141" t="s">
        <v>23</v>
      </c>
      <c r="D141">
        <v>9321.27</v>
      </c>
      <c r="F141">
        <v>12</v>
      </c>
      <c r="G141">
        <v>21.85</v>
      </c>
      <c r="H141">
        <v>4</v>
      </c>
      <c r="I141">
        <v>5.5</v>
      </c>
      <c r="J141">
        <v>0</v>
      </c>
      <c r="K141" t="s">
        <v>13</v>
      </c>
      <c r="L141" t="s">
        <v>14</v>
      </c>
    </row>
    <row r="142" spans="1:12" x14ac:dyDescent="0.2">
      <c r="A142">
        <v>20183</v>
      </c>
      <c r="B142">
        <v>52</v>
      </c>
      <c r="C142" t="s">
        <v>23</v>
      </c>
      <c r="D142">
        <v>762.03</v>
      </c>
      <c r="E142">
        <v>33644.800000000003</v>
      </c>
      <c r="F142">
        <v>12</v>
      </c>
      <c r="G142">
        <v>19.54</v>
      </c>
      <c r="H142">
        <v>2</v>
      </c>
      <c r="I142">
        <v>0.8</v>
      </c>
      <c r="K142" t="s">
        <v>15</v>
      </c>
      <c r="L142" t="s">
        <v>14</v>
      </c>
    </row>
    <row r="143" spans="1:12" x14ac:dyDescent="0.2">
      <c r="A143">
        <v>21712</v>
      </c>
      <c r="B143">
        <v>63</v>
      </c>
      <c r="C143" t="s">
        <v>23</v>
      </c>
      <c r="D143">
        <v>6289.96</v>
      </c>
      <c r="E143">
        <v>20097.240000000002</v>
      </c>
      <c r="F143">
        <v>36</v>
      </c>
      <c r="G143">
        <v>10.57</v>
      </c>
      <c r="H143">
        <v>1</v>
      </c>
      <c r="I143">
        <v>13.2</v>
      </c>
      <c r="J143">
        <v>60</v>
      </c>
      <c r="K143" t="s">
        <v>15</v>
      </c>
      <c r="L143" t="s">
        <v>19</v>
      </c>
    </row>
    <row r="144" spans="1:12" x14ac:dyDescent="0.2">
      <c r="A144">
        <v>24042</v>
      </c>
      <c r="B144">
        <v>25</v>
      </c>
      <c r="C144" t="s">
        <v>26</v>
      </c>
      <c r="D144">
        <v>2934.01</v>
      </c>
      <c r="E144">
        <v>26885.26</v>
      </c>
      <c r="F144">
        <v>60</v>
      </c>
      <c r="G144">
        <v>18.350000000000001</v>
      </c>
      <c r="H144">
        <v>0</v>
      </c>
      <c r="I144">
        <v>1.5</v>
      </c>
      <c r="J144">
        <v>0</v>
      </c>
      <c r="K144" t="s">
        <v>13</v>
      </c>
      <c r="L144" t="s">
        <v>22</v>
      </c>
    </row>
    <row r="145" spans="1:12" x14ac:dyDescent="0.2">
      <c r="A145">
        <v>22648</v>
      </c>
      <c r="B145">
        <v>37</v>
      </c>
      <c r="C145" t="s">
        <v>26</v>
      </c>
      <c r="D145">
        <v>3977.31</v>
      </c>
      <c r="E145">
        <v>12095.26</v>
      </c>
      <c r="F145">
        <v>48</v>
      </c>
      <c r="G145">
        <v>18.48</v>
      </c>
      <c r="H145">
        <v>0</v>
      </c>
      <c r="I145">
        <v>6.6</v>
      </c>
      <c r="J145">
        <v>0</v>
      </c>
      <c r="K145" t="s">
        <v>15</v>
      </c>
      <c r="L145" t="s">
        <v>19</v>
      </c>
    </row>
    <row r="146" spans="1:12" x14ac:dyDescent="0.2">
      <c r="A146">
        <v>25782</v>
      </c>
      <c r="B146">
        <v>23</v>
      </c>
      <c r="C146" t="s">
        <v>26</v>
      </c>
      <c r="D146">
        <v>4679.62</v>
      </c>
      <c r="E146">
        <v>32608.91</v>
      </c>
      <c r="F146">
        <v>6</v>
      </c>
      <c r="G146">
        <v>20.13</v>
      </c>
      <c r="H146">
        <v>0</v>
      </c>
      <c r="I146">
        <v>10.7</v>
      </c>
      <c r="K146" t="s">
        <v>24</v>
      </c>
      <c r="L146" t="s">
        <v>16</v>
      </c>
    </row>
    <row r="147" spans="1:12" x14ac:dyDescent="0.2">
      <c r="A147">
        <v>23333</v>
      </c>
      <c r="B147">
        <v>26</v>
      </c>
      <c r="C147" t="s">
        <v>17</v>
      </c>
      <c r="D147">
        <v>3039.34</v>
      </c>
      <c r="E147">
        <v>20564.12</v>
      </c>
      <c r="F147">
        <v>12</v>
      </c>
      <c r="G147">
        <v>23.37</v>
      </c>
      <c r="H147">
        <v>3</v>
      </c>
      <c r="I147">
        <v>7.8</v>
      </c>
      <c r="J147">
        <v>15</v>
      </c>
      <c r="K147" t="s">
        <v>20</v>
      </c>
      <c r="L147" t="s">
        <v>25</v>
      </c>
    </row>
    <row r="148" spans="1:12" x14ac:dyDescent="0.2">
      <c r="A148">
        <v>20234</v>
      </c>
      <c r="B148">
        <v>43</v>
      </c>
      <c r="C148" t="s">
        <v>17</v>
      </c>
      <c r="D148">
        <v>-1500</v>
      </c>
      <c r="E148">
        <v>12120.31</v>
      </c>
      <c r="F148">
        <v>12</v>
      </c>
      <c r="G148">
        <v>12.69</v>
      </c>
      <c r="H148">
        <v>1</v>
      </c>
      <c r="I148">
        <v>-2.2999999999999998</v>
      </c>
      <c r="J148">
        <v>0</v>
      </c>
      <c r="K148" t="s">
        <v>24</v>
      </c>
      <c r="L148" t="s">
        <v>16</v>
      </c>
    </row>
    <row r="149" spans="1:12" x14ac:dyDescent="0.2">
      <c r="A149">
        <v>23961</v>
      </c>
      <c r="B149">
        <v>50</v>
      </c>
      <c r="C149" t="s">
        <v>23</v>
      </c>
      <c r="D149">
        <v>5042.33</v>
      </c>
      <c r="E149">
        <v>10572.87</v>
      </c>
      <c r="F149">
        <v>48</v>
      </c>
      <c r="G149">
        <v>12.97</v>
      </c>
      <c r="H149">
        <v>1</v>
      </c>
      <c r="I149">
        <v>8.6</v>
      </c>
      <c r="J149">
        <v>60</v>
      </c>
      <c r="K149" t="s">
        <v>24</v>
      </c>
      <c r="L149" t="s">
        <v>19</v>
      </c>
    </row>
    <row r="150" spans="1:12" x14ac:dyDescent="0.2">
      <c r="A150">
        <v>24566</v>
      </c>
      <c r="B150">
        <v>45</v>
      </c>
      <c r="C150" t="s">
        <v>27</v>
      </c>
      <c r="D150">
        <v>2493.87</v>
      </c>
      <c r="E150">
        <v>17393.02</v>
      </c>
      <c r="F150">
        <v>60</v>
      </c>
      <c r="G150">
        <v>21.89</v>
      </c>
      <c r="H150">
        <v>2</v>
      </c>
      <c r="I150">
        <v>5.0999999999999996</v>
      </c>
      <c r="J150">
        <v>15</v>
      </c>
      <c r="K150" t="s">
        <v>13</v>
      </c>
      <c r="L150" t="s">
        <v>19</v>
      </c>
    </row>
    <row r="151" spans="1:12" x14ac:dyDescent="0.2">
      <c r="A151">
        <v>24182</v>
      </c>
      <c r="B151">
        <v>41</v>
      </c>
      <c r="C151" t="s">
        <v>27</v>
      </c>
      <c r="D151">
        <v>6970.45</v>
      </c>
      <c r="E151">
        <v>4889.07</v>
      </c>
      <c r="F151">
        <v>12</v>
      </c>
      <c r="G151">
        <v>21.03</v>
      </c>
      <c r="H151">
        <v>4</v>
      </c>
      <c r="I151">
        <v>7.4</v>
      </c>
      <c r="J151">
        <v>15</v>
      </c>
      <c r="K151" t="s">
        <v>20</v>
      </c>
      <c r="L151" t="s">
        <v>16</v>
      </c>
    </row>
    <row r="152" spans="1:12" x14ac:dyDescent="0.2">
      <c r="A152">
        <v>21695</v>
      </c>
      <c r="B152">
        <v>41</v>
      </c>
      <c r="C152" t="s">
        <v>17</v>
      </c>
      <c r="D152">
        <v>5388.41</v>
      </c>
      <c r="E152">
        <v>18719.689999999999</v>
      </c>
      <c r="F152">
        <v>48</v>
      </c>
      <c r="G152">
        <v>22.46</v>
      </c>
      <c r="H152">
        <v>0</v>
      </c>
      <c r="I152">
        <v>8.1999999999999993</v>
      </c>
      <c r="J152">
        <v>15</v>
      </c>
      <c r="K152" t="s">
        <v>18</v>
      </c>
      <c r="L152" t="s">
        <v>14</v>
      </c>
    </row>
    <row r="153" spans="1:12" x14ac:dyDescent="0.2">
      <c r="A153">
        <v>23948</v>
      </c>
      <c r="B153">
        <v>39</v>
      </c>
      <c r="C153" t="s">
        <v>21</v>
      </c>
      <c r="D153">
        <v>2829.45</v>
      </c>
      <c r="E153">
        <v>7556.55</v>
      </c>
      <c r="F153">
        <v>48</v>
      </c>
      <c r="G153">
        <v>12.95</v>
      </c>
      <c r="I153">
        <v>1.4</v>
      </c>
      <c r="J153">
        <v>30</v>
      </c>
      <c r="K153" t="s">
        <v>18</v>
      </c>
      <c r="L153" t="s">
        <v>16</v>
      </c>
    </row>
    <row r="154" spans="1:12" x14ac:dyDescent="0.2">
      <c r="A154">
        <v>22525</v>
      </c>
      <c r="B154">
        <v>22</v>
      </c>
      <c r="C154" t="s">
        <v>26</v>
      </c>
      <c r="D154">
        <v>4406.3100000000004</v>
      </c>
      <c r="E154">
        <v>4778.13</v>
      </c>
      <c r="F154">
        <v>24</v>
      </c>
      <c r="G154">
        <v>20.93</v>
      </c>
      <c r="I154">
        <v>15.4</v>
      </c>
      <c r="J154">
        <v>0</v>
      </c>
      <c r="K154" t="s">
        <v>20</v>
      </c>
      <c r="L154" t="s">
        <v>16</v>
      </c>
    </row>
    <row r="155" spans="1:12" x14ac:dyDescent="0.2">
      <c r="A155">
        <v>21849</v>
      </c>
      <c r="B155">
        <v>35</v>
      </c>
      <c r="C155" t="s">
        <v>21</v>
      </c>
      <c r="D155">
        <v>3189.71</v>
      </c>
      <c r="F155">
        <v>36</v>
      </c>
      <c r="G155">
        <v>18.559999999999999</v>
      </c>
      <c r="I155">
        <v>9.1999999999999993</v>
      </c>
      <c r="J155">
        <v>60</v>
      </c>
      <c r="K155" t="s">
        <v>24</v>
      </c>
      <c r="L155" t="s">
        <v>19</v>
      </c>
    </row>
    <row r="156" spans="1:12" x14ac:dyDescent="0.2">
      <c r="A156">
        <v>21844</v>
      </c>
      <c r="B156">
        <v>45</v>
      </c>
      <c r="C156" t="s">
        <v>17</v>
      </c>
      <c r="D156">
        <v>5099.62</v>
      </c>
      <c r="E156">
        <v>4164.1499999999996</v>
      </c>
      <c r="F156">
        <v>18</v>
      </c>
      <c r="G156">
        <v>20.79</v>
      </c>
      <c r="H156">
        <v>4</v>
      </c>
      <c r="I156">
        <v>5.7</v>
      </c>
      <c r="J156">
        <v>60</v>
      </c>
      <c r="K156" t="s">
        <v>20</v>
      </c>
      <c r="L156" t="s">
        <v>25</v>
      </c>
    </row>
    <row r="157" spans="1:12" x14ac:dyDescent="0.2">
      <c r="A157">
        <v>21208</v>
      </c>
      <c r="B157">
        <v>26</v>
      </c>
      <c r="C157" t="s">
        <v>17</v>
      </c>
      <c r="D157">
        <v>6138.25</v>
      </c>
      <c r="E157">
        <v>19130</v>
      </c>
      <c r="F157">
        <v>36</v>
      </c>
      <c r="G157">
        <v>12.55</v>
      </c>
      <c r="I157">
        <v>-2.6</v>
      </c>
      <c r="J157">
        <v>0</v>
      </c>
      <c r="K157" t="s">
        <v>15</v>
      </c>
      <c r="L157" t="s">
        <v>22</v>
      </c>
    </row>
    <row r="158" spans="1:12" x14ac:dyDescent="0.2">
      <c r="A158">
        <v>21101</v>
      </c>
      <c r="B158">
        <v>62</v>
      </c>
      <c r="C158" t="s">
        <v>26</v>
      </c>
      <c r="D158">
        <v>6203.51</v>
      </c>
      <c r="E158">
        <v>11580.58</v>
      </c>
      <c r="F158">
        <v>12</v>
      </c>
      <c r="G158">
        <v>23.46</v>
      </c>
      <c r="H158">
        <v>3</v>
      </c>
      <c r="I158">
        <v>3.5</v>
      </c>
      <c r="J158">
        <v>120</v>
      </c>
      <c r="K158" t="s">
        <v>20</v>
      </c>
      <c r="L158" t="s">
        <v>19</v>
      </c>
    </row>
    <row r="159" spans="1:12" x14ac:dyDescent="0.2">
      <c r="A159">
        <v>23950</v>
      </c>
      <c r="B159">
        <v>53</v>
      </c>
      <c r="C159" t="s">
        <v>21</v>
      </c>
      <c r="D159">
        <v>5746.53</v>
      </c>
      <c r="E159">
        <v>21476.84</v>
      </c>
      <c r="F159">
        <v>48</v>
      </c>
      <c r="G159">
        <v>20.34</v>
      </c>
      <c r="I159">
        <v>13.5</v>
      </c>
      <c r="J159">
        <v>90</v>
      </c>
      <c r="K159" t="s">
        <v>20</v>
      </c>
      <c r="L159" t="s">
        <v>19</v>
      </c>
    </row>
    <row r="160" spans="1:12" x14ac:dyDescent="0.2">
      <c r="A160">
        <v>25029</v>
      </c>
      <c r="B160">
        <v>25</v>
      </c>
      <c r="C160" t="s">
        <v>23</v>
      </c>
      <c r="D160">
        <v>6916.8</v>
      </c>
      <c r="E160">
        <v>31854.06</v>
      </c>
      <c r="F160">
        <v>36</v>
      </c>
      <c r="G160">
        <v>19.79</v>
      </c>
      <c r="H160">
        <v>4</v>
      </c>
      <c r="I160">
        <v>7.1</v>
      </c>
      <c r="J160">
        <v>30</v>
      </c>
      <c r="K160" t="s">
        <v>18</v>
      </c>
      <c r="L160" t="s">
        <v>14</v>
      </c>
    </row>
    <row r="161" spans="1:12" x14ac:dyDescent="0.2">
      <c r="A161">
        <v>25832</v>
      </c>
      <c r="B161">
        <v>41</v>
      </c>
      <c r="C161" t="s">
        <v>12</v>
      </c>
      <c r="D161">
        <v>8295.9599999999991</v>
      </c>
      <c r="E161">
        <v>22776.04</v>
      </c>
      <c r="F161">
        <v>18</v>
      </c>
      <c r="G161">
        <v>21.03</v>
      </c>
      <c r="H161">
        <v>3</v>
      </c>
      <c r="I161">
        <v>3.7</v>
      </c>
      <c r="J161">
        <v>0</v>
      </c>
      <c r="K161" t="s">
        <v>24</v>
      </c>
      <c r="L161" t="s">
        <v>22</v>
      </c>
    </row>
    <row r="162" spans="1:12" x14ac:dyDescent="0.2">
      <c r="A162">
        <v>21723</v>
      </c>
      <c r="B162">
        <v>52</v>
      </c>
      <c r="C162" t="s">
        <v>21</v>
      </c>
      <c r="D162">
        <v>3631.67</v>
      </c>
      <c r="E162">
        <v>34185.53</v>
      </c>
      <c r="F162">
        <v>48</v>
      </c>
      <c r="G162">
        <v>21.78</v>
      </c>
      <c r="H162">
        <v>2</v>
      </c>
      <c r="I162">
        <v>4.5999999999999996</v>
      </c>
      <c r="J162">
        <v>120</v>
      </c>
      <c r="K162" t="s">
        <v>13</v>
      </c>
      <c r="L162" t="s">
        <v>14</v>
      </c>
    </row>
    <row r="163" spans="1:12" x14ac:dyDescent="0.2">
      <c r="A163">
        <v>25930</v>
      </c>
      <c r="B163">
        <v>18</v>
      </c>
      <c r="C163" t="s">
        <v>27</v>
      </c>
      <c r="D163">
        <v>2868.75</v>
      </c>
      <c r="E163">
        <v>18558.91</v>
      </c>
      <c r="F163">
        <v>6</v>
      </c>
      <c r="G163">
        <v>18.649999999999999</v>
      </c>
      <c r="H163">
        <v>4</v>
      </c>
      <c r="I163">
        <v>15.9</v>
      </c>
      <c r="J163">
        <v>60</v>
      </c>
      <c r="K163" t="s">
        <v>20</v>
      </c>
      <c r="L163" t="s">
        <v>19</v>
      </c>
    </row>
    <row r="164" spans="1:12" x14ac:dyDescent="0.2">
      <c r="A164">
        <v>25351</v>
      </c>
      <c r="B164">
        <v>120</v>
      </c>
      <c r="C164" t="s">
        <v>21</v>
      </c>
      <c r="D164">
        <v>4335.07</v>
      </c>
      <c r="E164">
        <v>8245.7800000000007</v>
      </c>
      <c r="F164">
        <v>12</v>
      </c>
      <c r="G164">
        <v>32.39</v>
      </c>
      <c r="H164">
        <v>2</v>
      </c>
      <c r="I164">
        <v>5.0999999999999996</v>
      </c>
      <c r="J164">
        <v>15</v>
      </c>
      <c r="K164" t="s">
        <v>24</v>
      </c>
      <c r="L164" t="s">
        <v>16</v>
      </c>
    </row>
    <row r="165" spans="1:12" x14ac:dyDescent="0.2">
      <c r="A165">
        <v>25008</v>
      </c>
      <c r="B165">
        <v>53</v>
      </c>
      <c r="C165" t="s">
        <v>26</v>
      </c>
      <c r="D165">
        <v>4445.04</v>
      </c>
      <c r="F165">
        <v>24</v>
      </c>
      <c r="G165">
        <v>25.18</v>
      </c>
      <c r="H165">
        <v>0</v>
      </c>
      <c r="I165">
        <v>5.5</v>
      </c>
      <c r="J165">
        <v>15</v>
      </c>
      <c r="K165" t="s">
        <v>18</v>
      </c>
      <c r="L165" t="s">
        <v>25</v>
      </c>
    </row>
    <row r="166" spans="1:12" x14ac:dyDescent="0.2">
      <c r="A166">
        <v>23884</v>
      </c>
      <c r="B166">
        <v>50</v>
      </c>
      <c r="C166" t="s">
        <v>23</v>
      </c>
      <c r="D166">
        <v>-1500</v>
      </c>
      <c r="E166">
        <v>15400.33</v>
      </c>
      <c r="F166">
        <v>60</v>
      </c>
      <c r="G166">
        <v>23.38</v>
      </c>
      <c r="H166">
        <v>1</v>
      </c>
      <c r="I166">
        <v>7.3</v>
      </c>
      <c r="J166">
        <v>0</v>
      </c>
      <c r="K166" t="s">
        <v>20</v>
      </c>
      <c r="L166" t="s">
        <v>19</v>
      </c>
    </row>
    <row r="167" spans="1:12" x14ac:dyDescent="0.2">
      <c r="A167">
        <v>20851</v>
      </c>
      <c r="B167">
        <v>31</v>
      </c>
      <c r="C167" t="s">
        <v>26</v>
      </c>
      <c r="D167">
        <v>2399.31</v>
      </c>
      <c r="E167">
        <v>22681.19</v>
      </c>
      <c r="F167">
        <v>60</v>
      </c>
      <c r="G167">
        <v>11.5</v>
      </c>
      <c r="H167">
        <v>3</v>
      </c>
      <c r="I167">
        <v>5.7</v>
      </c>
      <c r="J167">
        <v>0</v>
      </c>
      <c r="K167" t="s">
        <v>20</v>
      </c>
      <c r="L167" t="s">
        <v>14</v>
      </c>
    </row>
    <row r="168" spans="1:12" x14ac:dyDescent="0.2">
      <c r="A168">
        <v>20576</v>
      </c>
      <c r="B168">
        <v>48</v>
      </c>
      <c r="C168" t="s">
        <v>12</v>
      </c>
      <c r="D168">
        <v>-32.92</v>
      </c>
      <c r="E168">
        <v>19855.810000000001</v>
      </c>
      <c r="F168">
        <v>6</v>
      </c>
      <c r="G168">
        <v>16.29</v>
      </c>
      <c r="I168">
        <v>6.6</v>
      </c>
      <c r="J168">
        <v>90</v>
      </c>
      <c r="K168" t="s">
        <v>15</v>
      </c>
      <c r="L168" t="s">
        <v>19</v>
      </c>
    </row>
    <row r="169" spans="1:12" x14ac:dyDescent="0.2">
      <c r="A169">
        <v>22449</v>
      </c>
      <c r="B169">
        <v>44</v>
      </c>
      <c r="C169" t="s">
        <v>23</v>
      </c>
      <c r="D169">
        <v>5622.02</v>
      </c>
      <c r="E169">
        <v>11024.24</v>
      </c>
      <c r="F169">
        <v>48</v>
      </c>
      <c r="G169">
        <v>18.399999999999999</v>
      </c>
      <c r="H169">
        <v>1</v>
      </c>
      <c r="I169">
        <v>-0.7</v>
      </c>
      <c r="J169">
        <v>0</v>
      </c>
      <c r="K169" t="s">
        <v>13</v>
      </c>
      <c r="L169" t="s">
        <v>14</v>
      </c>
    </row>
    <row r="170" spans="1:12" x14ac:dyDescent="0.2">
      <c r="A170">
        <v>23108</v>
      </c>
      <c r="B170">
        <v>31</v>
      </c>
      <c r="C170" t="s">
        <v>27</v>
      </c>
      <c r="D170">
        <v>7506.49</v>
      </c>
      <c r="E170">
        <v>15460.64</v>
      </c>
      <c r="F170">
        <v>6</v>
      </c>
      <c r="G170">
        <v>18.399999999999999</v>
      </c>
      <c r="I170">
        <v>11</v>
      </c>
      <c r="K170" t="s">
        <v>24</v>
      </c>
      <c r="L170" t="s">
        <v>16</v>
      </c>
    </row>
    <row r="171" spans="1:12" x14ac:dyDescent="0.2">
      <c r="A171">
        <v>20289</v>
      </c>
      <c r="B171">
        <v>38</v>
      </c>
      <c r="C171" t="s">
        <v>12</v>
      </c>
      <c r="D171">
        <v>5173.6499999999996</v>
      </c>
      <c r="E171">
        <v>17481.349999999999</v>
      </c>
      <c r="F171">
        <v>60</v>
      </c>
      <c r="G171">
        <v>20.07</v>
      </c>
      <c r="H171">
        <v>2</v>
      </c>
      <c r="I171">
        <v>3.7</v>
      </c>
      <c r="J171">
        <v>15</v>
      </c>
      <c r="K171" t="s">
        <v>20</v>
      </c>
      <c r="L171" t="s">
        <v>22</v>
      </c>
    </row>
    <row r="172" spans="1:12" x14ac:dyDescent="0.2">
      <c r="A172">
        <v>22678</v>
      </c>
      <c r="B172">
        <v>61</v>
      </c>
      <c r="C172" t="s">
        <v>17</v>
      </c>
      <c r="D172">
        <v>2801.02</v>
      </c>
      <c r="E172">
        <v>21071.66</v>
      </c>
      <c r="F172">
        <v>24</v>
      </c>
      <c r="G172">
        <v>19.87</v>
      </c>
      <c r="H172">
        <v>3</v>
      </c>
      <c r="I172">
        <v>15.7</v>
      </c>
      <c r="J172">
        <v>0</v>
      </c>
      <c r="K172" t="s">
        <v>15</v>
      </c>
      <c r="L172" t="s">
        <v>14</v>
      </c>
    </row>
    <row r="173" spans="1:12" x14ac:dyDescent="0.2">
      <c r="A173">
        <v>23040</v>
      </c>
      <c r="B173">
        <v>42</v>
      </c>
      <c r="C173" t="s">
        <v>17</v>
      </c>
      <c r="D173">
        <v>3123.16</v>
      </c>
      <c r="E173">
        <v>25374.09</v>
      </c>
      <c r="F173">
        <v>6</v>
      </c>
      <c r="G173">
        <v>15.02</v>
      </c>
      <c r="H173">
        <v>0</v>
      </c>
      <c r="I173">
        <v>8.9</v>
      </c>
      <c r="J173">
        <v>0</v>
      </c>
      <c r="K173" t="s">
        <v>15</v>
      </c>
      <c r="L173" t="s">
        <v>14</v>
      </c>
    </row>
    <row r="174" spans="1:12" x14ac:dyDescent="0.2">
      <c r="A174">
        <v>24258</v>
      </c>
      <c r="B174">
        <v>59</v>
      </c>
      <c r="C174" t="s">
        <v>17</v>
      </c>
      <c r="D174">
        <v>3475.25</v>
      </c>
      <c r="F174">
        <v>36</v>
      </c>
      <c r="G174">
        <v>26.74</v>
      </c>
      <c r="H174">
        <v>3</v>
      </c>
      <c r="I174">
        <v>13.4</v>
      </c>
      <c r="J174">
        <v>90</v>
      </c>
      <c r="K174" t="s">
        <v>13</v>
      </c>
      <c r="L174" t="s">
        <v>19</v>
      </c>
    </row>
    <row r="175" spans="1:12" x14ac:dyDescent="0.2">
      <c r="A175">
        <v>24142</v>
      </c>
      <c r="B175">
        <v>29</v>
      </c>
      <c r="C175" t="s">
        <v>23</v>
      </c>
      <c r="D175">
        <v>-1500</v>
      </c>
      <c r="E175">
        <v>8278.07</v>
      </c>
      <c r="F175">
        <v>24</v>
      </c>
      <c r="G175">
        <v>16.920000000000002</v>
      </c>
      <c r="H175">
        <v>3</v>
      </c>
      <c r="I175">
        <v>12</v>
      </c>
      <c r="J175">
        <v>30</v>
      </c>
      <c r="K175" t="s">
        <v>20</v>
      </c>
      <c r="L175" t="s">
        <v>22</v>
      </c>
    </row>
    <row r="176" spans="1:12" x14ac:dyDescent="0.2">
      <c r="A176">
        <v>21653</v>
      </c>
      <c r="B176">
        <v>31</v>
      </c>
      <c r="C176" t="s">
        <v>26</v>
      </c>
      <c r="D176">
        <v>7084.22</v>
      </c>
      <c r="E176">
        <v>15466.32</v>
      </c>
      <c r="F176">
        <v>36</v>
      </c>
      <c r="G176">
        <v>18.72</v>
      </c>
      <c r="H176">
        <v>2</v>
      </c>
      <c r="I176">
        <v>2.4</v>
      </c>
      <c r="J176">
        <v>60</v>
      </c>
      <c r="K176" t="s">
        <v>24</v>
      </c>
      <c r="L176" t="s">
        <v>16</v>
      </c>
    </row>
    <row r="177" spans="1:12" x14ac:dyDescent="0.2">
      <c r="A177">
        <v>24572</v>
      </c>
      <c r="B177">
        <v>24</v>
      </c>
      <c r="C177" t="s">
        <v>17</v>
      </c>
      <c r="D177">
        <v>8724.23</v>
      </c>
      <c r="E177">
        <v>28931.82</v>
      </c>
      <c r="F177">
        <v>18</v>
      </c>
      <c r="G177">
        <v>10.029999999999999</v>
      </c>
      <c r="H177">
        <v>4</v>
      </c>
      <c r="I177">
        <v>10.199999999999999</v>
      </c>
      <c r="K177" t="s">
        <v>20</v>
      </c>
      <c r="L177" t="s">
        <v>14</v>
      </c>
    </row>
    <row r="178" spans="1:12" x14ac:dyDescent="0.2">
      <c r="A178">
        <v>22094</v>
      </c>
      <c r="B178">
        <v>51</v>
      </c>
      <c r="C178" t="s">
        <v>12</v>
      </c>
      <c r="D178">
        <v>4314.8900000000003</v>
      </c>
      <c r="E178">
        <v>21583.439999999999</v>
      </c>
      <c r="F178">
        <v>18</v>
      </c>
      <c r="G178">
        <v>17.649999999999999</v>
      </c>
      <c r="H178">
        <v>2</v>
      </c>
      <c r="I178">
        <v>5.8</v>
      </c>
      <c r="K178" t="s">
        <v>24</v>
      </c>
      <c r="L178" t="s">
        <v>25</v>
      </c>
    </row>
    <row r="179" spans="1:12" x14ac:dyDescent="0.2">
      <c r="A179">
        <v>24970</v>
      </c>
      <c r="B179">
        <v>23</v>
      </c>
      <c r="C179" t="s">
        <v>12</v>
      </c>
      <c r="D179">
        <v>4368.71</v>
      </c>
      <c r="E179">
        <v>6090.29</v>
      </c>
      <c r="F179">
        <v>60</v>
      </c>
      <c r="G179">
        <v>21.45</v>
      </c>
      <c r="H179">
        <v>3</v>
      </c>
      <c r="I179">
        <v>9.5</v>
      </c>
      <c r="J179">
        <v>60</v>
      </c>
      <c r="K179" t="s">
        <v>15</v>
      </c>
      <c r="L179" t="s">
        <v>14</v>
      </c>
    </row>
    <row r="180" spans="1:12" x14ac:dyDescent="0.2">
      <c r="A180">
        <v>22913</v>
      </c>
      <c r="B180">
        <v>21</v>
      </c>
      <c r="C180" t="s">
        <v>27</v>
      </c>
      <c r="D180">
        <v>6197.98</v>
      </c>
      <c r="E180">
        <v>15244.35</v>
      </c>
      <c r="F180">
        <v>12</v>
      </c>
      <c r="G180">
        <v>14.6</v>
      </c>
      <c r="I180">
        <v>8.4</v>
      </c>
      <c r="J180">
        <v>0</v>
      </c>
      <c r="K180" t="s">
        <v>24</v>
      </c>
      <c r="L180" t="s">
        <v>19</v>
      </c>
    </row>
    <row r="181" spans="1:12" x14ac:dyDescent="0.2">
      <c r="A181">
        <v>20291</v>
      </c>
      <c r="B181">
        <v>58</v>
      </c>
      <c r="C181" t="s">
        <v>26</v>
      </c>
      <c r="D181">
        <v>7089.61</v>
      </c>
      <c r="E181">
        <v>12304.17</v>
      </c>
      <c r="F181">
        <v>48</v>
      </c>
      <c r="G181">
        <v>14.56</v>
      </c>
      <c r="H181">
        <v>2</v>
      </c>
      <c r="I181">
        <v>5.5</v>
      </c>
      <c r="J181">
        <v>30</v>
      </c>
      <c r="K181" t="s">
        <v>24</v>
      </c>
      <c r="L181" t="s">
        <v>22</v>
      </c>
    </row>
    <row r="182" spans="1:12" x14ac:dyDescent="0.2">
      <c r="A182">
        <v>22232</v>
      </c>
      <c r="B182">
        <v>59</v>
      </c>
      <c r="C182" t="s">
        <v>23</v>
      </c>
      <c r="D182">
        <v>4813.33</v>
      </c>
      <c r="E182">
        <v>28119.37</v>
      </c>
      <c r="F182">
        <v>24</v>
      </c>
      <c r="G182">
        <v>23.52</v>
      </c>
      <c r="H182">
        <v>1</v>
      </c>
      <c r="I182">
        <v>13.1</v>
      </c>
      <c r="J182">
        <v>60</v>
      </c>
      <c r="K182" t="s">
        <v>13</v>
      </c>
      <c r="L182" t="s">
        <v>22</v>
      </c>
    </row>
    <row r="183" spans="1:12" x14ac:dyDescent="0.2">
      <c r="A183">
        <v>22279</v>
      </c>
      <c r="B183">
        <v>57</v>
      </c>
      <c r="C183" t="s">
        <v>26</v>
      </c>
      <c r="D183">
        <v>6727.54</v>
      </c>
      <c r="E183">
        <v>23245.79</v>
      </c>
      <c r="F183">
        <v>18</v>
      </c>
      <c r="G183">
        <v>18.07</v>
      </c>
      <c r="H183">
        <v>3</v>
      </c>
      <c r="I183">
        <v>5.6</v>
      </c>
      <c r="J183">
        <v>60</v>
      </c>
      <c r="K183" t="s">
        <v>15</v>
      </c>
      <c r="L183" t="s">
        <v>19</v>
      </c>
    </row>
    <row r="184" spans="1:12" x14ac:dyDescent="0.2">
      <c r="A184">
        <v>20915</v>
      </c>
      <c r="B184">
        <v>42</v>
      </c>
      <c r="C184" t="s">
        <v>21</v>
      </c>
      <c r="D184">
        <v>6666.59</v>
      </c>
      <c r="E184">
        <v>23502.99</v>
      </c>
      <c r="F184">
        <v>18</v>
      </c>
      <c r="G184">
        <v>10.99</v>
      </c>
      <c r="H184">
        <v>0</v>
      </c>
      <c r="I184">
        <v>5.5</v>
      </c>
      <c r="J184">
        <v>90</v>
      </c>
      <c r="K184" t="s">
        <v>24</v>
      </c>
      <c r="L184" t="s">
        <v>14</v>
      </c>
    </row>
    <row r="185" spans="1:12" x14ac:dyDescent="0.2">
      <c r="A185">
        <v>20266</v>
      </c>
      <c r="B185">
        <v>54</v>
      </c>
      <c r="C185" t="s">
        <v>17</v>
      </c>
      <c r="D185">
        <v>5541.24</v>
      </c>
      <c r="E185">
        <v>19939.43</v>
      </c>
      <c r="F185">
        <v>36</v>
      </c>
      <c r="G185">
        <v>55</v>
      </c>
      <c r="H185">
        <v>2</v>
      </c>
      <c r="I185">
        <v>1.8</v>
      </c>
      <c r="J185">
        <v>15</v>
      </c>
      <c r="K185" t="s">
        <v>15</v>
      </c>
      <c r="L185" t="s">
        <v>16</v>
      </c>
    </row>
    <row r="186" spans="1:12" x14ac:dyDescent="0.2">
      <c r="A186">
        <v>21994</v>
      </c>
      <c r="B186">
        <v>44</v>
      </c>
      <c r="C186" t="s">
        <v>21</v>
      </c>
      <c r="D186">
        <v>3315.98</v>
      </c>
      <c r="E186">
        <v>30730.62</v>
      </c>
      <c r="F186">
        <v>48</v>
      </c>
      <c r="G186">
        <v>23.07</v>
      </c>
      <c r="H186">
        <v>2</v>
      </c>
      <c r="I186">
        <v>6.1</v>
      </c>
      <c r="J186">
        <v>60</v>
      </c>
      <c r="K186" t="s">
        <v>15</v>
      </c>
      <c r="L186" t="s">
        <v>25</v>
      </c>
    </row>
    <row r="187" spans="1:12" x14ac:dyDescent="0.2">
      <c r="A187">
        <v>20270</v>
      </c>
      <c r="B187">
        <v>26</v>
      </c>
      <c r="C187" t="s">
        <v>23</v>
      </c>
      <c r="D187">
        <v>3243.66</v>
      </c>
      <c r="E187">
        <v>27060.720000000001</v>
      </c>
      <c r="F187">
        <v>18</v>
      </c>
      <c r="G187">
        <v>15.34</v>
      </c>
      <c r="H187">
        <v>0</v>
      </c>
      <c r="I187">
        <v>9.1999999999999993</v>
      </c>
      <c r="J187">
        <v>90</v>
      </c>
      <c r="K187" t="s">
        <v>15</v>
      </c>
      <c r="L187" t="s">
        <v>25</v>
      </c>
    </row>
    <row r="188" spans="1:12" x14ac:dyDescent="0.2">
      <c r="A188">
        <v>24012</v>
      </c>
      <c r="B188">
        <v>40</v>
      </c>
      <c r="C188" t="s">
        <v>26</v>
      </c>
      <c r="D188">
        <v>7138.98</v>
      </c>
      <c r="E188">
        <v>31249.08</v>
      </c>
      <c r="F188">
        <v>6</v>
      </c>
      <c r="G188">
        <v>20.57</v>
      </c>
      <c r="H188">
        <v>4</v>
      </c>
      <c r="I188">
        <v>6.8</v>
      </c>
      <c r="J188">
        <v>15</v>
      </c>
      <c r="K188" t="s">
        <v>24</v>
      </c>
      <c r="L188" t="s">
        <v>16</v>
      </c>
    </row>
    <row r="189" spans="1:12" x14ac:dyDescent="0.2">
      <c r="A189">
        <v>22050</v>
      </c>
      <c r="B189">
        <v>61</v>
      </c>
      <c r="C189" t="s">
        <v>12</v>
      </c>
      <c r="D189">
        <v>3522.31</v>
      </c>
      <c r="E189">
        <v>11906.09</v>
      </c>
      <c r="F189">
        <v>18</v>
      </c>
      <c r="G189">
        <v>20.04</v>
      </c>
      <c r="H189">
        <v>1</v>
      </c>
      <c r="I189">
        <v>9.6</v>
      </c>
      <c r="J189">
        <v>120</v>
      </c>
      <c r="K189" t="s">
        <v>20</v>
      </c>
      <c r="L189" t="s">
        <v>19</v>
      </c>
    </row>
    <row r="190" spans="1:12" x14ac:dyDescent="0.2">
      <c r="A190">
        <v>25408</v>
      </c>
      <c r="B190">
        <v>23</v>
      </c>
      <c r="C190" t="s">
        <v>12</v>
      </c>
      <c r="D190">
        <v>3759.95</v>
      </c>
      <c r="E190">
        <v>8178.99</v>
      </c>
      <c r="F190">
        <v>24</v>
      </c>
      <c r="G190">
        <v>19.579999999999998</v>
      </c>
      <c r="I190">
        <v>4.5</v>
      </c>
      <c r="K190" t="s">
        <v>18</v>
      </c>
      <c r="L190" t="s">
        <v>19</v>
      </c>
    </row>
    <row r="191" spans="1:12" x14ac:dyDescent="0.2">
      <c r="A191">
        <v>25007</v>
      </c>
      <c r="B191">
        <v>47</v>
      </c>
      <c r="C191" t="s">
        <v>27</v>
      </c>
      <c r="D191">
        <v>5789.54</v>
      </c>
      <c r="E191">
        <v>16580.48</v>
      </c>
      <c r="F191">
        <v>12</v>
      </c>
      <c r="G191">
        <v>15.27</v>
      </c>
      <c r="I191">
        <v>3.6</v>
      </c>
      <c r="J191">
        <v>0</v>
      </c>
      <c r="K191" t="s">
        <v>13</v>
      </c>
      <c r="L191" t="s">
        <v>16</v>
      </c>
    </row>
    <row r="192" spans="1:12" x14ac:dyDescent="0.2">
      <c r="A192">
        <v>24657</v>
      </c>
      <c r="B192">
        <v>26</v>
      </c>
      <c r="C192" t="s">
        <v>26</v>
      </c>
      <c r="D192">
        <v>9671.33</v>
      </c>
      <c r="E192">
        <v>18629.29</v>
      </c>
      <c r="F192">
        <v>6</v>
      </c>
      <c r="G192">
        <v>19.3</v>
      </c>
      <c r="H192">
        <v>2</v>
      </c>
      <c r="I192">
        <v>4.2</v>
      </c>
      <c r="K192" t="s">
        <v>15</v>
      </c>
      <c r="L192" t="s">
        <v>19</v>
      </c>
    </row>
    <row r="193" spans="1:12" x14ac:dyDescent="0.2">
      <c r="A193">
        <v>23738</v>
      </c>
      <c r="B193">
        <v>32</v>
      </c>
      <c r="C193" t="s">
        <v>12</v>
      </c>
      <c r="D193">
        <v>6261.62</v>
      </c>
      <c r="E193">
        <v>14496.52</v>
      </c>
      <c r="F193">
        <v>18</v>
      </c>
      <c r="G193">
        <v>22.73</v>
      </c>
      <c r="H193">
        <v>3</v>
      </c>
      <c r="I193">
        <v>8.9</v>
      </c>
      <c r="J193">
        <v>90</v>
      </c>
      <c r="K193" t="s">
        <v>15</v>
      </c>
      <c r="L193" t="s">
        <v>22</v>
      </c>
    </row>
    <row r="194" spans="1:12" x14ac:dyDescent="0.2">
      <c r="A194">
        <v>23570</v>
      </c>
      <c r="B194">
        <v>59</v>
      </c>
      <c r="C194" t="s">
        <v>27</v>
      </c>
      <c r="D194">
        <v>7038.34</v>
      </c>
      <c r="E194">
        <v>22242.34</v>
      </c>
      <c r="F194">
        <v>24</v>
      </c>
      <c r="G194">
        <v>20.91</v>
      </c>
      <c r="H194">
        <v>3</v>
      </c>
      <c r="I194">
        <v>12.3</v>
      </c>
      <c r="J194">
        <v>90</v>
      </c>
      <c r="K194" t="s">
        <v>20</v>
      </c>
      <c r="L194" t="s">
        <v>16</v>
      </c>
    </row>
    <row r="195" spans="1:12" x14ac:dyDescent="0.2">
      <c r="A195">
        <v>21007</v>
      </c>
      <c r="B195">
        <v>54</v>
      </c>
      <c r="C195" t="s">
        <v>17</v>
      </c>
      <c r="D195">
        <v>2205.62</v>
      </c>
      <c r="E195">
        <v>9662.2800000000007</v>
      </c>
      <c r="F195">
        <v>48</v>
      </c>
      <c r="G195">
        <v>18.739999999999998</v>
      </c>
      <c r="H195">
        <v>3</v>
      </c>
      <c r="I195">
        <v>12.4</v>
      </c>
      <c r="J195">
        <v>30</v>
      </c>
      <c r="K195" t="s">
        <v>20</v>
      </c>
      <c r="L195" t="s">
        <v>25</v>
      </c>
    </row>
    <row r="196" spans="1:12" x14ac:dyDescent="0.2">
      <c r="A196">
        <v>21186</v>
      </c>
      <c r="B196">
        <v>120</v>
      </c>
      <c r="C196" t="s">
        <v>21</v>
      </c>
      <c r="D196">
        <v>5992.96</v>
      </c>
      <c r="E196">
        <v>21467.82</v>
      </c>
      <c r="F196">
        <v>6</v>
      </c>
      <c r="G196">
        <v>21.63</v>
      </c>
      <c r="H196">
        <v>1</v>
      </c>
      <c r="I196">
        <v>14.8</v>
      </c>
      <c r="J196">
        <v>15</v>
      </c>
      <c r="K196" t="s">
        <v>20</v>
      </c>
      <c r="L196" t="s">
        <v>22</v>
      </c>
    </row>
    <row r="197" spans="1:12" x14ac:dyDescent="0.2">
      <c r="A197">
        <v>23411</v>
      </c>
      <c r="B197">
        <v>41</v>
      </c>
      <c r="C197" t="s">
        <v>17</v>
      </c>
      <c r="D197">
        <v>463.97</v>
      </c>
      <c r="E197">
        <v>22829.01</v>
      </c>
      <c r="F197">
        <v>12</v>
      </c>
      <c r="G197">
        <v>21.58</v>
      </c>
      <c r="H197">
        <v>3</v>
      </c>
      <c r="I197">
        <v>-3.9</v>
      </c>
      <c r="J197">
        <v>0</v>
      </c>
      <c r="K197" t="s">
        <v>15</v>
      </c>
      <c r="L197" t="s">
        <v>16</v>
      </c>
    </row>
    <row r="198" spans="1:12" x14ac:dyDescent="0.2">
      <c r="A198">
        <v>22625</v>
      </c>
      <c r="B198">
        <v>24</v>
      </c>
      <c r="C198" t="s">
        <v>21</v>
      </c>
      <c r="D198">
        <v>3285.13</v>
      </c>
      <c r="E198">
        <v>29528.66</v>
      </c>
      <c r="F198">
        <v>48</v>
      </c>
      <c r="G198">
        <v>24.47</v>
      </c>
      <c r="H198">
        <v>2</v>
      </c>
      <c r="I198">
        <v>13.8</v>
      </c>
      <c r="J198">
        <v>90</v>
      </c>
      <c r="K198" t="s">
        <v>15</v>
      </c>
      <c r="L198" t="s">
        <v>14</v>
      </c>
    </row>
    <row r="199" spans="1:12" x14ac:dyDescent="0.2">
      <c r="A199">
        <v>25947</v>
      </c>
      <c r="B199">
        <v>25</v>
      </c>
      <c r="C199" t="s">
        <v>23</v>
      </c>
      <c r="D199">
        <v>2105.96</v>
      </c>
      <c r="E199">
        <v>21842.080000000002</v>
      </c>
      <c r="F199">
        <v>36</v>
      </c>
      <c r="G199">
        <v>27.95</v>
      </c>
      <c r="H199">
        <v>2</v>
      </c>
      <c r="I199">
        <v>5</v>
      </c>
      <c r="J199">
        <v>120</v>
      </c>
      <c r="K199" t="s">
        <v>24</v>
      </c>
      <c r="L199" t="s">
        <v>19</v>
      </c>
    </row>
    <row r="200" spans="1:12" x14ac:dyDescent="0.2">
      <c r="A200">
        <v>22047</v>
      </c>
      <c r="B200">
        <v>27</v>
      </c>
      <c r="C200" t="s">
        <v>23</v>
      </c>
      <c r="D200">
        <v>4571.7700000000004</v>
      </c>
      <c r="E200">
        <v>15403.42</v>
      </c>
      <c r="F200">
        <v>60</v>
      </c>
      <c r="G200">
        <v>25.69</v>
      </c>
      <c r="H200">
        <v>4</v>
      </c>
      <c r="I200">
        <v>10.5</v>
      </c>
      <c r="J200">
        <v>60</v>
      </c>
      <c r="K200" t="s">
        <v>24</v>
      </c>
      <c r="L200" t="s">
        <v>16</v>
      </c>
    </row>
    <row r="201" spans="1:12" x14ac:dyDescent="0.2">
      <c r="A201">
        <v>25557</v>
      </c>
      <c r="B201">
        <v>44</v>
      </c>
      <c r="C201" t="s">
        <v>12</v>
      </c>
      <c r="D201">
        <v>5766.57</v>
      </c>
      <c r="E201">
        <v>17223.11</v>
      </c>
      <c r="F201">
        <v>18</v>
      </c>
      <c r="G201">
        <v>21.23</v>
      </c>
      <c r="H201">
        <v>0</v>
      </c>
      <c r="I201">
        <v>4.4000000000000004</v>
      </c>
      <c r="J201">
        <v>0</v>
      </c>
      <c r="K201" t="s">
        <v>24</v>
      </c>
      <c r="L201" t="s">
        <v>16</v>
      </c>
    </row>
    <row r="202" spans="1:12" x14ac:dyDescent="0.2">
      <c r="A202">
        <v>23579</v>
      </c>
      <c r="B202">
        <v>36</v>
      </c>
      <c r="C202" t="s">
        <v>27</v>
      </c>
      <c r="D202">
        <v>6382.13</v>
      </c>
      <c r="E202">
        <v>39732.9</v>
      </c>
      <c r="F202">
        <v>48</v>
      </c>
      <c r="G202">
        <v>21.38</v>
      </c>
      <c r="H202">
        <v>3</v>
      </c>
      <c r="I202">
        <v>13.4</v>
      </c>
      <c r="J202">
        <v>0</v>
      </c>
      <c r="K202" t="s">
        <v>13</v>
      </c>
      <c r="L202" t="s">
        <v>22</v>
      </c>
    </row>
    <row r="203" spans="1:12" x14ac:dyDescent="0.2">
      <c r="A203">
        <v>24253</v>
      </c>
      <c r="B203">
        <v>50</v>
      </c>
      <c r="C203" t="s">
        <v>17</v>
      </c>
      <c r="D203">
        <v>1221.29</v>
      </c>
      <c r="E203">
        <v>34560.42</v>
      </c>
      <c r="F203">
        <v>36</v>
      </c>
      <c r="G203">
        <v>24.33</v>
      </c>
      <c r="H203">
        <v>2</v>
      </c>
      <c r="I203">
        <v>7.1</v>
      </c>
      <c r="J203">
        <v>30</v>
      </c>
      <c r="K203" t="s">
        <v>20</v>
      </c>
      <c r="L203" t="s">
        <v>22</v>
      </c>
    </row>
    <row r="204" spans="1:12" x14ac:dyDescent="0.2">
      <c r="A204">
        <v>22661</v>
      </c>
      <c r="B204">
        <v>57</v>
      </c>
      <c r="C204" t="s">
        <v>23</v>
      </c>
      <c r="D204">
        <v>7782.48</v>
      </c>
      <c r="F204">
        <v>18</v>
      </c>
      <c r="G204">
        <v>21.26</v>
      </c>
      <c r="H204">
        <v>2</v>
      </c>
      <c r="I204">
        <v>9.1</v>
      </c>
      <c r="J204">
        <v>0</v>
      </c>
      <c r="K204" t="s">
        <v>20</v>
      </c>
      <c r="L204" t="s">
        <v>25</v>
      </c>
    </row>
    <row r="205" spans="1:12" x14ac:dyDescent="0.2">
      <c r="A205">
        <v>25887</v>
      </c>
      <c r="B205">
        <v>28</v>
      </c>
      <c r="C205" t="s">
        <v>17</v>
      </c>
      <c r="D205">
        <v>3868.69</v>
      </c>
      <c r="E205">
        <v>10365.92</v>
      </c>
      <c r="F205">
        <v>36</v>
      </c>
      <c r="G205">
        <v>10.81</v>
      </c>
      <c r="H205">
        <v>2</v>
      </c>
      <c r="I205">
        <v>6</v>
      </c>
      <c r="J205">
        <v>90</v>
      </c>
      <c r="K205" t="s">
        <v>13</v>
      </c>
      <c r="L205" t="s">
        <v>22</v>
      </c>
    </row>
    <row r="206" spans="1:12" x14ac:dyDescent="0.2">
      <c r="A206">
        <v>23371</v>
      </c>
      <c r="B206">
        <v>59</v>
      </c>
      <c r="C206" t="s">
        <v>12</v>
      </c>
      <c r="D206">
        <v>4558.28</v>
      </c>
      <c r="E206">
        <v>19710.009999999998</v>
      </c>
      <c r="F206">
        <v>36</v>
      </c>
      <c r="G206">
        <v>18.66</v>
      </c>
      <c r="I206">
        <v>6.4</v>
      </c>
      <c r="J206">
        <v>30</v>
      </c>
      <c r="K206" t="s">
        <v>13</v>
      </c>
      <c r="L206" t="s">
        <v>19</v>
      </c>
    </row>
    <row r="207" spans="1:12" x14ac:dyDescent="0.2">
      <c r="A207">
        <v>21373</v>
      </c>
      <c r="B207">
        <v>75</v>
      </c>
      <c r="C207" t="s">
        <v>27</v>
      </c>
      <c r="D207">
        <v>2499.42</v>
      </c>
      <c r="E207">
        <v>30769.51</v>
      </c>
      <c r="F207">
        <v>36</v>
      </c>
      <c r="G207">
        <v>15.47</v>
      </c>
      <c r="H207">
        <v>0</v>
      </c>
      <c r="I207">
        <v>-1</v>
      </c>
      <c r="J207">
        <v>0</v>
      </c>
      <c r="K207" t="s">
        <v>13</v>
      </c>
      <c r="L207" t="s">
        <v>22</v>
      </c>
    </row>
    <row r="208" spans="1:12" x14ac:dyDescent="0.2">
      <c r="A208">
        <v>22192</v>
      </c>
      <c r="B208">
        <v>64</v>
      </c>
      <c r="C208" t="s">
        <v>21</v>
      </c>
      <c r="D208">
        <v>722.06</v>
      </c>
      <c r="E208">
        <v>11348.98</v>
      </c>
      <c r="F208">
        <v>36</v>
      </c>
      <c r="G208">
        <v>28.53</v>
      </c>
      <c r="H208">
        <v>3</v>
      </c>
      <c r="I208">
        <v>7.1</v>
      </c>
      <c r="J208">
        <v>15</v>
      </c>
      <c r="K208" t="s">
        <v>24</v>
      </c>
      <c r="L208" t="s">
        <v>16</v>
      </c>
    </row>
    <row r="209" spans="1:12" x14ac:dyDescent="0.2">
      <c r="A209">
        <v>21665</v>
      </c>
      <c r="B209">
        <v>27</v>
      </c>
      <c r="C209" t="s">
        <v>27</v>
      </c>
      <c r="D209">
        <v>6479.82</v>
      </c>
      <c r="E209">
        <v>15184.93</v>
      </c>
      <c r="F209">
        <v>36</v>
      </c>
      <c r="G209">
        <v>23</v>
      </c>
      <c r="H209">
        <v>1</v>
      </c>
      <c r="I209">
        <v>8.5</v>
      </c>
      <c r="J209">
        <v>15</v>
      </c>
      <c r="K209" t="s">
        <v>15</v>
      </c>
      <c r="L209" t="s">
        <v>19</v>
      </c>
    </row>
    <row r="210" spans="1:12" x14ac:dyDescent="0.2">
      <c r="A210">
        <v>23283</v>
      </c>
      <c r="B210">
        <v>32</v>
      </c>
      <c r="C210" t="s">
        <v>26</v>
      </c>
      <c r="D210">
        <v>4397.07</v>
      </c>
      <c r="E210">
        <v>23132.75</v>
      </c>
      <c r="F210">
        <v>48</v>
      </c>
      <c r="G210">
        <v>18.77</v>
      </c>
      <c r="H210">
        <v>0</v>
      </c>
      <c r="I210">
        <v>1.8</v>
      </c>
      <c r="K210" t="s">
        <v>15</v>
      </c>
      <c r="L210" t="s">
        <v>19</v>
      </c>
    </row>
    <row r="211" spans="1:12" x14ac:dyDescent="0.2">
      <c r="A211">
        <v>25352</v>
      </c>
      <c r="B211">
        <v>26</v>
      </c>
      <c r="C211" t="s">
        <v>23</v>
      </c>
      <c r="D211">
        <v>5414.53</v>
      </c>
      <c r="E211">
        <v>17416.810000000001</v>
      </c>
      <c r="F211">
        <v>36</v>
      </c>
      <c r="G211">
        <v>19.18</v>
      </c>
      <c r="H211">
        <v>4</v>
      </c>
      <c r="I211">
        <v>3.9</v>
      </c>
      <c r="J211">
        <v>0</v>
      </c>
      <c r="K211" t="s">
        <v>24</v>
      </c>
      <c r="L211" t="s">
        <v>16</v>
      </c>
    </row>
    <row r="212" spans="1:12" x14ac:dyDescent="0.2">
      <c r="A212">
        <v>23761</v>
      </c>
      <c r="B212">
        <v>45</v>
      </c>
      <c r="C212" t="s">
        <v>23</v>
      </c>
      <c r="D212">
        <v>-387.79</v>
      </c>
      <c r="E212">
        <v>12683.11</v>
      </c>
      <c r="F212">
        <v>12</v>
      </c>
      <c r="G212">
        <v>14.86</v>
      </c>
      <c r="H212">
        <v>2</v>
      </c>
      <c r="I212">
        <v>11.5</v>
      </c>
      <c r="J212">
        <v>0</v>
      </c>
      <c r="K212" t="s">
        <v>18</v>
      </c>
      <c r="L212" t="s">
        <v>19</v>
      </c>
    </row>
    <row r="213" spans="1:12" x14ac:dyDescent="0.2">
      <c r="A213">
        <v>23521</v>
      </c>
      <c r="B213">
        <v>50</v>
      </c>
      <c r="C213" t="s">
        <v>17</v>
      </c>
      <c r="D213">
        <v>3199.08</v>
      </c>
      <c r="E213">
        <v>15105.95</v>
      </c>
      <c r="F213">
        <v>18</v>
      </c>
      <c r="G213">
        <v>28.57</v>
      </c>
      <c r="H213">
        <v>0</v>
      </c>
      <c r="I213">
        <v>11.7</v>
      </c>
      <c r="J213">
        <v>15</v>
      </c>
      <c r="K213" t="s">
        <v>24</v>
      </c>
      <c r="L213" t="s">
        <v>16</v>
      </c>
    </row>
    <row r="214" spans="1:12" x14ac:dyDescent="0.2">
      <c r="A214">
        <v>22570</v>
      </c>
      <c r="B214">
        <v>31</v>
      </c>
      <c r="C214" t="s">
        <v>12</v>
      </c>
      <c r="D214">
        <v>4072.03</v>
      </c>
      <c r="F214">
        <v>18</v>
      </c>
      <c r="G214">
        <v>27.82</v>
      </c>
      <c r="H214">
        <v>0</v>
      </c>
      <c r="I214">
        <v>1.3</v>
      </c>
      <c r="J214">
        <v>0</v>
      </c>
      <c r="K214" t="s">
        <v>18</v>
      </c>
      <c r="L214" t="s">
        <v>16</v>
      </c>
    </row>
    <row r="215" spans="1:12" x14ac:dyDescent="0.2">
      <c r="A215">
        <v>23887</v>
      </c>
      <c r="B215">
        <v>50</v>
      </c>
      <c r="C215" t="s">
        <v>12</v>
      </c>
      <c r="D215">
        <v>3795.56</v>
      </c>
      <c r="E215">
        <v>25439.599999999999</v>
      </c>
      <c r="F215">
        <v>6</v>
      </c>
      <c r="G215">
        <v>14.85</v>
      </c>
      <c r="H215">
        <v>1</v>
      </c>
      <c r="I215">
        <v>5.5</v>
      </c>
      <c r="J215">
        <v>0</v>
      </c>
      <c r="K215" t="s">
        <v>18</v>
      </c>
      <c r="L215" t="s">
        <v>22</v>
      </c>
    </row>
    <row r="216" spans="1:12" x14ac:dyDescent="0.2">
      <c r="A216">
        <v>22489</v>
      </c>
      <c r="B216">
        <v>63</v>
      </c>
      <c r="C216" t="s">
        <v>12</v>
      </c>
      <c r="D216">
        <v>7051.35</v>
      </c>
      <c r="E216">
        <v>15774.12</v>
      </c>
      <c r="F216">
        <v>48</v>
      </c>
      <c r="G216">
        <v>21.67</v>
      </c>
      <c r="H216">
        <v>1</v>
      </c>
      <c r="I216">
        <v>12.8</v>
      </c>
      <c r="J216">
        <v>15</v>
      </c>
      <c r="K216" t="s">
        <v>20</v>
      </c>
      <c r="L216" t="s">
        <v>25</v>
      </c>
    </row>
    <row r="217" spans="1:12" x14ac:dyDescent="0.2">
      <c r="A217">
        <v>25091</v>
      </c>
      <c r="B217">
        <v>57</v>
      </c>
      <c r="C217" t="s">
        <v>26</v>
      </c>
      <c r="D217">
        <v>1076.75</v>
      </c>
      <c r="E217">
        <v>20362.72</v>
      </c>
      <c r="F217">
        <v>6</v>
      </c>
      <c r="G217">
        <v>22.7</v>
      </c>
      <c r="H217">
        <v>3</v>
      </c>
      <c r="I217">
        <v>9.3000000000000007</v>
      </c>
      <c r="J217">
        <v>60</v>
      </c>
      <c r="K217" t="s">
        <v>24</v>
      </c>
      <c r="L217" t="s">
        <v>16</v>
      </c>
    </row>
    <row r="218" spans="1:12" x14ac:dyDescent="0.2">
      <c r="A218">
        <v>20177</v>
      </c>
      <c r="B218">
        <v>46</v>
      </c>
      <c r="C218" t="s">
        <v>27</v>
      </c>
      <c r="D218">
        <v>640.36</v>
      </c>
      <c r="E218">
        <v>12893.69</v>
      </c>
      <c r="F218">
        <v>6</v>
      </c>
      <c r="G218">
        <v>17.600000000000001</v>
      </c>
      <c r="H218">
        <v>4</v>
      </c>
      <c r="J218">
        <v>0</v>
      </c>
      <c r="K218" t="s">
        <v>24</v>
      </c>
      <c r="L218" t="s">
        <v>22</v>
      </c>
    </row>
    <row r="219" spans="1:12" x14ac:dyDescent="0.2">
      <c r="A219">
        <v>25548</v>
      </c>
      <c r="B219">
        <v>31</v>
      </c>
      <c r="C219" t="s">
        <v>17</v>
      </c>
      <c r="D219">
        <v>3537.56</v>
      </c>
      <c r="E219">
        <v>15775.36</v>
      </c>
      <c r="F219">
        <v>12</v>
      </c>
      <c r="G219">
        <v>23.41</v>
      </c>
      <c r="H219">
        <v>2</v>
      </c>
      <c r="I219">
        <v>11.4</v>
      </c>
      <c r="J219">
        <v>120</v>
      </c>
      <c r="K219" t="s">
        <v>15</v>
      </c>
      <c r="L219" t="s">
        <v>14</v>
      </c>
    </row>
    <row r="220" spans="1:12" x14ac:dyDescent="0.2">
      <c r="A220">
        <v>25014</v>
      </c>
      <c r="B220">
        <v>43</v>
      </c>
      <c r="C220" t="s">
        <v>17</v>
      </c>
      <c r="D220">
        <v>4455.34</v>
      </c>
      <c r="E220">
        <v>8971.4</v>
      </c>
      <c r="F220">
        <v>60</v>
      </c>
      <c r="G220">
        <v>16.850000000000001</v>
      </c>
      <c r="I220">
        <v>8.5</v>
      </c>
      <c r="J220">
        <v>0</v>
      </c>
      <c r="K220" t="s">
        <v>24</v>
      </c>
      <c r="L220" t="s">
        <v>25</v>
      </c>
    </row>
    <row r="221" spans="1:12" x14ac:dyDescent="0.2">
      <c r="A221">
        <v>22026</v>
      </c>
      <c r="B221">
        <v>37</v>
      </c>
      <c r="C221" t="s">
        <v>23</v>
      </c>
      <c r="D221">
        <v>8214.8700000000008</v>
      </c>
      <c r="E221">
        <v>19321.830000000002</v>
      </c>
      <c r="F221">
        <v>6</v>
      </c>
      <c r="G221">
        <v>11.05</v>
      </c>
      <c r="H221">
        <v>1</v>
      </c>
      <c r="I221">
        <v>9.3000000000000007</v>
      </c>
      <c r="J221">
        <v>90</v>
      </c>
      <c r="K221" t="s">
        <v>15</v>
      </c>
      <c r="L221" t="s">
        <v>22</v>
      </c>
    </row>
    <row r="222" spans="1:12" x14ac:dyDescent="0.2">
      <c r="A222">
        <v>20012</v>
      </c>
      <c r="B222">
        <v>37</v>
      </c>
      <c r="C222" t="s">
        <v>26</v>
      </c>
      <c r="D222">
        <v>3278</v>
      </c>
      <c r="E222">
        <v>32258.81</v>
      </c>
      <c r="F222">
        <v>36</v>
      </c>
      <c r="G222">
        <v>24.74</v>
      </c>
      <c r="H222">
        <v>0</v>
      </c>
      <c r="I222">
        <v>2.2000000000000002</v>
      </c>
      <c r="J222">
        <v>0</v>
      </c>
      <c r="K222" t="s">
        <v>15</v>
      </c>
      <c r="L222" t="s">
        <v>16</v>
      </c>
    </row>
    <row r="223" spans="1:12" x14ac:dyDescent="0.2">
      <c r="A223">
        <v>23947</v>
      </c>
      <c r="B223">
        <v>55</v>
      </c>
      <c r="C223" t="s">
        <v>26</v>
      </c>
      <c r="D223">
        <v>3170.14</v>
      </c>
      <c r="E223">
        <v>17790.12</v>
      </c>
      <c r="F223">
        <v>36</v>
      </c>
      <c r="G223">
        <v>14.56</v>
      </c>
      <c r="H223">
        <v>1</v>
      </c>
      <c r="I223">
        <v>7.6</v>
      </c>
      <c r="J223">
        <v>0</v>
      </c>
      <c r="K223" t="s">
        <v>13</v>
      </c>
      <c r="L223" t="s">
        <v>25</v>
      </c>
    </row>
    <row r="224" spans="1:12" x14ac:dyDescent="0.2">
      <c r="A224">
        <v>23233</v>
      </c>
      <c r="B224">
        <v>37</v>
      </c>
      <c r="C224" t="s">
        <v>12</v>
      </c>
      <c r="D224">
        <v>6517.67</v>
      </c>
      <c r="E224">
        <v>16534.990000000002</v>
      </c>
      <c r="F224">
        <v>24</v>
      </c>
      <c r="G224">
        <v>21.39</v>
      </c>
      <c r="H224">
        <v>0</v>
      </c>
      <c r="I224">
        <v>9.4</v>
      </c>
      <c r="J224">
        <v>60</v>
      </c>
      <c r="K224" t="s">
        <v>15</v>
      </c>
      <c r="L224" t="s">
        <v>16</v>
      </c>
    </row>
    <row r="225" spans="1:12" x14ac:dyDescent="0.2">
      <c r="A225">
        <v>20809</v>
      </c>
      <c r="B225">
        <v>33</v>
      </c>
      <c r="C225" t="s">
        <v>27</v>
      </c>
      <c r="D225">
        <v>4990.87</v>
      </c>
      <c r="E225">
        <v>41032.83</v>
      </c>
      <c r="F225">
        <v>36</v>
      </c>
      <c r="G225">
        <v>23.96</v>
      </c>
      <c r="H225">
        <v>4</v>
      </c>
      <c r="I225">
        <v>5.7</v>
      </c>
      <c r="J225">
        <v>0</v>
      </c>
      <c r="K225" t="s">
        <v>15</v>
      </c>
      <c r="L225" t="s">
        <v>14</v>
      </c>
    </row>
    <row r="226" spans="1:12" x14ac:dyDescent="0.2">
      <c r="A226">
        <v>21573</v>
      </c>
      <c r="B226">
        <v>24</v>
      </c>
      <c r="C226" t="s">
        <v>26</v>
      </c>
      <c r="D226">
        <v>5889.05</v>
      </c>
      <c r="E226">
        <v>23681.09</v>
      </c>
      <c r="F226">
        <v>60</v>
      </c>
      <c r="G226">
        <v>12.76</v>
      </c>
      <c r="H226">
        <v>1</v>
      </c>
      <c r="I226">
        <v>11.2</v>
      </c>
      <c r="J226">
        <v>0</v>
      </c>
      <c r="K226" t="s">
        <v>20</v>
      </c>
      <c r="L226" t="s">
        <v>14</v>
      </c>
    </row>
    <row r="227" spans="1:12" x14ac:dyDescent="0.2">
      <c r="A227">
        <v>24166</v>
      </c>
      <c r="B227">
        <v>47</v>
      </c>
      <c r="C227" t="s">
        <v>27</v>
      </c>
      <c r="D227">
        <v>5199.9799999999996</v>
      </c>
      <c r="E227">
        <v>32277.18</v>
      </c>
      <c r="F227">
        <v>24</v>
      </c>
      <c r="G227">
        <v>55</v>
      </c>
      <c r="H227">
        <v>2</v>
      </c>
      <c r="I227">
        <v>9.5</v>
      </c>
      <c r="J227">
        <v>0</v>
      </c>
      <c r="K227" t="s">
        <v>13</v>
      </c>
      <c r="L227" t="s">
        <v>14</v>
      </c>
    </row>
    <row r="228" spans="1:12" x14ac:dyDescent="0.2">
      <c r="A228">
        <v>21949</v>
      </c>
      <c r="B228">
        <v>49</v>
      </c>
      <c r="C228" t="s">
        <v>17</v>
      </c>
      <c r="D228">
        <v>7713.8</v>
      </c>
      <c r="E228">
        <v>-666.26</v>
      </c>
      <c r="F228">
        <v>18</v>
      </c>
      <c r="G228">
        <v>19.239999999999998</v>
      </c>
      <c r="H228">
        <v>2</v>
      </c>
      <c r="I228">
        <v>13.3</v>
      </c>
      <c r="J228">
        <v>15</v>
      </c>
      <c r="K228" t="s">
        <v>13</v>
      </c>
      <c r="L228" t="s">
        <v>22</v>
      </c>
    </row>
    <row r="229" spans="1:12" x14ac:dyDescent="0.2">
      <c r="A229">
        <v>23902</v>
      </c>
      <c r="B229">
        <v>58</v>
      </c>
      <c r="C229" t="s">
        <v>17</v>
      </c>
      <c r="D229">
        <v>6959.02</v>
      </c>
      <c r="E229">
        <v>20507.73</v>
      </c>
      <c r="F229">
        <v>24</v>
      </c>
      <c r="G229">
        <v>12.44</v>
      </c>
      <c r="H229">
        <v>0</v>
      </c>
      <c r="I229">
        <v>7.7</v>
      </c>
      <c r="K229" t="s">
        <v>24</v>
      </c>
      <c r="L229" t="s">
        <v>16</v>
      </c>
    </row>
    <row r="230" spans="1:12" x14ac:dyDescent="0.2">
      <c r="A230">
        <v>20367</v>
      </c>
      <c r="B230">
        <v>46</v>
      </c>
      <c r="C230" t="s">
        <v>17</v>
      </c>
      <c r="D230">
        <v>4362.6000000000004</v>
      </c>
      <c r="E230">
        <v>24475.61</v>
      </c>
      <c r="F230">
        <v>60</v>
      </c>
      <c r="G230">
        <v>23.48</v>
      </c>
      <c r="H230">
        <v>3</v>
      </c>
      <c r="I230">
        <v>1.8</v>
      </c>
      <c r="J230">
        <v>90</v>
      </c>
      <c r="K230" t="s">
        <v>13</v>
      </c>
      <c r="L230" t="s">
        <v>22</v>
      </c>
    </row>
    <row r="231" spans="1:12" x14ac:dyDescent="0.2">
      <c r="A231">
        <v>22485</v>
      </c>
      <c r="B231">
        <v>56</v>
      </c>
      <c r="C231" t="s">
        <v>21</v>
      </c>
      <c r="D231">
        <v>7633.15</v>
      </c>
      <c r="E231">
        <v>25374.73</v>
      </c>
      <c r="F231">
        <v>36</v>
      </c>
      <c r="G231">
        <v>24.51</v>
      </c>
      <c r="I231">
        <v>8.5</v>
      </c>
      <c r="J231">
        <v>30</v>
      </c>
      <c r="K231" t="s">
        <v>15</v>
      </c>
      <c r="L231" t="s">
        <v>25</v>
      </c>
    </row>
    <row r="232" spans="1:12" x14ac:dyDescent="0.2">
      <c r="A232">
        <v>20648</v>
      </c>
      <c r="B232">
        <v>43</v>
      </c>
      <c r="C232" t="s">
        <v>12</v>
      </c>
      <c r="D232">
        <v>3856.63</v>
      </c>
      <c r="E232">
        <v>7142.71</v>
      </c>
      <c r="F232">
        <v>24</v>
      </c>
      <c r="G232">
        <v>23.45</v>
      </c>
      <c r="H232">
        <v>4</v>
      </c>
      <c r="I232">
        <v>5.6</v>
      </c>
      <c r="J232">
        <v>60</v>
      </c>
      <c r="K232" t="s">
        <v>20</v>
      </c>
      <c r="L232" t="s">
        <v>14</v>
      </c>
    </row>
    <row r="233" spans="1:12" x14ac:dyDescent="0.2">
      <c r="A233">
        <v>21520</v>
      </c>
      <c r="B233">
        <v>29</v>
      </c>
      <c r="C233" t="s">
        <v>26</v>
      </c>
      <c r="D233">
        <v>6285.36</v>
      </c>
      <c r="E233">
        <v>15765.95</v>
      </c>
      <c r="F233">
        <v>36</v>
      </c>
      <c r="G233">
        <v>18.53</v>
      </c>
      <c r="H233">
        <v>0</v>
      </c>
      <c r="I233">
        <v>3.3</v>
      </c>
      <c r="J233">
        <v>30</v>
      </c>
      <c r="K233" t="s">
        <v>20</v>
      </c>
      <c r="L233" t="s">
        <v>16</v>
      </c>
    </row>
    <row r="234" spans="1:12" x14ac:dyDescent="0.2">
      <c r="A234">
        <v>25947</v>
      </c>
      <c r="B234">
        <v>22</v>
      </c>
      <c r="C234" t="s">
        <v>12</v>
      </c>
      <c r="D234">
        <v>4991.92</v>
      </c>
      <c r="E234">
        <v>20615.169999999998</v>
      </c>
      <c r="F234">
        <v>48</v>
      </c>
      <c r="G234">
        <v>23.07</v>
      </c>
      <c r="H234">
        <v>0</v>
      </c>
      <c r="J234">
        <v>120</v>
      </c>
      <c r="K234" t="s">
        <v>20</v>
      </c>
      <c r="L234" t="s">
        <v>25</v>
      </c>
    </row>
    <row r="235" spans="1:12" x14ac:dyDescent="0.2">
      <c r="A235">
        <v>20560</v>
      </c>
      <c r="B235">
        <v>52</v>
      </c>
      <c r="C235" t="s">
        <v>26</v>
      </c>
      <c r="D235">
        <v>-69.17</v>
      </c>
      <c r="E235">
        <v>9545.59</v>
      </c>
      <c r="F235">
        <v>60</v>
      </c>
      <c r="G235">
        <v>20.32</v>
      </c>
      <c r="H235">
        <v>4</v>
      </c>
      <c r="I235">
        <v>6.8</v>
      </c>
      <c r="J235">
        <v>0</v>
      </c>
      <c r="K235" t="s">
        <v>15</v>
      </c>
      <c r="L235" t="s">
        <v>16</v>
      </c>
    </row>
    <row r="236" spans="1:12" x14ac:dyDescent="0.2">
      <c r="A236">
        <v>25759</v>
      </c>
      <c r="B236">
        <v>62</v>
      </c>
      <c r="C236" t="s">
        <v>21</v>
      </c>
      <c r="D236">
        <v>5503.63</v>
      </c>
      <c r="E236">
        <v>10984.54</v>
      </c>
      <c r="F236">
        <v>48</v>
      </c>
      <c r="G236">
        <v>13.35</v>
      </c>
      <c r="H236">
        <v>4</v>
      </c>
      <c r="I236">
        <v>11.6</v>
      </c>
      <c r="J236">
        <v>30</v>
      </c>
      <c r="K236" t="s">
        <v>20</v>
      </c>
      <c r="L236" t="s">
        <v>22</v>
      </c>
    </row>
    <row r="237" spans="1:12" x14ac:dyDescent="0.2">
      <c r="A237">
        <v>20959</v>
      </c>
      <c r="B237">
        <v>120</v>
      </c>
      <c r="C237" t="s">
        <v>21</v>
      </c>
      <c r="D237">
        <v>3941.27</v>
      </c>
      <c r="E237">
        <v>28455.759999999998</v>
      </c>
      <c r="F237">
        <v>12</v>
      </c>
      <c r="G237">
        <v>11.95</v>
      </c>
      <c r="H237">
        <v>4</v>
      </c>
      <c r="I237">
        <v>10.3</v>
      </c>
      <c r="J237">
        <v>120</v>
      </c>
      <c r="K237" t="s">
        <v>20</v>
      </c>
      <c r="L237" t="s">
        <v>16</v>
      </c>
    </row>
    <row r="238" spans="1:12" x14ac:dyDescent="0.2">
      <c r="A238">
        <v>24558</v>
      </c>
      <c r="B238">
        <v>51</v>
      </c>
      <c r="C238" t="s">
        <v>21</v>
      </c>
      <c r="D238">
        <v>6335.14</v>
      </c>
      <c r="E238">
        <v>19550.64</v>
      </c>
      <c r="F238">
        <v>18</v>
      </c>
      <c r="G238">
        <v>13.64</v>
      </c>
      <c r="H238">
        <v>0</v>
      </c>
      <c r="I238">
        <v>1.7</v>
      </c>
      <c r="J238">
        <v>120</v>
      </c>
      <c r="K238" t="s">
        <v>24</v>
      </c>
      <c r="L238" t="s">
        <v>19</v>
      </c>
    </row>
    <row r="239" spans="1:12" x14ac:dyDescent="0.2">
      <c r="A239">
        <v>25226</v>
      </c>
      <c r="B239">
        <v>49</v>
      </c>
      <c r="C239" t="s">
        <v>23</v>
      </c>
      <c r="D239">
        <v>6922.45</v>
      </c>
      <c r="E239">
        <v>21115.09</v>
      </c>
      <c r="F239">
        <v>6</v>
      </c>
      <c r="G239">
        <v>22.93</v>
      </c>
      <c r="H239">
        <v>1</v>
      </c>
      <c r="I239">
        <v>6.5</v>
      </c>
      <c r="J239">
        <v>60</v>
      </c>
      <c r="K239" t="s">
        <v>24</v>
      </c>
      <c r="L239" t="s">
        <v>16</v>
      </c>
    </row>
    <row r="240" spans="1:12" x14ac:dyDescent="0.2">
      <c r="A240">
        <v>21102</v>
      </c>
      <c r="B240">
        <v>25</v>
      </c>
      <c r="C240" t="s">
        <v>27</v>
      </c>
      <c r="D240">
        <v>3081.89</v>
      </c>
      <c r="E240">
        <v>38182.370000000003</v>
      </c>
      <c r="F240">
        <v>12</v>
      </c>
      <c r="G240">
        <v>17.690000000000001</v>
      </c>
      <c r="H240">
        <v>3</v>
      </c>
      <c r="I240">
        <v>9.6999999999999993</v>
      </c>
      <c r="J240">
        <v>60</v>
      </c>
      <c r="K240" t="s">
        <v>15</v>
      </c>
      <c r="L240" t="s">
        <v>19</v>
      </c>
    </row>
    <row r="241" spans="1:12" x14ac:dyDescent="0.2">
      <c r="A241">
        <v>23609</v>
      </c>
      <c r="B241">
        <v>56</v>
      </c>
      <c r="C241" t="s">
        <v>23</v>
      </c>
      <c r="D241">
        <v>-556.48</v>
      </c>
      <c r="E241">
        <v>32606.11</v>
      </c>
      <c r="F241">
        <v>24</v>
      </c>
      <c r="G241">
        <v>25.56</v>
      </c>
      <c r="H241">
        <v>3</v>
      </c>
      <c r="I241">
        <v>8.3000000000000007</v>
      </c>
      <c r="J241">
        <v>15</v>
      </c>
      <c r="K241" t="s">
        <v>18</v>
      </c>
      <c r="L241" t="s">
        <v>14</v>
      </c>
    </row>
    <row r="242" spans="1:12" x14ac:dyDescent="0.2">
      <c r="A242">
        <v>21092</v>
      </c>
      <c r="B242">
        <v>48</v>
      </c>
      <c r="C242" t="s">
        <v>21</v>
      </c>
      <c r="D242">
        <v>5605.05</v>
      </c>
      <c r="E242">
        <v>24991.02</v>
      </c>
      <c r="F242">
        <v>24</v>
      </c>
      <c r="G242">
        <v>16.989999999999998</v>
      </c>
      <c r="H242">
        <v>3</v>
      </c>
      <c r="I242">
        <v>11.1</v>
      </c>
      <c r="J242">
        <v>60</v>
      </c>
      <c r="K242" t="s">
        <v>13</v>
      </c>
      <c r="L242" t="s">
        <v>14</v>
      </c>
    </row>
    <row r="243" spans="1:12" x14ac:dyDescent="0.2">
      <c r="A243">
        <v>25537</v>
      </c>
      <c r="B243">
        <v>57</v>
      </c>
      <c r="C243" t="s">
        <v>26</v>
      </c>
      <c r="D243">
        <v>4646.3500000000004</v>
      </c>
      <c r="E243">
        <v>24378.14</v>
      </c>
      <c r="F243">
        <v>24</v>
      </c>
      <c r="G243">
        <v>11.49</v>
      </c>
      <c r="H243">
        <v>3</v>
      </c>
      <c r="K243" t="s">
        <v>20</v>
      </c>
      <c r="L243" t="s">
        <v>14</v>
      </c>
    </row>
    <row r="244" spans="1:12" x14ac:dyDescent="0.2">
      <c r="A244">
        <v>24428</v>
      </c>
      <c r="B244">
        <v>60</v>
      </c>
      <c r="C244" t="s">
        <v>21</v>
      </c>
      <c r="D244">
        <v>3129.54</v>
      </c>
      <c r="E244">
        <v>26942.799999999999</v>
      </c>
      <c r="F244">
        <v>48</v>
      </c>
      <c r="G244">
        <v>25.67</v>
      </c>
      <c r="H244">
        <v>0</v>
      </c>
      <c r="I244">
        <v>6.6</v>
      </c>
      <c r="J244">
        <v>60</v>
      </c>
      <c r="K244" t="s">
        <v>24</v>
      </c>
      <c r="L244" t="s">
        <v>22</v>
      </c>
    </row>
    <row r="245" spans="1:12" x14ac:dyDescent="0.2">
      <c r="A245">
        <v>24327</v>
      </c>
      <c r="B245">
        <v>47</v>
      </c>
      <c r="C245" t="s">
        <v>27</v>
      </c>
      <c r="D245">
        <v>5541.4</v>
      </c>
      <c r="E245">
        <v>-1037.04</v>
      </c>
      <c r="F245">
        <v>60</v>
      </c>
      <c r="G245">
        <v>21.28</v>
      </c>
      <c r="H245">
        <v>3</v>
      </c>
      <c r="I245">
        <v>3</v>
      </c>
      <c r="K245" t="s">
        <v>18</v>
      </c>
      <c r="L245" t="s">
        <v>22</v>
      </c>
    </row>
    <row r="246" spans="1:12" x14ac:dyDescent="0.2">
      <c r="A246">
        <v>24704</v>
      </c>
      <c r="B246">
        <v>30</v>
      </c>
      <c r="C246" t="s">
        <v>23</v>
      </c>
      <c r="D246">
        <v>1557.87</v>
      </c>
      <c r="E246">
        <v>25219.46</v>
      </c>
      <c r="F246">
        <v>18</v>
      </c>
      <c r="G246">
        <v>24.09</v>
      </c>
      <c r="H246">
        <v>2</v>
      </c>
      <c r="I246">
        <v>8.3000000000000007</v>
      </c>
      <c r="J246">
        <v>90</v>
      </c>
      <c r="K246" t="s">
        <v>15</v>
      </c>
      <c r="L246" t="s">
        <v>16</v>
      </c>
    </row>
    <row r="247" spans="1:12" x14ac:dyDescent="0.2">
      <c r="A247">
        <v>20764</v>
      </c>
      <c r="B247">
        <v>47</v>
      </c>
      <c r="C247" t="s">
        <v>27</v>
      </c>
      <c r="D247">
        <v>5461.9</v>
      </c>
      <c r="E247">
        <v>30450.42</v>
      </c>
      <c r="F247">
        <v>36</v>
      </c>
      <c r="G247">
        <v>11.23</v>
      </c>
      <c r="H247">
        <v>3</v>
      </c>
      <c r="I247">
        <v>7.7</v>
      </c>
      <c r="J247">
        <v>120</v>
      </c>
      <c r="K247" t="s">
        <v>20</v>
      </c>
      <c r="L247" t="s">
        <v>19</v>
      </c>
    </row>
    <row r="248" spans="1:12" x14ac:dyDescent="0.2">
      <c r="A248">
        <v>23646</v>
      </c>
      <c r="B248">
        <v>50</v>
      </c>
      <c r="C248" t="s">
        <v>21</v>
      </c>
      <c r="D248">
        <v>7730.94</v>
      </c>
      <c r="E248">
        <v>11983.61</v>
      </c>
      <c r="F248">
        <v>60</v>
      </c>
      <c r="G248">
        <v>22.9</v>
      </c>
      <c r="H248">
        <v>0</v>
      </c>
      <c r="I248">
        <v>6.6</v>
      </c>
      <c r="K248" t="s">
        <v>13</v>
      </c>
      <c r="L248" t="s">
        <v>16</v>
      </c>
    </row>
    <row r="249" spans="1:12" x14ac:dyDescent="0.2">
      <c r="A249">
        <v>23935</v>
      </c>
      <c r="B249">
        <v>63</v>
      </c>
      <c r="C249" t="s">
        <v>12</v>
      </c>
      <c r="D249">
        <v>112.72</v>
      </c>
      <c r="E249">
        <v>17695.52</v>
      </c>
      <c r="F249">
        <v>48</v>
      </c>
      <c r="G249">
        <v>23.3</v>
      </c>
      <c r="H249">
        <v>3</v>
      </c>
      <c r="I249">
        <v>10.6</v>
      </c>
      <c r="J249">
        <v>0</v>
      </c>
      <c r="K249" t="s">
        <v>15</v>
      </c>
      <c r="L249" t="s">
        <v>22</v>
      </c>
    </row>
    <row r="250" spans="1:12" x14ac:dyDescent="0.2">
      <c r="A250">
        <v>23949</v>
      </c>
      <c r="B250">
        <v>40</v>
      </c>
      <c r="C250" t="s">
        <v>23</v>
      </c>
      <c r="D250">
        <v>-1389.32</v>
      </c>
      <c r="E250">
        <v>30314.01</v>
      </c>
      <c r="F250">
        <v>18</v>
      </c>
      <c r="G250">
        <v>18.37</v>
      </c>
      <c r="H250">
        <v>4</v>
      </c>
      <c r="I250">
        <v>7</v>
      </c>
      <c r="J250">
        <v>30</v>
      </c>
      <c r="K250" t="s">
        <v>24</v>
      </c>
      <c r="L250" t="s">
        <v>14</v>
      </c>
    </row>
    <row r="251" spans="1:12" x14ac:dyDescent="0.2">
      <c r="A251">
        <v>22476</v>
      </c>
      <c r="B251">
        <v>25</v>
      </c>
      <c r="C251" t="s">
        <v>23</v>
      </c>
      <c r="D251">
        <v>6937.88</v>
      </c>
      <c r="E251">
        <v>13692.67</v>
      </c>
      <c r="F251">
        <v>60</v>
      </c>
      <c r="G251">
        <v>14.04</v>
      </c>
      <c r="H251">
        <v>3</v>
      </c>
      <c r="I251">
        <v>12.3</v>
      </c>
      <c r="J251">
        <v>120</v>
      </c>
      <c r="K251" t="s">
        <v>13</v>
      </c>
      <c r="L251" t="s">
        <v>19</v>
      </c>
    </row>
    <row r="252" spans="1:12" x14ac:dyDescent="0.2">
      <c r="A252">
        <v>25709</v>
      </c>
      <c r="B252">
        <v>58</v>
      </c>
      <c r="C252" t="s">
        <v>12</v>
      </c>
      <c r="D252">
        <v>4383.3100000000004</v>
      </c>
      <c r="E252">
        <v>19049.810000000001</v>
      </c>
      <c r="F252">
        <v>24</v>
      </c>
      <c r="G252">
        <v>20.89</v>
      </c>
      <c r="I252">
        <v>14.1</v>
      </c>
      <c r="J252">
        <v>60</v>
      </c>
      <c r="K252" t="s">
        <v>18</v>
      </c>
      <c r="L252" t="s">
        <v>25</v>
      </c>
    </row>
    <row r="253" spans="1:12" x14ac:dyDescent="0.2">
      <c r="A253">
        <v>23473</v>
      </c>
      <c r="B253">
        <v>49</v>
      </c>
      <c r="C253" t="s">
        <v>21</v>
      </c>
      <c r="D253">
        <v>6127.52</v>
      </c>
      <c r="E253">
        <v>28266.25</v>
      </c>
      <c r="F253">
        <v>60</v>
      </c>
      <c r="G253">
        <v>18.16</v>
      </c>
      <c r="H253">
        <v>3</v>
      </c>
      <c r="I253">
        <v>10.199999999999999</v>
      </c>
      <c r="J253">
        <v>0</v>
      </c>
      <c r="K253" t="s">
        <v>20</v>
      </c>
      <c r="L253" t="s">
        <v>19</v>
      </c>
    </row>
    <row r="254" spans="1:12" x14ac:dyDescent="0.2">
      <c r="A254">
        <v>21659</v>
      </c>
      <c r="B254">
        <v>62</v>
      </c>
      <c r="C254" t="s">
        <v>23</v>
      </c>
      <c r="D254">
        <v>3823.25</v>
      </c>
      <c r="E254">
        <v>25277.23</v>
      </c>
      <c r="F254">
        <v>48</v>
      </c>
      <c r="G254">
        <v>17.16</v>
      </c>
      <c r="H254">
        <v>0</v>
      </c>
      <c r="I254">
        <v>11.7</v>
      </c>
      <c r="J254">
        <v>0</v>
      </c>
      <c r="K254" t="s">
        <v>13</v>
      </c>
      <c r="L254" t="s">
        <v>22</v>
      </c>
    </row>
    <row r="255" spans="1:12" x14ac:dyDescent="0.2">
      <c r="A255">
        <v>23483</v>
      </c>
      <c r="B255">
        <v>36</v>
      </c>
      <c r="C255" t="s">
        <v>23</v>
      </c>
      <c r="D255">
        <v>5894.1</v>
      </c>
      <c r="E255">
        <v>28514.84</v>
      </c>
      <c r="F255">
        <v>24</v>
      </c>
      <c r="G255">
        <v>23.28</v>
      </c>
      <c r="H255">
        <v>0</v>
      </c>
      <c r="I255">
        <v>6.6</v>
      </c>
      <c r="J255">
        <v>0</v>
      </c>
      <c r="K255" t="s">
        <v>13</v>
      </c>
      <c r="L255" t="s">
        <v>16</v>
      </c>
    </row>
    <row r="256" spans="1:12" x14ac:dyDescent="0.2">
      <c r="A256">
        <v>23938</v>
      </c>
      <c r="B256">
        <v>49</v>
      </c>
      <c r="C256" t="s">
        <v>23</v>
      </c>
      <c r="D256">
        <v>1758.31</v>
      </c>
      <c r="E256">
        <v>11249</v>
      </c>
      <c r="F256">
        <v>18</v>
      </c>
      <c r="G256">
        <v>21.08</v>
      </c>
      <c r="H256">
        <v>4</v>
      </c>
      <c r="I256">
        <v>7.1</v>
      </c>
      <c r="J256">
        <v>90</v>
      </c>
      <c r="K256" t="s">
        <v>20</v>
      </c>
      <c r="L256" t="s">
        <v>25</v>
      </c>
    </row>
    <row r="257" spans="1:12" x14ac:dyDescent="0.2">
      <c r="A257">
        <v>20521</v>
      </c>
      <c r="B257">
        <v>36</v>
      </c>
      <c r="C257" t="s">
        <v>26</v>
      </c>
      <c r="D257">
        <v>2490.16</v>
      </c>
      <c r="E257">
        <v>11755.75</v>
      </c>
      <c r="F257">
        <v>60</v>
      </c>
      <c r="G257">
        <v>21.94</v>
      </c>
      <c r="H257">
        <v>4</v>
      </c>
      <c r="I257">
        <v>5.9</v>
      </c>
      <c r="J257">
        <v>30</v>
      </c>
      <c r="K257" t="s">
        <v>24</v>
      </c>
      <c r="L257" t="s">
        <v>19</v>
      </c>
    </row>
    <row r="258" spans="1:12" x14ac:dyDescent="0.2">
      <c r="A258">
        <v>21717</v>
      </c>
      <c r="B258">
        <v>120</v>
      </c>
      <c r="C258" t="s">
        <v>17</v>
      </c>
      <c r="D258">
        <v>2155.44</v>
      </c>
      <c r="E258">
        <v>17684.3</v>
      </c>
      <c r="F258">
        <v>36</v>
      </c>
      <c r="G258">
        <v>18.07</v>
      </c>
      <c r="I258">
        <v>-1.2</v>
      </c>
      <c r="J258">
        <v>60</v>
      </c>
      <c r="K258" t="s">
        <v>13</v>
      </c>
      <c r="L258" t="s">
        <v>22</v>
      </c>
    </row>
    <row r="259" spans="1:12" x14ac:dyDescent="0.2">
      <c r="A259">
        <v>21631</v>
      </c>
      <c r="B259">
        <v>45</v>
      </c>
      <c r="C259" t="s">
        <v>21</v>
      </c>
      <c r="D259">
        <v>4845.33</v>
      </c>
      <c r="E259">
        <v>22174.76</v>
      </c>
      <c r="F259">
        <v>36</v>
      </c>
      <c r="G259">
        <v>17.54</v>
      </c>
      <c r="I259">
        <v>-0.9</v>
      </c>
      <c r="J259">
        <v>90</v>
      </c>
      <c r="K259" t="s">
        <v>13</v>
      </c>
      <c r="L259" t="s">
        <v>25</v>
      </c>
    </row>
    <row r="260" spans="1:12" x14ac:dyDescent="0.2">
      <c r="A260">
        <v>21744</v>
      </c>
      <c r="B260">
        <v>50</v>
      </c>
      <c r="C260" t="s">
        <v>12</v>
      </c>
      <c r="D260">
        <v>3385.02</v>
      </c>
      <c r="E260">
        <v>5290.47</v>
      </c>
      <c r="F260">
        <v>6</v>
      </c>
      <c r="G260">
        <v>16.829999999999998</v>
      </c>
      <c r="H260">
        <v>2</v>
      </c>
      <c r="I260">
        <v>1.4</v>
      </c>
      <c r="J260">
        <v>15</v>
      </c>
      <c r="K260" t="s">
        <v>18</v>
      </c>
      <c r="L260" t="s">
        <v>19</v>
      </c>
    </row>
    <row r="261" spans="1:12" x14ac:dyDescent="0.2">
      <c r="A261">
        <v>22455</v>
      </c>
      <c r="B261">
        <v>22</v>
      </c>
      <c r="C261" t="s">
        <v>17</v>
      </c>
      <c r="D261">
        <v>3306.22</v>
      </c>
      <c r="E261">
        <v>23546.04</v>
      </c>
      <c r="F261">
        <v>48</v>
      </c>
      <c r="G261">
        <v>30.72</v>
      </c>
      <c r="I261">
        <v>3.9</v>
      </c>
      <c r="J261">
        <v>15</v>
      </c>
      <c r="K261" t="s">
        <v>15</v>
      </c>
      <c r="L261" t="s">
        <v>16</v>
      </c>
    </row>
    <row r="262" spans="1:12" x14ac:dyDescent="0.2">
      <c r="A262">
        <v>24281</v>
      </c>
      <c r="B262">
        <v>40</v>
      </c>
      <c r="C262" t="s">
        <v>12</v>
      </c>
      <c r="D262">
        <v>2856.73</v>
      </c>
      <c r="E262">
        <v>25316.79</v>
      </c>
      <c r="F262">
        <v>36</v>
      </c>
      <c r="G262">
        <v>16.18</v>
      </c>
      <c r="H262">
        <v>4</v>
      </c>
      <c r="I262">
        <v>7.8</v>
      </c>
      <c r="J262">
        <v>0</v>
      </c>
      <c r="K262" t="s">
        <v>18</v>
      </c>
      <c r="L262" t="s">
        <v>22</v>
      </c>
    </row>
    <row r="263" spans="1:12" x14ac:dyDescent="0.2">
      <c r="A263">
        <v>21571</v>
      </c>
      <c r="B263">
        <v>62</v>
      </c>
      <c r="C263" t="s">
        <v>12</v>
      </c>
      <c r="D263">
        <v>10900.96</v>
      </c>
      <c r="E263">
        <v>13827.9</v>
      </c>
      <c r="F263">
        <v>24</v>
      </c>
      <c r="G263">
        <v>55</v>
      </c>
      <c r="H263">
        <v>4</v>
      </c>
      <c r="I263">
        <v>9.6999999999999993</v>
      </c>
      <c r="J263">
        <v>15</v>
      </c>
      <c r="K263" t="s">
        <v>18</v>
      </c>
      <c r="L263" t="s">
        <v>16</v>
      </c>
    </row>
    <row r="264" spans="1:12" x14ac:dyDescent="0.2">
      <c r="A264">
        <v>21805</v>
      </c>
      <c r="B264">
        <v>120</v>
      </c>
      <c r="C264" t="s">
        <v>21</v>
      </c>
      <c r="D264">
        <v>5914.15</v>
      </c>
      <c r="E264">
        <v>23421.58</v>
      </c>
      <c r="F264">
        <v>48</v>
      </c>
      <c r="G264">
        <v>18.22</v>
      </c>
      <c r="I264">
        <v>7.1</v>
      </c>
      <c r="J264">
        <v>90</v>
      </c>
      <c r="K264" t="s">
        <v>13</v>
      </c>
      <c r="L264" t="s">
        <v>19</v>
      </c>
    </row>
    <row r="265" spans="1:12" x14ac:dyDescent="0.2">
      <c r="A265">
        <v>20261</v>
      </c>
      <c r="B265">
        <v>53</v>
      </c>
      <c r="C265" t="s">
        <v>26</v>
      </c>
      <c r="D265">
        <v>6595.43</v>
      </c>
      <c r="E265">
        <v>26358.2</v>
      </c>
      <c r="F265">
        <v>12</v>
      </c>
      <c r="G265">
        <v>23.14</v>
      </c>
      <c r="H265">
        <v>1</v>
      </c>
      <c r="I265">
        <v>4.3</v>
      </c>
      <c r="J265">
        <v>0</v>
      </c>
      <c r="K265" t="s">
        <v>13</v>
      </c>
      <c r="L265" t="s">
        <v>25</v>
      </c>
    </row>
    <row r="266" spans="1:12" x14ac:dyDescent="0.2">
      <c r="A266">
        <v>24141</v>
      </c>
      <c r="B266">
        <v>39</v>
      </c>
      <c r="C266" t="s">
        <v>23</v>
      </c>
      <c r="D266">
        <v>6758.83</v>
      </c>
      <c r="E266">
        <v>26542.78</v>
      </c>
      <c r="F266">
        <v>24</v>
      </c>
      <c r="G266">
        <v>12.24</v>
      </c>
      <c r="H266">
        <v>0</v>
      </c>
      <c r="J266">
        <v>90</v>
      </c>
      <c r="K266" t="s">
        <v>20</v>
      </c>
      <c r="L266" t="s">
        <v>16</v>
      </c>
    </row>
    <row r="267" spans="1:12" x14ac:dyDescent="0.2">
      <c r="A267">
        <v>25432</v>
      </c>
      <c r="B267">
        <v>24</v>
      </c>
      <c r="C267" t="s">
        <v>12</v>
      </c>
      <c r="D267">
        <v>3915.76</v>
      </c>
      <c r="E267">
        <v>24630.92</v>
      </c>
      <c r="F267">
        <v>6</v>
      </c>
      <c r="G267">
        <v>19.45</v>
      </c>
      <c r="H267">
        <v>1</v>
      </c>
      <c r="I267">
        <v>8.8000000000000007</v>
      </c>
      <c r="K267" t="s">
        <v>13</v>
      </c>
      <c r="L267" t="s">
        <v>25</v>
      </c>
    </row>
    <row r="268" spans="1:12" x14ac:dyDescent="0.2">
      <c r="A268">
        <v>21301</v>
      </c>
      <c r="B268">
        <v>53</v>
      </c>
      <c r="C268" t="s">
        <v>26</v>
      </c>
      <c r="D268">
        <v>1744.85</v>
      </c>
      <c r="E268">
        <v>27308.22</v>
      </c>
      <c r="F268">
        <v>36</v>
      </c>
      <c r="G268">
        <v>9.44</v>
      </c>
      <c r="H268">
        <v>0</v>
      </c>
      <c r="I268">
        <v>6.6</v>
      </c>
      <c r="J268">
        <v>120</v>
      </c>
      <c r="K268" t="s">
        <v>13</v>
      </c>
      <c r="L268" t="s">
        <v>16</v>
      </c>
    </row>
    <row r="269" spans="1:12" x14ac:dyDescent="0.2">
      <c r="A269">
        <v>20812</v>
      </c>
      <c r="B269">
        <v>45</v>
      </c>
      <c r="C269" t="s">
        <v>17</v>
      </c>
      <c r="D269">
        <v>6849.95</v>
      </c>
      <c r="E269">
        <v>14772.87</v>
      </c>
      <c r="F269">
        <v>6</v>
      </c>
      <c r="G269">
        <v>27.85</v>
      </c>
      <c r="H269">
        <v>1</v>
      </c>
      <c r="I269">
        <v>1.6</v>
      </c>
      <c r="K269" t="s">
        <v>20</v>
      </c>
      <c r="L269" t="s">
        <v>22</v>
      </c>
    </row>
    <row r="270" spans="1:12" x14ac:dyDescent="0.2">
      <c r="A270">
        <v>22233</v>
      </c>
      <c r="B270">
        <v>56</v>
      </c>
      <c r="C270" t="s">
        <v>27</v>
      </c>
      <c r="D270">
        <v>2048.5</v>
      </c>
      <c r="E270">
        <v>2990.69</v>
      </c>
      <c r="F270">
        <v>36</v>
      </c>
      <c r="G270">
        <v>19.07</v>
      </c>
      <c r="H270">
        <v>2</v>
      </c>
      <c r="I270">
        <v>5.0999999999999996</v>
      </c>
      <c r="J270">
        <v>15</v>
      </c>
      <c r="K270" t="s">
        <v>24</v>
      </c>
      <c r="L270" t="s">
        <v>22</v>
      </c>
    </row>
    <row r="271" spans="1:12" x14ac:dyDescent="0.2">
      <c r="A271">
        <v>22710</v>
      </c>
      <c r="B271">
        <v>21</v>
      </c>
      <c r="C271" t="s">
        <v>17</v>
      </c>
      <c r="D271">
        <v>8689.41</v>
      </c>
      <c r="E271">
        <v>6280.87</v>
      </c>
      <c r="F271">
        <v>12</v>
      </c>
      <c r="G271">
        <v>19.809999999999999</v>
      </c>
      <c r="H271">
        <v>3</v>
      </c>
      <c r="I271">
        <v>13.7</v>
      </c>
      <c r="J271">
        <v>90</v>
      </c>
      <c r="K271" t="s">
        <v>15</v>
      </c>
      <c r="L271" t="s">
        <v>25</v>
      </c>
    </row>
    <row r="272" spans="1:12" x14ac:dyDescent="0.2">
      <c r="A272">
        <v>21971</v>
      </c>
      <c r="B272">
        <v>36</v>
      </c>
      <c r="C272" t="s">
        <v>12</v>
      </c>
      <c r="D272">
        <v>3395.5</v>
      </c>
      <c r="E272">
        <v>13513.13</v>
      </c>
      <c r="F272">
        <v>48</v>
      </c>
      <c r="G272">
        <v>17.71</v>
      </c>
      <c r="I272">
        <v>7.9</v>
      </c>
      <c r="J272">
        <v>30</v>
      </c>
      <c r="K272" t="s">
        <v>24</v>
      </c>
      <c r="L272" t="s">
        <v>25</v>
      </c>
    </row>
    <row r="273" spans="1:12" x14ac:dyDescent="0.2">
      <c r="A273">
        <v>20019</v>
      </c>
      <c r="B273">
        <v>45</v>
      </c>
      <c r="C273" t="s">
        <v>23</v>
      </c>
      <c r="D273">
        <v>3144.95</v>
      </c>
      <c r="E273">
        <v>34008.6</v>
      </c>
      <c r="F273">
        <v>48</v>
      </c>
      <c r="G273">
        <v>17.989999999999998</v>
      </c>
      <c r="H273">
        <v>1</v>
      </c>
      <c r="I273">
        <v>12.6</v>
      </c>
      <c r="J273">
        <v>0</v>
      </c>
      <c r="K273" t="s">
        <v>15</v>
      </c>
      <c r="L273" t="s">
        <v>16</v>
      </c>
    </row>
    <row r="274" spans="1:12" x14ac:dyDescent="0.2">
      <c r="A274">
        <v>23014</v>
      </c>
      <c r="B274">
        <v>55</v>
      </c>
      <c r="C274" t="s">
        <v>12</v>
      </c>
      <c r="D274">
        <v>-1500</v>
      </c>
      <c r="E274">
        <v>14931.82</v>
      </c>
      <c r="F274">
        <v>60</v>
      </c>
      <c r="G274">
        <v>14.6</v>
      </c>
      <c r="H274">
        <v>0</v>
      </c>
      <c r="I274">
        <v>5.2</v>
      </c>
      <c r="J274">
        <v>60</v>
      </c>
      <c r="K274" t="s">
        <v>13</v>
      </c>
      <c r="L274" t="s">
        <v>16</v>
      </c>
    </row>
    <row r="275" spans="1:12" x14ac:dyDescent="0.2">
      <c r="A275">
        <v>23944</v>
      </c>
      <c r="B275">
        <v>31</v>
      </c>
      <c r="C275" t="s">
        <v>23</v>
      </c>
      <c r="D275">
        <v>5189.29</v>
      </c>
      <c r="E275">
        <v>20736.77</v>
      </c>
      <c r="F275">
        <v>18</v>
      </c>
      <c r="G275">
        <v>12.15</v>
      </c>
      <c r="H275">
        <v>0</v>
      </c>
      <c r="I275">
        <v>4.7</v>
      </c>
      <c r="J275">
        <v>15</v>
      </c>
      <c r="K275" t="s">
        <v>18</v>
      </c>
      <c r="L275" t="s">
        <v>22</v>
      </c>
    </row>
    <row r="276" spans="1:12" x14ac:dyDescent="0.2">
      <c r="A276">
        <v>24344</v>
      </c>
      <c r="B276">
        <v>44</v>
      </c>
      <c r="C276" t="s">
        <v>26</v>
      </c>
      <c r="D276">
        <v>7784.81</v>
      </c>
      <c r="E276">
        <v>33245.089999999997</v>
      </c>
      <c r="F276">
        <v>24</v>
      </c>
      <c r="G276">
        <v>18.239999999999998</v>
      </c>
      <c r="H276">
        <v>4</v>
      </c>
      <c r="I276">
        <v>10.8</v>
      </c>
      <c r="J276">
        <v>0</v>
      </c>
      <c r="K276" t="s">
        <v>18</v>
      </c>
      <c r="L276" t="s">
        <v>25</v>
      </c>
    </row>
    <row r="277" spans="1:12" x14ac:dyDescent="0.2">
      <c r="A277">
        <v>20006</v>
      </c>
      <c r="B277">
        <v>55</v>
      </c>
      <c r="C277" t="s">
        <v>23</v>
      </c>
      <c r="D277">
        <v>5746.08</v>
      </c>
      <c r="E277">
        <v>14964.74</v>
      </c>
      <c r="F277">
        <v>12</v>
      </c>
      <c r="G277">
        <v>25.25</v>
      </c>
      <c r="H277">
        <v>0</v>
      </c>
      <c r="I277">
        <v>7.8</v>
      </c>
      <c r="J277">
        <v>15</v>
      </c>
      <c r="K277" t="s">
        <v>18</v>
      </c>
      <c r="L277" t="s">
        <v>14</v>
      </c>
    </row>
    <row r="278" spans="1:12" x14ac:dyDescent="0.2">
      <c r="A278">
        <v>21670</v>
      </c>
      <c r="B278">
        <v>41</v>
      </c>
      <c r="C278" t="s">
        <v>21</v>
      </c>
      <c r="D278">
        <v>5091.3900000000003</v>
      </c>
      <c r="E278">
        <v>25948.65</v>
      </c>
      <c r="F278">
        <v>60</v>
      </c>
      <c r="G278">
        <v>15.09</v>
      </c>
      <c r="I278">
        <v>7.6</v>
      </c>
      <c r="J278">
        <v>0</v>
      </c>
      <c r="K278" t="s">
        <v>15</v>
      </c>
      <c r="L278" t="s">
        <v>25</v>
      </c>
    </row>
    <row r="279" spans="1:12" x14ac:dyDescent="0.2">
      <c r="A279">
        <v>21863</v>
      </c>
      <c r="B279">
        <v>24</v>
      </c>
      <c r="C279" t="s">
        <v>17</v>
      </c>
      <c r="D279">
        <v>4513.38</v>
      </c>
      <c r="E279">
        <v>17224.669999999998</v>
      </c>
      <c r="F279">
        <v>6</v>
      </c>
      <c r="G279">
        <v>13.91</v>
      </c>
      <c r="H279">
        <v>1</v>
      </c>
      <c r="I279">
        <v>6.3</v>
      </c>
      <c r="J279">
        <v>15</v>
      </c>
      <c r="K279" t="s">
        <v>15</v>
      </c>
      <c r="L279" t="s">
        <v>16</v>
      </c>
    </row>
    <row r="280" spans="1:12" x14ac:dyDescent="0.2">
      <c r="A280">
        <v>23552</v>
      </c>
      <c r="B280">
        <v>18</v>
      </c>
      <c r="C280" t="s">
        <v>26</v>
      </c>
      <c r="D280">
        <v>2395.2800000000002</v>
      </c>
      <c r="E280">
        <v>21942.16</v>
      </c>
      <c r="F280">
        <v>18</v>
      </c>
      <c r="G280">
        <v>19.27</v>
      </c>
      <c r="H280">
        <v>2</v>
      </c>
      <c r="I280">
        <v>7.8</v>
      </c>
      <c r="J280">
        <v>15</v>
      </c>
      <c r="K280" t="s">
        <v>15</v>
      </c>
      <c r="L280" t="s">
        <v>14</v>
      </c>
    </row>
    <row r="281" spans="1:12" x14ac:dyDescent="0.2">
      <c r="A281">
        <v>23230</v>
      </c>
      <c r="B281">
        <v>34</v>
      </c>
      <c r="C281" t="s">
        <v>17</v>
      </c>
      <c r="D281">
        <v>5076.5</v>
      </c>
      <c r="E281">
        <v>13102.2</v>
      </c>
      <c r="F281">
        <v>6</v>
      </c>
      <c r="G281">
        <v>17.829999999999998</v>
      </c>
      <c r="H281">
        <v>0</v>
      </c>
      <c r="I281">
        <v>0.3</v>
      </c>
      <c r="J281">
        <v>0</v>
      </c>
      <c r="K281" t="s">
        <v>15</v>
      </c>
      <c r="L281" t="s">
        <v>19</v>
      </c>
    </row>
    <row r="282" spans="1:12" x14ac:dyDescent="0.2">
      <c r="A282">
        <v>25521</v>
      </c>
      <c r="B282">
        <v>47</v>
      </c>
      <c r="C282" t="s">
        <v>12</v>
      </c>
      <c r="D282">
        <v>6174.7</v>
      </c>
      <c r="E282">
        <v>29350.67</v>
      </c>
      <c r="F282">
        <v>60</v>
      </c>
      <c r="G282">
        <v>25.39</v>
      </c>
      <c r="H282">
        <v>4</v>
      </c>
      <c r="I282">
        <v>13.6</v>
      </c>
      <c r="J282">
        <v>0</v>
      </c>
      <c r="K282" t="s">
        <v>15</v>
      </c>
      <c r="L282" t="s">
        <v>14</v>
      </c>
    </row>
    <row r="283" spans="1:12" x14ac:dyDescent="0.2">
      <c r="A283">
        <v>20939</v>
      </c>
      <c r="B283">
        <v>53</v>
      </c>
      <c r="C283" t="s">
        <v>12</v>
      </c>
      <c r="D283">
        <v>5339.65</v>
      </c>
      <c r="E283">
        <v>21102</v>
      </c>
      <c r="F283">
        <v>60</v>
      </c>
      <c r="G283">
        <v>19.78</v>
      </c>
      <c r="H283">
        <v>2</v>
      </c>
      <c r="I283">
        <v>8.6</v>
      </c>
      <c r="J283">
        <v>90</v>
      </c>
      <c r="K283" t="s">
        <v>18</v>
      </c>
      <c r="L283" t="s">
        <v>14</v>
      </c>
    </row>
    <row r="284" spans="1:12" x14ac:dyDescent="0.2">
      <c r="A284">
        <v>21271</v>
      </c>
      <c r="B284">
        <v>36</v>
      </c>
      <c r="C284" t="s">
        <v>27</v>
      </c>
      <c r="D284">
        <v>8516.0400000000009</v>
      </c>
      <c r="E284">
        <v>20865.77</v>
      </c>
      <c r="F284">
        <v>6</v>
      </c>
      <c r="G284">
        <v>16.260000000000002</v>
      </c>
      <c r="H284">
        <v>3</v>
      </c>
      <c r="I284">
        <v>8.4</v>
      </c>
      <c r="J284">
        <v>15</v>
      </c>
      <c r="K284" t="s">
        <v>13</v>
      </c>
      <c r="L284" t="s">
        <v>25</v>
      </c>
    </row>
    <row r="285" spans="1:12" x14ac:dyDescent="0.2">
      <c r="A285">
        <v>20943</v>
      </c>
      <c r="B285">
        <v>64</v>
      </c>
      <c r="C285" t="s">
        <v>26</v>
      </c>
      <c r="D285">
        <v>9083.83</v>
      </c>
      <c r="E285">
        <v>38804.79</v>
      </c>
      <c r="F285">
        <v>36</v>
      </c>
      <c r="G285">
        <v>19.559999999999999</v>
      </c>
      <c r="I285">
        <v>9.6999999999999993</v>
      </c>
      <c r="J285">
        <v>15</v>
      </c>
      <c r="K285" t="s">
        <v>18</v>
      </c>
      <c r="L285" t="s">
        <v>22</v>
      </c>
    </row>
    <row r="286" spans="1:12" x14ac:dyDescent="0.2">
      <c r="A286">
        <v>23141</v>
      </c>
      <c r="B286">
        <v>22</v>
      </c>
      <c r="C286" t="s">
        <v>23</v>
      </c>
      <c r="D286">
        <v>10684.21</v>
      </c>
      <c r="E286">
        <v>25643.66</v>
      </c>
      <c r="F286">
        <v>12</v>
      </c>
      <c r="G286">
        <v>20.65</v>
      </c>
      <c r="H286">
        <v>2</v>
      </c>
      <c r="I286">
        <v>1.7</v>
      </c>
      <c r="J286">
        <v>120</v>
      </c>
      <c r="K286" t="s">
        <v>18</v>
      </c>
      <c r="L286" t="s">
        <v>14</v>
      </c>
    </row>
    <row r="287" spans="1:12" x14ac:dyDescent="0.2">
      <c r="A287">
        <v>20239</v>
      </c>
      <c r="B287">
        <v>53</v>
      </c>
      <c r="C287" t="s">
        <v>21</v>
      </c>
      <c r="D287">
        <v>5606.83</v>
      </c>
      <c r="E287">
        <v>1391.41</v>
      </c>
      <c r="F287">
        <v>18</v>
      </c>
      <c r="G287">
        <v>18.73</v>
      </c>
      <c r="H287">
        <v>4</v>
      </c>
      <c r="I287">
        <v>7.7</v>
      </c>
      <c r="J287">
        <v>0</v>
      </c>
      <c r="K287" t="s">
        <v>20</v>
      </c>
      <c r="L287" t="s">
        <v>16</v>
      </c>
    </row>
    <row r="288" spans="1:12" x14ac:dyDescent="0.2">
      <c r="A288">
        <v>22151</v>
      </c>
      <c r="B288">
        <v>22</v>
      </c>
      <c r="C288" t="s">
        <v>23</v>
      </c>
      <c r="D288">
        <v>4636.34</v>
      </c>
      <c r="E288">
        <v>16644.18</v>
      </c>
      <c r="F288">
        <v>36</v>
      </c>
      <c r="G288">
        <v>18.86</v>
      </c>
      <c r="I288">
        <v>9.6</v>
      </c>
      <c r="J288">
        <v>60</v>
      </c>
      <c r="K288" t="s">
        <v>18</v>
      </c>
      <c r="L288" t="s">
        <v>16</v>
      </c>
    </row>
    <row r="289" spans="1:12" x14ac:dyDescent="0.2">
      <c r="A289">
        <v>25838</v>
      </c>
      <c r="B289">
        <v>43</v>
      </c>
      <c r="C289" t="s">
        <v>27</v>
      </c>
      <c r="D289">
        <v>3587.23</v>
      </c>
      <c r="F289">
        <v>48</v>
      </c>
      <c r="G289">
        <v>24.63</v>
      </c>
      <c r="I289">
        <v>7.7</v>
      </c>
      <c r="J289">
        <v>15</v>
      </c>
      <c r="K289" t="s">
        <v>24</v>
      </c>
      <c r="L289" t="s">
        <v>16</v>
      </c>
    </row>
    <row r="290" spans="1:12" x14ac:dyDescent="0.2">
      <c r="A290">
        <v>25571</v>
      </c>
      <c r="B290">
        <v>22</v>
      </c>
      <c r="C290" t="s">
        <v>27</v>
      </c>
      <c r="D290">
        <v>4522.8900000000003</v>
      </c>
      <c r="E290">
        <v>18085.509999999998</v>
      </c>
      <c r="F290">
        <v>48</v>
      </c>
      <c r="G290">
        <v>16.66</v>
      </c>
      <c r="H290">
        <v>0</v>
      </c>
      <c r="I290">
        <v>5.2</v>
      </c>
      <c r="J290">
        <v>90</v>
      </c>
      <c r="K290" t="s">
        <v>24</v>
      </c>
      <c r="L290" t="s">
        <v>14</v>
      </c>
    </row>
    <row r="291" spans="1:12" x14ac:dyDescent="0.2">
      <c r="A291">
        <v>20909</v>
      </c>
      <c r="B291">
        <v>42</v>
      </c>
      <c r="C291" t="s">
        <v>27</v>
      </c>
      <c r="D291">
        <v>3120.83</v>
      </c>
      <c r="E291">
        <v>20888.37</v>
      </c>
      <c r="F291">
        <v>36</v>
      </c>
      <c r="G291">
        <v>18.79</v>
      </c>
      <c r="I291">
        <v>7.1</v>
      </c>
      <c r="J291">
        <v>0</v>
      </c>
      <c r="K291" t="s">
        <v>15</v>
      </c>
      <c r="L291" t="s">
        <v>22</v>
      </c>
    </row>
    <row r="292" spans="1:12" x14ac:dyDescent="0.2">
      <c r="A292">
        <v>22871</v>
      </c>
      <c r="B292">
        <v>62</v>
      </c>
      <c r="C292" t="s">
        <v>21</v>
      </c>
      <c r="D292">
        <v>8007.37</v>
      </c>
      <c r="E292">
        <v>22252.47</v>
      </c>
      <c r="F292">
        <v>12</v>
      </c>
      <c r="G292">
        <v>13.79</v>
      </c>
      <c r="I292">
        <v>8.4</v>
      </c>
      <c r="J292">
        <v>0</v>
      </c>
      <c r="K292" t="s">
        <v>18</v>
      </c>
      <c r="L292" t="s">
        <v>14</v>
      </c>
    </row>
    <row r="293" spans="1:12" x14ac:dyDescent="0.2">
      <c r="A293">
        <v>25209</v>
      </c>
      <c r="B293">
        <v>57</v>
      </c>
      <c r="C293" t="s">
        <v>21</v>
      </c>
      <c r="D293">
        <v>7306.89</v>
      </c>
      <c r="E293">
        <v>10560.01</v>
      </c>
      <c r="F293">
        <v>36</v>
      </c>
      <c r="G293">
        <v>18.48</v>
      </c>
      <c r="H293">
        <v>3</v>
      </c>
      <c r="I293">
        <v>4.8</v>
      </c>
      <c r="J293">
        <v>90</v>
      </c>
      <c r="K293" t="s">
        <v>20</v>
      </c>
      <c r="L293" t="s">
        <v>14</v>
      </c>
    </row>
    <row r="294" spans="1:12" x14ac:dyDescent="0.2">
      <c r="A294">
        <v>20092</v>
      </c>
      <c r="B294">
        <v>35</v>
      </c>
      <c r="C294" t="s">
        <v>21</v>
      </c>
      <c r="D294">
        <v>6272.12</v>
      </c>
      <c r="E294">
        <v>25711.53</v>
      </c>
      <c r="F294">
        <v>60</v>
      </c>
      <c r="G294">
        <v>9.75</v>
      </c>
      <c r="H294">
        <v>1</v>
      </c>
      <c r="I294">
        <v>10.1</v>
      </c>
      <c r="J294">
        <v>60</v>
      </c>
      <c r="K294" t="s">
        <v>24</v>
      </c>
      <c r="L294" t="s">
        <v>14</v>
      </c>
    </row>
    <row r="295" spans="1:12" x14ac:dyDescent="0.2">
      <c r="A295">
        <v>21020</v>
      </c>
      <c r="B295">
        <v>29</v>
      </c>
      <c r="C295" t="s">
        <v>27</v>
      </c>
      <c r="D295">
        <v>152.18</v>
      </c>
      <c r="E295">
        <v>40815.379999999997</v>
      </c>
      <c r="F295">
        <v>48</v>
      </c>
      <c r="G295">
        <v>14.78</v>
      </c>
      <c r="H295">
        <v>1</v>
      </c>
      <c r="I295">
        <v>14</v>
      </c>
      <c r="J295">
        <v>15</v>
      </c>
      <c r="K295" t="s">
        <v>24</v>
      </c>
      <c r="L295" t="s">
        <v>25</v>
      </c>
    </row>
    <row r="296" spans="1:12" x14ac:dyDescent="0.2">
      <c r="A296">
        <v>23089</v>
      </c>
      <c r="B296">
        <v>49</v>
      </c>
      <c r="C296" t="s">
        <v>26</v>
      </c>
      <c r="D296">
        <v>4790.6099999999997</v>
      </c>
      <c r="E296">
        <v>34764.53</v>
      </c>
      <c r="F296">
        <v>12</v>
      </c>
      <c r="G296">
        <v>26.36</v>
      </c>
      <c r="H296">
        <v>1</v>
      </c>
      <c r="I296">
        <v>11</v>
      </c>
      <c r="J296">
        <v>0</v>
      </c>
      <c r="K296" t="s">
        <v>15</v>
      </c>
      <c r="L296" t="s">
        <v>25</v>
      </c>
    </row>
    <row r="297" spans="1:12" x14ac:dyDescent="0.2">
      <c r="A297">
        <v>24591</v>
      </c>
      <c r="B297">
        <v>40</v>
      </c>
      <c r="C297" t="s">
        <v>27</v>
      </c>
      <c r="D297">
        <v>6589.29</v>
      </c>
      <c r="E297">
        <v>26427.38</v>
      </c>
      <c r="F297">
        <v>48</v>
      </c>
      <c r="G297">
        <v>19.27</v>
      </c>
      <c r="H297">
        <v>1</v>
      </c>
      <c r="I297">
        <v>8.1</v>
      </c>
      <c r="J297">
        <v>0</v>
      </c>
      <c r="K297" t="s">
        <v>24</v>
      </c>
      <c r="L297" t="s">
        <v>16</v>
      </c>
    </row>
    <row r="298" spans="1:12" x14ac:dyDescent="0.2">
      <c r="A298">
        <v>25501</v>
      </c>
      <c r="B298">
        <v>24</v>
      </c>
      <c r="C298" t="s">
        <v>21</v>
      </c>
      <c r="D298">
        <v>4139.8900000000003</v>
      </c>
      <c r="E298">
        <v>3179.69</v>
      </c>
      <c r="F298">
        <v>36</v>
      </c>
      <c r="G298">
        <v>17.22</v>
      </c>
      <c r="H298">
        <v>0</v>
      </c>
      <c r="I298">
        <v>8.9</v>
      </c>
      <c r="J298">
        <v>15</v>
      </c>
      <c r="K298" t="s">
        <v>18</v>
      </c>
      <c r="L298" t="s">
        <v>22</v>
      </c>
    </row>
    <row r="299" spans="1:12" x14ac:dyDescent="0.2">
      <c r="A299">
        <v>20646</v>
      </c>
      <c r="B299">
        <v>30</v>
      </c>
      <c r="C299" t="s">
        <v>12</v>
      </c>
      <c r="D299">
        <v>5133.78</v>
      </c>
      <c r="E299">
        <v>16201.26</v>
      </c>
      <c r="F299">
        <v>60</v>
      </c>
      <c r="G299">
        <v>22.87</v>
      </c>
      <c r="H299">
        <v>3</v>
      </c>
      <c r="I299">
        <v>8.9</v>
      </c>
      <c r="J299">
        <v>60</v>
      </c>
      <c r="K299" t="s">
        <v>18</v>
      </c>
      <c r="L299" t="s">
        <v>22</v>
      </c>
    </row>
    <row r="300" spans="1:12" x14ac:dyDescent="0.2">
      <c r="A300">
        <v>20105</v>
      </c>
      <c r="B300">
        <v>47</v>
      </c>
      <c r="C300" t="s">
        <v>17</v>
      </c>
      <c r="D300">
        <v>6316.31</v>
      </c>
      <c r="E300">
        <v>18794.18</v>
      </c>
      <c r="F300">
        <v>36</v>
      </c>
      <c r="G300">
        <v>23.06</v>
      </c>
      <c r="H300">
        <v>4</v>
      </c>
      <c r="I300">
        <v>1.6</v>
      </c>
      <c r="J300">
        <v>60</v>
      </c>
      <c r="K300" t="s">
        <v>20</v>
      </c>
      <c r="L300" t="s">
        <v>14</v>
      </c>
    </row>
    <row r="301" spans="1:12" x14ac:dyDescent="0.2">
      <c r="A301">
        <v>20606</v>
      </c>
      <c r="B301">
        <v>44</v>
      </c>
      <c r="C301" t="s">
        <v>12</v>
      </c>
      <c r="D301">
        <v>6236.96</v>
      </c>
      <c r="E301">
        <v>33756.089999999997</v>
      </c>
      <c r="F301">
        <v>6</v>
      </c>
      <c r="G301">
        <v>14.9</v>
      </c>
      <c r="H301">
        <v>1</v>
      </c>
      <c r="I301">
        <v>11.9</v>
      </c>
      <c r="J301">
        <v>60</v>
      </c>
      <c r="K301" t="s">
        <v>15</v>
      </c>
      <c r="L301" t="s">
        <v>22</v>
      </c>
    </row>
    <row r="302" spans="1:12" x14ac:dyDescent="0.2">
      <c r="A302">
        <v>24792</v>
      </c>
      <c r="B302">
        <v>64</v>
      </c>
      <c r="C302" t="s">
        <v>12</v>
      </c>
      <c r="D302">
        <v>6780</v>
      </c>
      <c r="E302">
        <v>18538.400000000001</v>
      </c>
      <c r="F302">
        <v>6</v>
      </c>
      <c r="G302">
        <v>13.21</v>
      </c>
      <c r="H302">
        <v>1</v>
      </c>
      <c r="I302">
        <v>10.8</v>
      </c>
      <c r="J302">
        <v>90</v>
      </c>
      <c r="K302" t="s">
        <v>20</v>
      </c>
      <c r="L302" t="s">
        <v>19</v>
      </c>
    </row>
    <row r="303" spans="1:12" x14ac:dyDescent="0.2">
      <c r="A303">
        <v>21231</v>
      </c>
      <c r="B303">
        <v>22</v>
      </c>
      <c r="C303" t="s">
        <v>27</v>
      </c>
      <c r="D303">
        <v>4319.51</v>
      </c>
      <c r="E303">
        <v>29889.74</v>
      </c>
      <c r="F303">
        <v>48</v>
      </c>
      <c r="G303">
        <v>19.02</v>
      </c>
      <c r="H303">
        <v>4</v>
      </c>
      <c r="I303">
        <v>-1.2</v>
      </c>
      <c r="J303">
        <v>0</v>
      </c>
      <c r="K303" t="s">
        <v>18</v>
      </c>
      <c r="L303" t="s">
        <v>14</v>
      </c>
    </row>
    <row r="304" spans="1:12" x14ac:dyDescent="0.2">
      <c r="A304">
        <v>20967</v>
      </c>
      <c r="B304">
        <v>44</v>
      </c>
      <c r="C304" t="s">
        <v>26</v>
      </c>
      <c r="D304">
        <v>3345.04</v>
      </c>
      <c r="E304">
        <v>20195.240000000002</v>
      </c>
      <c r="F304">
        <v>60</v>
      </c>
      <c r="G304">
        <v>16.36</v>
      </c>
      <c r="H304">
        <v>0</v>
      </c>
      <c r="I304">
        <v>7</v>
      </c>
      <c r="J304">
        <v>30</v>
      </c>
      <c r="K304" t="s">
        <v>15</v>
      </c>
      <c r="L304" t="s">
        <v>19</v>
      </c>
    </row>
    <row r="305" spans="1:12" x14ac:dyDescent="0.2">
      <c r="A305">
        <v>21215</v>
      </c>
      <c r="B305">
        <v>48</v>
      </c>
      <c r="C305" t="s">
        <v>12</v>
      </c>
      <c r="D305">
        <v>9088.91</v>
      </c>
      <c r="E305">
        <v>3755.12</v>
      </c>
      <c r="F305">
        <v>12</v>
      </c>
      <c r="G305">
        <v>12.02</v>
      </c>
      <c r="H305">
        <v>1</v>
      </c>
      <c r="I305">
        <v>10.199999999999999</v>
      </c>
      <c r="J305">
        <v>90</v>
      </c>
      <c r="K305" t="s">
        <v>15</v>
      </c>
      <c r="L305" t="s">
        <v>19</v>
      </c>
    </row>
    <row r="306" spans="1:12" x14ac:dyDescent="0.2">
      <c r="A306">
        <v>21411</v>
      </c>
      <c r="B306">
        <v>120</v>
      </c>
      <c r="C306" t="s">
        <v>17</v>
      </c>
      <c r="D306">
        <v>6997.68</v>
      </c>
      <c r="F306">
        <v>60</v>
      </c>
      <c r="G306">
        <v>21.14</v>
      </c>
      <c r="I306">
        <v>10.199999999999999</v>
      </c>
      <c r="J306">
        <v>0</v>
      </c>
      <c r="K306" t="s">
        <v>24</v>
      </c>
      <c r="L306" t="s">
        <v>22</v>
      </c>
    </row>
    <row r="307" spans="1:12" x14ac:dyDescent="0.2">
      <c r="A307">
        <v>22598</v>
      </c>
      <c r="B307">
        <v>75</v>
      </c>
      <c r="C307" t="s">
        <v>12</v>
      </c>
      <c r="D307">
        <v>4105.68</v>
      </c>
      <c r="E307">
        <v>19693.23</v>
      </c>
      <c r="F307">
        <v>24</v>
      </c>
      <c r="G307">
        <v>18.010000000000002</v>
      </c>
      <c r="H307">
        <v>2</v>
      </c>
      <c r="I307">
        <v>8.3000000000000007</v>
      </c>
      <c r="J307">
        <v>15</v>
      </c>
      <c r="K307" t="s">
        <v>24</v>
      </c>
      <c r="L307" t="s">
        <v>19</v>
      </c>
    </row>
    <row r="308" spans="1:12" x14ac:dyDescent="0.2">
      <c r="A308">
        <v>24439</v>
      </c>
      <c r="B308">
        <v>63</v>
      </c>
      <c r="C308" t="s">
        <v>17</v>
      </c>
      <c r="D308">
        <v>5532.56</v>
      </c>
      <c r="E308">
        <v>2331.46</v>
      </c>
      <c r="F308">
        <v>60</v>
      </c>
      <c r="G308">
        <v>15.52</v>
      </c>
      <c r="H308">
        <v>3</v>
      </c>
      <c r="I308">
        <v>7.3</v>
      </c>
      <c r="J308">
        <v>90</v>
      </c>
      <c r="K308" t="s">
        <v>18</v>
      </c>
      <c r="L308" t="s">
        <v>22</v>
      </c>
    </row>
    <row r="309" spans="1:12" x14ac:dyDescent="0.2">
      <c r="A309">
        <v>21266</v>
      </c>
      <c r="B309">
        <v>39</v>
      </c>
      <c r="C309" t="s">
        <v>17</v>
      </c>
      <c r="D309">
        <v>3301.64</v>
      </c>
      <c r="E309">
        <v>23210.880000000001</v>
      </c>
      <c r="F309">
        <v>12</v>
      </c>
      <c r="G309">
        <v>18.16</v>
      </c>
      <c r="H309">
        <v>0</v>
      </c>
      <c r="I309">
        <v>4.2</v>
      </c>
      <c r="J309">
        <v>0</v>
      </c>
      <c r="K309" t="s">
        <v>13</v>
      </c>
      <c r="L309" t="s">
        <v>14</v>
      </c>
    </row>
    <row r="310" spans="1:12" x14ac:dyDescent="0.2">
      <c r="A310">
        <v>24911</v>
      </c>
      <c r="B310">
        <v>48</v>
      </c>
      <c r="C310" t="s">
        <v>17</v>
      </c>
      <c r="D310">
        <v>5038.3</v>
      </c>
      <c r="E310">
        <v>27964.6</v>
      </c>
      <c r="F310">
        <v>18</v>
      </c>
      <c r="G310">
        <v>15.04</v>
      </c>
      <c r="H310">
        <v>0</v>
      </c>
      <c r="I310">
        <v>4.2</v>
      </c>
      <c r="J310">
        <v>0</v>
      </c>
      <c r="K310" t="s">
        <v>20</v>
      </c>
      <c r="L310" t="s">
        <v>25</v>
      </c>
    </row>
    <row r="311" spans="1:12" x14ac:dyDescent="0.2">
      <c r="A311">
        <v>25386</v>
      </c>
      <c r="B311">
        <v>31</v>
      </c>
      <c r="C311" t="s">
        <v>21</v>
      </c>
      <c r="D311">
        <v>3312.61</v>
      </c>
      <c r="E311">
        <v>30886.47</v>
      </c>
      <c r="F311">
        <v>12</v>
      </c>
      <c r="G311">
        <v>19.91</v>
      </c>
      <c r="I311">
        <v>1.1000000000000001</v>
      </c>
      <c r="J311">
        <v>15</v>
      </c>
      <c r="K311" t="s">
        <v>24</v>
      </c>
      <c r="L311" t="s">
        <v>14</v>
      </c>
    </row>
    <row r="312" spans="1:12" x14ac:dyDescent="0.2">
      <c r="A312">
        <v>23600</v>
      </c>
      <c r="B312">
        <v>52</v>
      </c>
      <c r="C312" t="s">
        <v>27</v>
      </c>
      <c r="D312">
        <v>3656.65</v>
      </c>
      <c r="E312">
        <v>19042.62</v>
      </c>
      <c r="F312">
        <v>24</v>
      </c>
      <c r="G312">
        <v>18.68</v>
      </c>
      <c r="H312">
        <v>3</v>
      </c>
      <c r="I312">
        <v>11.7</v>
      </c>
      <c r="J312">
        <v>0</v>
      </c>
      <c r="K312" t="s">
        <v>24</v>
      </c>
      <c r="L312" t="s">
        <v>14</v>
      </c>
    </row>
    <row r="313" spans="1:12" x14ac:dyDescent="0.2">
      <c r="A313">
        <v>25013</v>
      </c>
      <c r="B313">
        <v>41</v>
      </c>
      <c r="C313" t="s">
        <v>21</v>
      </c>
      <c r="D313">
        <v>7267.01</v>
      </c>
      <c r="E313">
        <v>37327.42</v>
      </c>
      <c r="F313">
        <v>24</v>
      </c>
      <c r="G313">
        <v>19.82</v>
      </c>
      <c r="H313">
        <v>4</v>
      </c>
      <c r="I313">
        <v>7.2</v>
      </c>
      <c r="J313">
        <v>90</v>
      </c>
      <c r="K313" t="s">
        <v>15</v>
      </c>
      <c r="L313" t="s">
        <v>19</v>
      </c>
    </row>
    <row r="314" spans="1:12" x14ac:dyDescent="0.2">
      <c r="A314">
        <v>21892</v>
      </c>
      <c r="B314">
        <v>24</v>
      </c>
      <c r="C314" t="s">
        <v>12</v>
      </c>
      <c r="D314">
        <v>7022.33</v>
      </c>
      <c r="E314">
        <v>8378.2199999999993</v>
      </c>
      <c r="F314">
        <v>6</v>
      </c>
      <c r="G314">
        <v>24.97</v>
      </c>
      <c r="H314">
        <v>2</v>
      </c>
      <c r="I314">
        <v>8.3000000000000007</v>
      </c>
      <c r="K314" t="s">
        <v>24</v>
      </c>
      <c r="L314" t="s">
        <v>22</v>
      </c>
    </row>
    <row r="315" spans="1:12" x14ac:dyDescent="0.2">
      <c r="A315">
        <v>21942</v>
      </c>
      <c r="B315">
        <v>61</v>
      </c>
      <c r="C315" t="s">
        <v>12</v>
      </c>
      <c r="D315">
        <v>6893.33</v>
      </c>
      <c r="E315">
        <v>17860.25</v>
      </c>
      <c r="F315">
        <v>48</v>
      </c>
      <c r="G315">
        <v>17.489999999999998</v>
      </c>
      <c r="I315">
        <v>-1.2</v>
      </c>
      <c r="J315">
        <v>120</v>
      </c>
      <c r="K315" t="s">
        <v>20</v>
      </c>
      <c r="L315" t="s">
        <v>22</v>
      </c>
    </row>
    <row r="316" spans="1:12" x14ac:dyDescent="0.2">
      <c r="A316">
        <v>23271</v>
      </c>
      <c r="B316">
        <v>60</v>
      </c>
      <c r="C316" t="s">
        <v>12</v>
      </c>
      <c r="D316">
        <v>5827.28</v>
      </c>
      <c r="E316">
        <v>14058.91</v>
      </c>
      <c r="F316">
        <v>12</v>
      </c>
      <c r="G316">
        <v>17.100000000000001</v>
      </c>
      <c r="H316">
        <v>3</v>
      </c>
      <c r="I316">
        <v>1.9</v>
      </c>
      <c r="J316">
        <v>30</v>
      </c>
      <c r="K316" t="s">
        <v>24</v>
      </c>
      <c r="L316" t="s">
        <v>22</v>
      </c>
    </row>
    <row r="317" spans="1:12" x14ac:dyDescent="0.2">
      <c r="A317">
        <v>23541</v>
      </c>
      <c r="B317">
        <v>47</v>
      </c>
      <c r="C317" t="s">
        <v>23</v>
      </c>
      <c r="D317">
        <v>5838.81</v>
      </c>
      <c r="E317">
        <v>13640.4</v>
      </c>
      <c r="F317">
        <v>36</v>
      </c>
      <c r="G317">
        <v>15.11</v>
      </c>
      <c r="H317">
        <v>2</v>
      </c>
      <c r="I317">
        <v>4.8</v>
      </c>
      <c r="J317">
        <v>60</v>
      </c>
      <c r="K317" t="s">
        <v>20</v>
      </c>
      <c r="L317" t="s">
        <v>25</v>
      </c>
    </row>
    <row r="318" spans="1:12" x14ac:dyDescent="0.2">
      <c r="A318">
        <v>24993</v>
      </c>
      <c r="B318">
        <v>53</v>
      </c>
      <c r="C318" t="s">
        <v>23</v>
      </c>
      <c r="D318">
        <v>5057.93</v>
      </c>
      <c r="E318">
        <v>14398.03</v>
      </c>
      <c r="F318">
        <v>24</v>
      </c>
      <c r="G318">
        <v>19.7</v>
      </c>
      <c r="H318">
        <v>3</v>
      </c>
      <c r="I318">
        <v>-3.8</v>
      </c>
      <c r="J318">
        <v>120</v>
      </c>
      <c r="K318" t="s">
        <v>20</v>
      </c>
      <c r="L318" t="s">
        <v>25</v>
      </c>
    </row>
    <row r="319" spans="1:12" x14ac:dyDescent="0.2">
      <c r="A319">
        <v>24309</v>
      </c>
      <c r="B319">
        <v>60</v>
      </c>
      <c r="C319" t="s">
        <v>17</v>
      </c>
      <c r="D319">
        <v>5635.89</v>
      </c>
      <c r="E319">
        <v>9684.1299999999992</v>
      </c>
      <c r="F319">
        <v>12</v>
      </c>
      <c r="G319">
        <v>11.89</v>
      </c>
      <c r="I319">
        <v>5.2</v>
      </c>
      <c r="J319">
        <v>0</v>
      </c>
      <c r="K319" t="s">
        <v>15</v>
      </c>
      <c r="L319" t="s">
        <v>19</v>
      </c>
    </row>
    <row r="320" spans="1:12" x14ac:dyDescent="0.2">
      <c r="A320">
        <v>24642</v>
      </c>
      <c r="B320">
        <v>34</v>
      </c>
      <c r="C320" t="s">
        <v>17</v>
      </c>
      <c r="D320">
        <v>1413.05</v>
      </c>
      <c r="E320">
        <v>17027.05</v>
      </c>
      <c r="F320">
        <v>12</v>
      </c>
      <c r="G320">
        <v>18.48</v>
      </c>
      <c r="H320">
        <v>0</v>
      </c>
      <c r="I320">
        <v>1.3</v>
      </c>
      <c r="J320">
        <v>0</v>
      </c>
      <c r="K320" t="s">
        <v>20</v>
      </c>
      <c r="L320" t="s">
        <v>22</v>
      </c>
    </row>
    <row r="321" spans="1:12" x14ac:dyDescent="0.2">
      <c r="A321">
        <v>25654</v>
      </c>
      <c r="B321">
        <v>28</v>
      </c>
      <c r="C321" t="s">
        <v>26</v>
      </c>
      <c r="D321">
        <v>2967.77</v>
      </c>
      <c r="E321">
        <v>23124.36</v>
      </c>
      <c r="F321">
        <v>18</v>
      </c>
      <c r="G321">
        <v>18.079999999999998</v>
      </c>
      <c r="H321">
        <v>3</v>
      </c>
      <c r="I321">
        <v>12.7</v>
      </c>
      <c r="J321">
        <v>120</v>
      </c>
      <c r="K321" t="s">
        <v>24</v>
      </c>
      <c r="L321" t="s">
        <v>25</v>
      </c>
    </row>
    <row r="322" spans="1:12" x14ac:dyDescent="0.2">
      <c r="A322">
        <v>25955</v>
      </c>
      <c r="B322">
        <v>47</v>
      </c>
      <c r="C322" t="s">
        <v>27</v>
      </c>
      <c r="D322">
        <v>6987.72</v>
      </c>
      <c r="E322">
        <v>26789.14</v>
      </c>
      <c r="F322">
        <v>6</v>
      </c>
      <c r="G322">
        <v>19.63</v>
      </c>
      <c r="H322">
        <v>1</v>
      </c>
      <c r="I322">
        <v>7.1</v>
      </c>
      <c r="J322">
        <v>120</v>
      </c>
      <c r="K322" t="s">
        <v>15</v>
      </c>
      <c r="L322" t="s">
        <v>22</v>
      </c>
    </row>
    <row r="323" spans="1:12" x14ac:dyDescent="0.2">
      <c r="A323">
        <v>23212</v>
      </c>
      <c r="B323">
        <v>120</v>
      </c>
      <c r="C323" t="s">
        <v>17</v>
      </c>
      <c r="D323">
        <v>5566</v>
      </c>
      <c r="E323">
        <v>2575.21</v>
      </c>
      <c r="F323">
        <v>48</v>
      </c>
      <c r="G323">
        <v>15.41</v>
      </c>
      <c r="H323">
        <v>0</v>
      </c>
      <c r="I323">
        <v>10</v>
      </c>
      <c r="J323">
        <v>30</v>
      </c>
      <c r="K323" t="s">
        <v>24</v>
      </c>
      <c r="L323" t="s">
        <v>16</v>
      </c>
    </row>
    <row r="324" spans="1:12" x14ac:dyDescent="0.2">
      <c r="A324">
        <v>22505</v>
      </c>
      <c r="B324">
        <v>45</v>
      </c>
      <c r="C324" t="s">
        <v>17</v>
      </c>
      <c r="D324">
        <v>8149.26</v>
      </c>
      <c r="E324">
        <v>13844.18</v>
      </c>
      <c r="F324">
        <v>36</v>
      </c>
      <c r="G324">
        <v>20</v>
      </c>
      <c r="H324">
        <v>2</v>
      </c>
      <c r="I324">
        <v>7.2</v>
      </c>
      <c r="K324" t="s">
        <v>24</v>
      </c>
      <c r="L324" t="s">
        <v>25</v>
      </c>
    </row>
    <row r="325" spans="1:12" x14ac:dyDescent="0.2">
      <c r="A325">
        <v>23756</v>
      </c>
      <c r="B325">
        <v>48</v>
      </c>
      <c r="C325" t="s">
        <v>12</v>
      </c>
      <c r="D325">
        <v>5954.91</v>
      </c>
      <c r="E325">
        <v>15997.37</v>
      </c>
      <c r="F325">
        <v>24</v>
      </c>
      <c r="G325">
        <v>23.55</v>
      </c>
      <c r="H325">
        <v>0</v>
      </c>
      <c r="I325">
        <v>3.8</v>
      </c>
      <c r="J325">
        <v>0</v>
      </c>
      <c r="K325" t="s">
        <v>20</v>
      </c>
      <c r="L325" t="s">
        <v>19</v>
      </c>
    </row>
    <row r="326" spans="1:12" x14ac:dyDescent="0.2">
      <c r="A326">
        <v>25886</v>
      </c>
      <c r="B326">
        <v>38</v>
      </c>
      <c r="C326" t="s">
        <v>17</v>
      </c>
      <c r="D326">
        <v>8195.06</v>
      </c>
      <c r="E326">
        <v>6490.93</v>
      </c>
      <c r="F326">
        <v>12</v>
      </c>
      <c r="G326">
        <v>21.19</v>
      </c>
      <c r="H326">
        <v>2</v>
      </c>
      <c r="I326">
        <v>9.3000000000000007</v>
      </c>
      <c r="J326">
        <v>120</v>
      </c>
      <c r="K326" t="s">
        <v>24</v>
      </c>
      <c r="L326" t="s">
        <v>14</v>
      </c>
    </row>
    <row r="327" spans="1:12" x14ac:dyDescent="0.2">
      <c r="A327">
        <v>24918</v>
      </c>
      <c r="B327">
        <v>50</v>
      </c>
      <c r="C327" t="s">
        <v>17</v>
      </c>
      <c r="D327">
        <v>2072.77</v>
      </c>
      <c r="E327">
        <v>22223.1</v>
      </c>
      <c r="F327">
        <v>36</v>
      </c>
      <c r="G327">
        <v>10.73</v>
      </c>
      <c r="H327">
        <v>2</v>
      </c>
      <c r="I327">
        <v>3.6</v>
      </c>
      <c r="J327">
        <v>0</v>
      </c>
      <c r="K327" t="s">
        <v>20</v>
      </c>
      <c r="L327" t="s">
        <v>22</v>
      </c>
    </row>
    <row r="328" spans="1:12" x14ac:dyDescent="0.2">
      <c r="A328">
        <v>22824</v>
      </c>
      <c r="B328">
        <v>50</v>
      </c>
      <c r="C328" t="s">
        <v>26</v>
      </c>
      <c r="D328">
        <v>499.19</v>
      </c>
      <c r="E328">
        <v>18246.14</v>
      </c>
      <c r="F328">
        <v>24</v>
      </c>
      <c r="G328">
        <v>18.649999999999999</v>
      </c>
      <c r="H328">
        <v>1</v>
      </c>
      <c r="I328">
        <v>8.6999999999999993</v>
      </c>
      <c r="J328">
        <v>15</v>
      </c>
      <c r="K328" t="s">
        <v>24</v>
      </c>
      <c r="L328" t="s">
        <v>22</v>
      </c>
    </row>
    <row r="329" spans="1:12" x14ac:dyDescent="0.2">
      <c r="A329">
        <v>24502</v>
      </c>
      <c r="B329">
        <v>42</v>
      </c>
      <c r="C329" t="s">
        <v>23</v>
      </c>
      <c r="D329">
        <v>6197.54</v>
      </c>
      <c r="E329">
        <v>18924.189999999999</v>
      </c>
      <c r="F329">
        <v>12</v>
      </c>
      <c r="G329">
        <v>18.89</v>
      </c>
      <c r="H329">
        <v>4</v>
      </c>
      <c r="I329">
        <v>7.7</v>
      </c>
      <c r="J329">
        <v>90</v>
      </c>
      <c r="K329" t="s">
        <v>24</v>
      </c>
      <c r="L329" t="s">
        <v>25</v>
      </c>
    </row>
    <row r="330" spans="1:12" x14ac:dyDescent="0.2">
      <c r="A330">
        <v>25396</v>
      </c>
      <c r="B330">
        <v>32</v>
      </c>
      <c r="C330" t="s">
        <v>26</v>
      </c>
      <c r="D330">
        <v>3024.09</v>
      </c>
      <c r="E330">
        <v>28315.24</v>
      </c>
      <c r="F330">
        <v>6</v>
      </c>
      <c r="G330">
        <v>16.64</v>
      </c>
      <c r="H330">
        <v>2</v>
      </c>
      <c r="I330">
        <v>4.5999999999999996</v>
      </c>
      <c r="J330">
        <v>60</v>
      </c>
      <c r="K330" t="s">
        <v>24</v>
      </c>
      <c r="L330" t="s">
        <v>19</v>
      </c>
    </row>
    <row r="331" spans="1:12" x14ac:dyDescent="0.2">
      <c r="A331">
        <v>20435</v>
      </c>
      <c r="B331">
        <v>55</v>
      </c>
      <c r="C331" t="s">
        <v>26</v>
      </c>
      <c r="D331">
        <v>5463.35</v>
      </c>
      <c r="E331">
        <v>9670.61</v>
      </c>
      <c r="F331">
        <v>12</v>
      </c>
      <c r="G331">
        <v>18.98</v>
      </c>
      <c r="H331">
        <v>4</v>
      </c>
      <c r="I331">
        <v>-0.7</v>
      </c>
      <c r="J331">
        <v>0</v>
      </c>
      <c r="K331" t="s">
        <v>18</v>
      </c>
      <c r="L331" t="s">
        <v>19</v>
      </c>
    </row>
    <row r="332" spans="1:12" x14ac:dyDescent="0.2">
      <c r="A332">
        <v>22276</v>
      </c>
      <c r="B332">
        <v>27</v>
      </c>
      <c r="C332" t="s">
        <v>12</v>
      </c>
      <c r="D332">
        <v>6846.7</v>
      </c>
      <c r="E332">
        <v>-98.31</v>
      </c>
      <c r="F332">
        <v>24</v>
      </c>
      <c r="G332">
        <v>16.12</v>
      </c>
      <c r="H332">
        <v>4</v>
      </c>
      <c r="I332">
        <v>9.5</v>
      </c>
      <c r="J332">
        <v>15</v>
      </c>
      <c r="K332" t="s">
        <v>13</v>
      </c>
      <c r="L332" t="s">
        <v>19</v>
      </c>
    </row>
    <row r="333" spans="1:12" x14ac:dyDescent="0.2">
      <c r="A333">
        <v>22898</v>
      </c>
      <c r="B333">
        <v>26</v>
      </c>
      <c r="C333" t="s">
        <v>17</v>
      </c>
      <c r="D333">
        <v>6875.15</v>
      </c>
      <c r="E333">
        <v>4662.91</v>
      </c>
      <c r="F333">
        <v>24</v>
      </c>
      <c r="G333">
        <v>16.690000000000001</v>
      </c>
      <c r="H333">
        <v>0</v>
      </c>
      <c r="I333">
        <v>4.3</v>
      </c>
      <c r="K333" t="s">
        <v>20</v>
      </c>
      <c r="L333" t="s">
        <v>22</v>
      </c>
    </row>
    <row r="334" spans="1:12" x14ac:dyDescent="0.2">
      <c r="A334">
        <v>25666</v>
      </c>
      <c r="B334">
        <v>30</v>
      </c>
      <c r="C334" t="s">
        <v>27</v>
      </c>
      <c r="D334">
        <v>4174.45</v>
      </c>
      <c r="E334">
        <v>21094.05</v>
      </c>
      <c r="F334">
        <v>60</v>
      </c>
      <c r="G334">
        <v>16.77</v>
      </c>
      <c r="H334">
        <v>1</v>
      </c>
      <c r="I334">
        <v>12.8</v>
      </c>
      <c r="J334">
        <v>15</v>
      </c>
      <c r="K334" t="s">
        <v>24</v>
      </c>
      <c r="L334" t="s">
        <v>19</v>
      </c>
    </row>
    <row r="335" spans="1:12" x14ac:dyDescent="0.2">
      <c r="A335">
        <v>22825</v>
      </c>
      <c r="B335">
        <v>31</v>
      </c>
      <c r="C335" t="s">
        <v>27</v>
      </c>
      <c r="D335">
        <v>6142.51</v>
      </c>
      <c r="E335">
        <v>32670.47</v>
      </c>
      <c r="F335">
        <v>6</v>
      </c>
      <c r="G335">
        <v>21.25</v>
      </c>
      <c r="H335">
        <v>0</v>
      </c>
      <c r="I335">
        <v>8.6999999999999993</v>
      </c>
      <c r="J335">
        <v>90</v>
      </c>
      <c r="K335" t="s">
        <v>13</v>
      </c>
      <c r="L335" t="s">
        <v>22</v>
      </c>
    </row>
    <row r="336" spans="1:12" x14ac:dyDescent="0.2">
      <c r="A336">
        <v>22933</v>
      </c>
      <c r="B336">
        <v>34</v>
      </c>
      <c r="C336" t="s">
        <v>12</v>
      </c>
      <c r="D336">
        <v>1994.75</v>
      </c>
      <c r="E336">
        <v>9849.92</v>
      </c>
      <c r="F336">
        <v>60</v>
      </c>
      <c r="G336">
        <v>15.11</v>
      </c>
      <c r="H336">
        <v>4</v>
      </c>
      <c r="I336">
        <v>11.2</v>
      </c>
      <c r="J336">
        <v>60</v>
      </c>
      <c r="K336" t="s">
        <v>15</v>
      </c>
      <c r="L336" t="s">
        <v>25</v>
      </c>
    </row>
    <row r="337" spans="1:12" x14ac:dyDescent="0.2">
      <c r="A337">
        <v>24816</v>
      </c>
      <c r="B337">
        <v>22</v>
      </c>
      <c r="C337" t="s">
        <v>26</v>
      </c>
      <c r="D337">
        <v>7433.81</v>
      </c>
      <c r="E337">
        <v>30225.14</v>
      </c>
      <c r="F337">
        <v>36</v>
      </c>
      <c r="G337">
        <v>12.5</v>
      </c>
      <c r="I337">
        <v>-1.3</v>
      </c>
      <c r="J337">
        <v>0</v>
      </c>
      <c r="K337" t="s">
        <v>18</v>
      </c>
      <c r="L337" t="s">
        <v>19</v>
      </c>
    </row>
    <row r="338" spans="1:12" x14ac:dyDescent="0.2">
      <c r="A338">
        <v>21995</v>
      </c>
      <c r="B338">
        <v>56</v>
      </c>
      <c r="C338" t="s">
        <v>17</v>
      </c>
      <c r="D338">
        <v>1367.17</v>
      </c>
      <c r="E338">
        <v>8191.93</v>
      </c>
      <c r="F338">
        <v>12</v>
      </c>
      <c r="G338">
        <v>11.34</v>
      </c>
      <c r="H338">
        <v>3</v>
      </c>
      <c r="I338">
        <v>1</v>
      </c>
      <c r="J338">
        <v>0</v>
      </c>
      <c r="K338" t="s">
        <v>24</v>
      </c>
      <c r="L338" t="s">
        <v>22</v>
      </c>
    </row>
    <row r="339" spans="1:12" x14ac:dyDescent="0.2">
      <c r="A339">
        <v>21811</v>
      </c>
      <c r="B339">
        <v>26</v>
      </c>
      <c r="C339" t="s">
        <v>21</v>
      </c>
      <c r="D339">
        <v>5040.05</v>
      </c>
      <c r="E339">
        <v>9362.0400000000009</v>
      </c>
      <c r="F339">
        <v>60</v>
      </c>
      <c r="G339">
        <v>13.67</v>
      </c>
      <c r="H339">
        <v>1</v>
      </c>
      <c r="I339">
        <v>2.7</v>
      </c>
      <c r="J339">
        <v>60</v>
      </c>
      <c r="K339" t="s">
        <v>18</v>
      </c>
      <c r="L339" t="s">
        <v>14</v>
      </c>
    </row>
    <row r="340" spans="1:12" x14ac:dyDescent="0.2">
      <c r="A340">
        <v>23036</v>
      </c>
      <c r="B340">
        <v>25</v>
      </c>
      <c r="C340" t="s">
        <v>26</v>
      </c>
      <c r="D340">
        <v>8989.5499999999993</v>
      </c>
      <c r="F340">
        <v>48</v>
      </c>
      <c r="G340">
        <v>15.74</v>
      </c>
      <c r="H340">
        <v>3</v>
      </c>
      <c r="I340">
        <v>11.5</v>
      </c>
      <c r="J340">
        <v>0</v>
      </c>
      <c r="K340" t="s">
        <v>13</v>
      </c>
      <c r="L340" t="s">
        <v>14</v>
      </c>
    </row>
    <row r="341" spans="1:12" x14ac:dyDescent="0.2">
      <c r="A341">
        <v>22492</v>
      </c>
      <c r="B341">
        <v>32</v>
      </c>
      <c r="C341" t="s">
        <v>23</v>
      </c>
      <c r="D341">
        <v>4805.42</v>
      </c>
      <c r="E341">
        <v>17184.669999999998</v>
      </c>
      <c r="F341">
        <v>36</v>
      </c>
      <c r="G341">
        <v>16.420000000000002</v>
      </c>
      <c r="I341">
        <v>2</v>
      </c>
      <c r="J341">
        <v>60</v>
      </c>
      <c r="K341" t="s">
        <v>20</v>
      </c>
      <c r="L341" t="s">
        <v>14</v>
      </c>
    </row>
    <row r="342" spans="1:12" x14ac:dyDescent="0.2">
      <c r="A342">
        <v>22011</v>
      </c>
      <c r="B342">
        <v>39</v>
      </c>
      <c r="C342" t="s">
        <v>23</v>
      </c>
      <c r="D342">
        <v>5243.43</v>
      </c>
      <c r="E342">
        <v>9135.9500000000007</v>
      </c>
      <c r="F342">
        <v>12</v>
      </c>
      <c r="G342">
        <v>15.34</v>
      </c>
      <c r="H342">
        <v>1</v>
      </c>
      <c r="I342">
        <v>8.6999999999999993</v>
      </c>
      <c r="J342">
        <v>30</v>
      </c>
      <c r="K342" t="s">
        <v>20</v>
      </c>
      <c r="L342" t="s">
        <v>22</v>
      </c>
    </row>
    <row r="343" spans="1:12" x14ac:dyDescent="0.2">
      <c r="A343">
        <v>22152</v>
      </c>
      <c r="B343">
        <v>30</v>
      </c>
      <c r="C343" t="s">
        <v>17</v>
      </c>
      <c r="D343">
        <v>7607.26</v>
      </c>
      <c r="E343">
        <v>10027.14</v>
      </c>
      <c r="F343">
        <v>36</v>
      </c>
      <c r="G343">
        <v>20.66</v>
      </c>
      <c r="H343">
        <v>4</v>
      </c>
      <c r="I343">
        <v>3.9</v>
      </c>
      <c r="J343">
        <v>0</v>
      </c>
      <c r="K343" t="s">
        <v>13</v>
      </c>
      <c r="L343" t="s">
        <v>25</v>
      </c>
    </row>
    <row r="344" spans="1:12" x14ac:dyDescent="0.2">
      <c r="A344">
        <v>23969</v>
      </c>
      <c r="B344">
        <v>25</v>
      </c>
      <c r="C344" t="s">
        <v>26</v>
      </c>
      <c r="D344">
        <v>7964.25</v>
      </c>
      <c r="E344">
        <v>9486.2900000000009</v>
      </c>
      <c r="F344">
        <v>60</v>
      </c>
      <c r="G344">
        <v>13.54</v>
      </c>
      <c r="H344">
        <v>3</v>
      </c>
      <c r="I344">
        <v>3.6</v>
      </c>
      <c r="J344">
        <v>90</v>
      </c>
      <c r="K344" t="s">
        <v>20</v>
      </c>
      <c r="L344" t="s">
        <v>14</v>
      </c>
    </row>
    <row r="345" spans="1:12" x14ac:dyDescent="0.2">
      <c r="A345">
        <v>25006</v>
      </c>
      <c r="B345">
        <v>48</v>
      </c>
      <c r="C345" t="s">
        <v>26</v>
      </c>
      <c r="D345">
        <v>3275.03</v>
      </c>
      <c r="E345">
        <v>24842.880000000001</v>
      </c>
      <c r="F345">
        <v>24</v>
      </c>
      <c r="G345">
        <v>28.88</v>
      </c>
      <c r="I345">
        <v>11.8</v>
      </c>
      <c r="J345">
        <v>90</v>
      </c>
      <c r="K345" t="s">
        <v>13</v>
      </c>
      <c r="L345" t="s">
        <v>19</v>
      </c>
    </row>
    <row r="346" spans="1:12" x14ac:dyDescent="0.2">
      <c r="A346">
        <v>21177</v>
      </c>
      <c r="B346">
        <v>46</v>
      </c>
      <c r="C346" t="s">
        <v>21</v>
      </c>
      <c r="D346">
        <v>2776.05</v>
      </c>
      <c r="E346">
        <v>30724.39</v>
      </c>
      <c r="F346">
        <v>18</v>
      </c>
      <c r="G346">
        <v>14.95</v>
      </c>
      <c r="H346">
        <v>0</v>
      </c>
      <c r="I346">
        <v>4.7</v>
      </c>
      <c r="J346">
        <v>15</v>
      </c>
      <c r="K346" t="s">
        <v>24</v>
      </c>
      <c r="L346" t="s">
        <v>14</v>
      </c>
    </row>
    <row r="347" spans="1:12" x14ac:dyDescent="0.2">
      <c r="A347">
        <v>25810</v>
      </c>
      <c r="B347">
        <v>23</v>
      </c>
      <c r="C347" t="s">
        <v>17</v>
      </c>
      <c r="D347">
        <v>2404.86</v>
      </c>
      <c r="E347">
        <v>19971.349999999999</v>
      </c>
      <c r="F347">
        <v>18</v>
      </c>
      <c r="G347">
        <v>20.49</v>
      </c>
      <c r="H347">
        <v>4</v>
      </c>
      <c r="I347">
        <v>7</v>
      </c>
      <c r="J347">
        <v>0</v>
      </c>
      <c r="K347" t="s">
        <v>13</v>
      </c>
      <c r="L347" t="s">
        <v>22</v>
      </c>
    </row>
    <row r="348" spans="1:12" x14ac:dyDescent="0.2">
      <c r="A348">
        <v>22244</v>
      </c>
      <c r="B348">
        <v>60</v>
      </c>
      <c r="C348" t="s">
        <v>21</v>
      </c>
      <c r="D348">
        <v>3120.6</v>
      </c>
      <c r="E348">
        <v>16260.73</v>
      </c>
      <c r="F348">
        <v>24</v>
      </c>
      <c r="G348">
        <v>17.46</v>
      </c>
      <c r="H348">
        <v>3</v>
      </c>
      <c r="I348">
        <v>10.9</v>
      </c>
      <c r="J348">
        <v>15</v>
      </c>
      <c r="K348" t="s">
        <v>20</v>
      </c>
      <c r="L348" t="s">
        <v>14</v>
      </c>
    </row>
    <row r="349" spans="1:12" x14ac:dyDescent="0.2">
      <c r="A349">
        <v>21149</v>
      </c>
      <c r="B349">
        <v>62</v>
      </c>
      <c r="C349" t="s">
        <v>27</v>
      </c>
      <c r="D349">
        <v>9085.89</v>
      </c>
      <c r="E349">
        <v>13043.32</v>
      </c>
      <c r="F349">
        <v>18</v>
      </c>
      <c r="G349">
        <v>20.12</v>
      </c>
      <c r="H349">
        <v>3</v>
      </c>
      <c r="I349">
        <v>0.7</v>
      </c>
      <c r="J349">
        <v>30</v>
      </c>
      <c r="K349" t="s">
        <v>13</v>
      </c>
      <c r="L349" t="s">
        <v>22</v>
      </c>
    </row>
    <row r="350" spans="1:12" x14ac:dyDescent="0.2">
      <c r="A350">
        <v>24705</v>
      </c>
      <c r="B350">
        <v>37</v>
      </c>
      <c r="C350" t="s">
        <v>17</v>
      </c>
      <c r="D350">
        <v>3481.92</v>
      </c>
      <c r="E350">
        <v>15677.88</v>
      </c>
      <c r="F350">
        <v>36</v>
      </c>
      <c r="G350">
        <v>23.02</v>
      </c>
      <c r="H350">
        <v>1</v>
      </c>
      <c r="I350">
        <v>9.8000000000000007</v>
      </c>
      <c r="J350">
        <v>120</v>
      </c>
      <c r="K350" t="s">
        <v>24</v>
      </c>
      <c r="L350" t="s">
        <v>16</v>
      </c>
    </row>
    <row r="351" spans="1:12" x14ac:dyDescent="0.2">
      <c r="A351">
        <v>24827</v>
      </c>
      <c r="B351">
        <v>22</v>
      </c>
      <c r="C351" t="s">
        <v>23</v>
      </c>
      <c r="D351">
        <v>7061.74</v>
      </c>
      <c r="E351">
        <v>22730.560000000001</v>
      </c>
      <c r="F351">
        <v>60</v>
      </c>
      <c r="G351">
        <v>21.96</v>
      </c>
      <c r="H351">
        <v>3</v>
      </c>
      <c r="I351">
        <v>8.1</v>
      </c>
      <c r="J351">
        <v>0</v>
      </c>
      <c r="K351" t="s">
        <v>18</v>
      </c>
      <c r="L351" t="s">
        <v>22</v>
      </c>
    </row>
    <row r="352" spans="1:12" x14ac:dyDescent="0.2">
      <c r="A352">
        <v>20338</v>
      </c>
      <c r="B352">
        <v>18</v>
      </c>
      <c r="C352" t="s">
        <v>23</v>
      </c>
      <c r="D352">
        <v>7245.5</v>
      </c>
      <c r="E352">
        <v>21067.15</v>
      </c>
      <c r="F352">
        <v>48</v>
      </c>
      <c r="G352">
        <v>11.35</v>
      </c>
      <c r="I352">
        <v>11.4</v>
      </c>
      <c r="J352">
        <v>60</v>
      </c>
      <c r="K352" t="s">
        <v>13</v>
      </c>
      <c r="L352" t="s">
        <v>25</v>
      </c>
    </row>
    <row r="353" spans="1:12" x14ac:dyDescent="0.2">
      <c r="A353">
        <v>25836</v>
      </c>
      <c r="B353">
        <v>55</v>
      </c>
      <c r="C353" t="s">
        <v>26</v>
      </c>
      <c r="D353">
        <v>7829.7</v>
      </c>
      <c r="E353">
        <v>23287.68</v>
      </c>
      <c r="F353">
        <v>60</v>
      </c>
      <c r="G353">
        <v>21.15</v>
      </c>
      <c r="H353">
        <v>0</v>
      </c>
      <c r="J353">
        <v>30</v>
      </c>
      <c r="K353" t="s">
        <v>20</v>
      </c>
      <c r="L353" t="s">
        <v>19</v>
      </c>
    </row>
    <row r="354" spans="1:12" x14ac:dyDescent="0.2">
      <c r="A354">
        <v>22178</v>
      </c>
      <c r="B354">
        <v>51</v>
      </c>
      <c r="C354" t="s">
        <v>21</v>
      </c>
      <c r="D354">
        <v>7631.74</v>
      </c>
      <c r="E354">
        <v>26511.29</v>
      </c>
      <c r="F354">
        <v>18</v>
      </c>
      <c r="G354">
        <v>6.05</v>
      </c>
      <c r="H354">
        <v>4</v>
      </c>
      <c r="I354">
        <v>15.1</v>
      </c>
      <c r="J354">
        <v>90</v>
      </c>
      <c r="K354" t="s">
        <v>20</v>
      </c>
      <c r="L354" t="s">
        <v>22</v>
      </c>
    </row>
    <row r="355" spans="1:12" x14ac:dyDescent="0.2">
      <c r="A355">
        <v>21830</v>
      </c>
      <c r="B355">
        <v>26</v>
      </c>
      <c r="C355" t="s">
        <v>27</v>
      </c>
      <c r="D355">
        <v>3374.58</v>
      </c>
      <c r="E355">
        <v>15169.91</v>
      </c>
      <c r="F355">
        <v>12</v>
      </c>
      <c r="G355">
        <v>26.5</v>
      </c>
      <c r="H355">
        <v>1</v>
      </c>
      <c r="I355">
        <v>4</v>
      </c>
      <c r="J355">
        <v>0</v>
      </c>
      <c r="K355" t="s">
        <v>20</v>
      </c>
      <c r="L355" t="s">
        <v>16</v>
      </c>
    </row>
    <row r="356" spans="1:12" x14ac:dyDescent="0.2">
      <c r="A356">
        <v>24902</v>
      </c>
      <c r="B356">
        <v>120</v>
      </c>
      <c r="C356" t="s">
        <v>26</v>
      </c>
      <c r="D356">
        <v>-773.4</v>
      </c>
      <c r="E356">
        <v>20286.59</v>
      </c>
      <c r="F356">
        <v>24</v>
      </c>
      <c r="G356">
        <v>25.98</v>
      </c>
      <c r="I356">
        <v>7.3</v>
      </c>
      <c r="J356">
        <v>60</v>
      </c>
      <c r="K356" t="s">
        <v>18</v>
      </c>
      <c r="L356" t="s">
        <v>14</v>
      </c>
    </row>
    <row r="357" spans="1:12" x14ac:dyDescent="0.2">
      <c r="A357">
        <v>25047</v>
      </c>
      <c r="B357">
        <v>59</v>
      </c>
      <c r="C357" t="s">
        <v>23</v>
      </c>
      <c r="D357">
        <v>4813.78</v>
      </c>
      <c r="E357">
        <v>35738.089999999997</v>
      </c>
      <c r="F357">
        <v>60</v>
      </c>
      <c r="G357">
        <v>17.350000000000001</v>
      </c>
      <c r="H357">
        <v>2</v>
      </c>
      <c r="I357">
        <v>3.1</v>
      </c>
      <c r="J357">
        <v>0</v>
      </c>
      <c r="K357" t="s">
        <v>18</v>
      </c>
      <c r="L357" t="s">
        <v>25</v>
      </c>
    </row>
    <row r="358" spans="1:12" x14ac:dyDescent="0.2">
      <c r="A358">
        <v>20497</v>
      </c>
      <c r="B358">
        <v>47</v>
      </c>
      <c r="C358" t="s">
        <v>12</v>
      </c>
      <c r="D358">
        <v>2620.79</v>
      </c>
      <c r="E358">
        <v>7377.43</v>
      </c>
      <c r="F358">
        <v>36</v>
      </c>
      <c r="G358">
        <v>22.35</v>
      </c>
      <c r="H358">
        <v>0</v>
      </c>
      <c r="I358">
        <v>-2.1</v>
      </c>
      <c r="J358">
        <v>0</v>
      </c>
      <c r="K358" t="s">
        <v>24</v>
      </c>
      <c r="L358" t="s">
        <v>25</v>
      </c>
    </row>
    <row r="359" spans="1:12" x14ac:dyDescent="0.2">
      <c r="A359">
        <v>20970</v>
      </c>
      <c r="B359">
        <v>32</v>
      </c>
      <c r="C359" t="s">
        <v>23</v>
      </c>
      <c r="D359">
        <v>9116.8799999999992</v>
      </c>
      <c r="E359">
        <v>9152.86</v>
      </c>
      <c r="F359">
        <v>6</v>
      </c>
      <c r="G359">
        <v>18.02</v>
      </c>
      <c r="J359">
        <v>0</v>
      </c>
      <c r="K359" t="s">
        <v>18</v>
      </c>
      <c r="L359" t="s">
        <v>22</v>
      </c>
    </row>
    <row r="360" spans="1:12" x14ac:dyDescent="0.2">
      <c r="A360">
        <v>22908</v>
      </c>
      <c r="B360">
        <v>24</v>
      </c>
      <c r="C360" t="s">
        <v>17</v>
      </c>
      <c r="D360">
        <v>3061.42</v>
      </c>
      <c r="E360">
        <v>11638.66</v>
      </c>
      <c r="F360">
        <v>6</v>
      </c>
      <c r="G360">
        <v>26.72</v>
      </c>
      <c r="H360">
        <v>1</v>
      </c>
      <c r="I360">
        <v>3</v>
      </c>
      <c r="J360">
        <v>0</v>
      </c>
      <c r="K360" t="s">
        <v>13</v>
      </c>
      <c r="L360" t="s">
        <v>16</v>
      </c>
    </row>
    <row r="361" spans="1:12" x14ac:dyDescent="0.2">
      <c r="A361">
        <v>24820</v>
      </c>
      <c r="B361">
        <v>54</v>
      </c>
      <c r="C361" t="s">
        <v>23</v>
      </c>
      <c r="D361">
        <v>6120.15</v>
      </c>
      <c r="E361">
        <v>35183.300000000003</v>
      </c>
      <c r="F361">
        <v>36</v>
      </c>
      <c r="G361">
        <v>55</v>
      </c>
      <c r="H361">
        <v>1</v>
      </c>
      <c r="I361">
        <v>5.5</v>
      </c>
      <c r="J361">
        <v>0</v>
      </c>
      <c r="K361" t="s">
        <v>15</v>
      </c>
      <c r="L361" t="s">
        <v>19</v>
      </c>
    </row>
    <row r="362" spans="1:12" x14ac:dyDescent="0.2">
      <c r="A362">
        <v>23267</v>
      </c>
      <c r="B362">
        <v>45</v>
      </c>
      <c r="C362" t="s">
        <v>12</v>
      </c>
      <c r="D362">
        <v>2644.85</v>
      </c>
      <c r="E362">
        <v>14926.85</v>
      </c>
      <c r="F362">
        <v>12</v>
      </c>
      <c r="G362">
        <v>15.46</v>
      </c>
      <c r="H362">
        <v>3</v>
      </c>
      <c r="I362">
        <v>7</v>
      </c>
      <c r="J362">
        <v>90</v>
      </c>
      <c r="K362" t="s">
        <v>13</v>
      </c>
      <c r="L362" t="s">
        <v>14</v>
      </c>
    </row>
    <row r="363" spans="1:12" x14ac:dyDescent="0.2">
      <c r="A363">
        <v>23184</v>
      </c>
      <c r="B363">
        <v>35</v>
      </c>
      <c r="C363" t="s">
        <v>27</v>
      </c>
      <c r="D363">
        <v>4344.6899999999996</v>
      </c>
      <c r="E363">
        <v>20637.900000000001</v>
      </c>
      <c r="F363">
        <v>36</v>
      </c>
      <c r="G363">
        <v>18.48</v>
      </c>
      <c r="H363">
        <v>1</v>
      </c>
      <c r="I363">
        <v>5.4</v>
      </c>
      <c r="J363">
        <v>0</v>
      </c>
      <c r="K363" t="s">
        <v>13</v>
      </c>
      <c r="L363" t="s">
        <v>19</v>
      </c>
    </row>
    <row r="364" spans="1:12" x14ac:dyDescent="0.2">
      <c r="A364">
        <v>25883</v>
      </c>
      <c r="B364">
        <v>38</v>
      </c>
      <c r="C364" t="s">
        <v>27</v>
      </c>
      <c r="D364">
        <v>3036.09</v>
      </c>
      <c r="E364">
        <v>29265.02</v>
      </c>
      <c r="F364">
        <v>60</v>
      </c>
      <c r="G364">
        <v>17.73</v>
      </c>
      <c r="H364">
        <v>3</v>
      </c>
      <c r="I364">
        <v>10.1</v>
      </c>
      <c r="J364">
        <v>0</v>
      </c>
      <c r="K364" t="s">
        <v>13</v>
      </c>
      <c r="L364" t="s">
        <v>25</v>
      </c>
    </row>
    <row r="365" spans="1:12" x14ac:dyDescent="0.2">
      <c r="A365">
        <v>25504</v>
      </c>
      <c r="B365">
        <v>53</v>
      </c>
      <c r="C365" t="s">
        <v>23</v>
      </c>
      <c r="D365">
        <v>4613.37</v>
      </c>
      <c r="E365">
        <v>13174.41</v>
      </c>
      <c r="F365">
        <v>36</v>
      </c>
      <c r="G365">
        <v>6.09</v>
      </c>
      <c r="H365">
        <v>0</v>
      </c>
      <c r="I365">
        <v>7.4</v>
      </c>
      <c r="J365">
        <v>60</v>
      </c>
      <c r="K365" t="s">
        <v>24</v>
      </c>
      <c r="L365" t="s">
        <v>19</v>
      </c>
    </row>
    <row r="366" spans="1:12" x14ac:dyDescent="0.2">
      <c r="A366">
        <v>20945</v>
      </c>
      <c r="B366">
        <v>22</v>
      </c>
      <c r="C366" t="s">
        <v>26</v>
      </c>
      <c r="D366">
        <v>9813.73</v>
      </c>
      <c r="E366">
        <v>27446.23</v>
      </c>
      <c r="F366">
        <v>36</v>
      </c>
      <c r="G366">
        <v>21.13</v>
      </c>
      <c r="I366">
        <v>9.9</v>
      </c>
      <c r="J366">
        <v>15</v>
      </c>
      <c r="K366" t="s">
        <v>13</v>
      </c>
      <c r="L366" t="s">
        <v>19</v>
      </c>
    </row>
    <row r="367" spans="1:12" x14ac:dyDescent="0.2">
      <c r="A367">
        <v>21483</v>
      </c>
      <c r="B367">
        <v>57</v>
      </c>
      <c r="C367" t="s">
        <v>27</v>
      </c>
      <c r="D367">
        <v>7369.26</v>
      </c>
      <c r="E367">
        <v>25459.29</v>
      </c>
      <c r="F367">
        <v>12</v>
      </c>
      <c r="G367">
        <v>13.81</v>
      </c>
      <c r="H367">
        <v>3</v>
      </c>
      <c r="I367">
        <v>11.3</v>
      </c>
      <c r="J367">
        <v>15</v>
      </c>
      <c r="K367" t="s">
        <v>20</v>
      </c>
      <c r="L367" t="s">
        <v>14</v>
      </c>
    </row>
    <row r="368" spans="1:12" x14ac:dyDescent="0.2">
      <c r="A368">
        <v>23233</v>
      </c>
      <c r="B368">
        <v>45</v>
      </c>
      <c r="C368" t="s">
        <v>12</v>
      </c>
      <c r="D368">
        <v>2393.98</v>
      </c>
      <c r="E368">
        <v>16287.27</v>
      </c>
      <c r="F368">
        <v>48</v>
      </c>
      <c r="G368">
        <v>16.190000000000001</v>
      </c>
      <c r="H368">
        <v>0</v>
      </c>
      <c r="I368">
        <v>11.8</v>
      </c>
      <c r="J368">
        <v>90</v>
      </c>
      <c r="K368" t="s">
        <v>13</v>
      </c>
      <c r="L368" t="s">
        <v>19</v>
      </c>
    </row>
    <row r="369" spans="1:12" x14ac:dyDescent="0.2">
      <c r="A369">
        <v>20255</v>
      </c>
      <c r="B369">
        <v>46</v>
      </c>
      <c r="C369" t="s">
        <v>23</v>
      </c>
      <c r="D369">
        <v>6018.37</v>
      </c>
      <c r="E369">
        <v>25088.7</v>
      </c>
      <c r="F369">
        <v>60</v>
      </c>
      <c r="G369">
        <v>28.15</v>
      </c>
      <c r="H369">
        <v>3</v>
      </c>
      <c r="I369">
        <v>9.1</v>
      </c>
      <c r="J369">
        <v>60</v>
      </c>
      <c r="K369" t="s">
        <v>13</v>
      </c>
      <c r="L369" t="s">
        <v>25</v>
      </c>
    </row>
    <row r="370" spans="1:12" x14ac:dyDescent="0.2">
      <c r="A370">
        <v>24931</v>
      </c>
      <c r="B370">
        <v>41</v>
      </c>
      <c r="C370" t="s">
        <v>23</v>
      </c>
      <c r="D370">
        <v>4281.21</v>
      </c>
      <c r="E370">
        <v>24625.53</v>
      </c>
      <c r="F370">
        <v>6</v>
      </c>
      <c r="G370">
        <v>21.14</v>
      </c>
      <c r="H370">
        <v>3</v>
      </c>
      <c r="I370">
        <v>4.2</v>
      </c>
      <c r="J370">
        <v>120</v>
      </c>
      <c r="K370" t="s">
        <v>15</v>
      </c>
      <c r="L370" t="s">
        <v>14</v>
      </c>
    </row>
    <row r="371" spans="1:12" x14ac:dyDescent="0.2">
      <c r="A371">
        <v>23991</v>
      </c>
      <c r="B371">
        <v>42</v>
      </c>
      <c r="C371" t="s">
        <v>26</v>
      </c>
      <c r="D371">
        <v>5301.95</v>
      </c>
      <c r="E371">
        <v>16757.46</v>
      </c>
      <c r="F371">
        <v>12</v>
      </c>
      <c r="G371">
        <v>24.87</v>
      </c>
      <c r="H371">
        <v>4</v>
      </c>
      <c r="I371">
        <v>11.5</v>
      </c>
      <c r="J371">
        <v>120</v>
      </c>
      <c r="K371" t="s">
        <v>24</v>
      </c>
      <c r="L371" t="s">
        <v>22</v>
      </c>
    </row>
    <row r="372" spans="1:12" x14ac:dyDescent="0.2">
      <c r="A372">
        <v>23965</v>
      </c>
      <c r="B372">
        <v>42</v>
      </c>
      <c r="C372" t="s">
        <v>26</v>
      </c>
      <c r="D372">
        <v>6506.76</v>
      </c>
      <c r="E372">
        <v>13134.72</v>
      </c>
      <c r="F372">
        <v>12</v>
      </c>
      <c r="G372">
        <v>14.22</v>
      </c>
      <c r="H372">
        <v>0</v>
      </c>
      <c r="I372">
        <v>9.8000000000000007</v>
      </c>
      <c r="J372">
        <v>120</v>
      </c>
      <c r="K372" t="s">
        <v>18</v>
      </c>
      <c r="L372" t="s">
        <v>16</v>
      </c>
    </row>
    <row r="373" spans="1:12" x14ac:dyDescent="0.2">
      <c r="A373">
        <v>23780</v>
      </c>
      <c r="B373">
        <v>35</v>
      </c>
      <c r="C373" t="s">
        <v>21</v>
      </c>
      <c r="D373">
        <v>4696.93</v>
      </c>
      <c r="E373">
        <v>35874.46</v>
      </c>
      <c r="F373">
        <v>48</v>
      </c>
      <c r="G373">
        <v>13.63</v>
      </c>
      <c r="H373">
        <v>0</v>
      </c>
      <c r="I373">
        <v>5.9</v>
      </c>
      <c r="J373">
        <v>0</v>
      </c>
      <c r="K373" t="s">
        <v>18</v>
      </c>
      <c r="L373" t="s">
        <v>25</v>
      </c>
    </row>
    <row r="374" spans="1:12" x14ac:dyDescent="0.2">
      <c r="A374">
        <v>20938</v>
      </c>
      <c r="B374">
        <v>47</v>
      </c>
      <c r="C374" t="s">
        <v>26</v>
      </c>
      <c r="D374">
        <v>1916.28</v>
      </c>
      <c r="E374">
        <v>16234.66</v>
      </c>
      <c r="F374">
        <v>60</v>
      </c>
      <c r="G374">
        <v>14.67</v>
      </c>
      <c r="H374">
        <v>4</v>
      </c>
      <c r="I374">
        <v>6.7</v>
      </c>
      <c r="K374" t="s">
        <v>20</v>
      </c>
      <c r="L374" t="s">
        <v>25</v>
      </c>
    </row>
    <row r="375" spans="1:12" x14ac:dyDescent="0.2">
      <c r="A375">
        <v>21718</v>
      </c>
      <c r="B375">
        <v>34</v>
      </c>
      <c r="C375" t="s">
        <v>21</v>
      </c>
      <c r="D375">
        <v>5754.87</v>
      </c>
      <c r="E375">
        <v>25783.22</v>
      </c>
      <c r="F375">
        <v>18</v>
      </c>
      <c r="G375">
        <v>19.760000000000002</v>
      </c>
      <c r="H375">
        <v>2</v>
      </c>
      <c r="I375">
        <v>4.4000000000000004</v>
      </c>
      <c r="J375">
        <v>120</v>
      </c>
      <c r="K375" t="s">
        <v>15</v>
      </c>
      <c r="L375" t="s">
        <v>25</v>
      </c>
    </row>
    <row r="376" spans="1:12" x14ac:dyDescent="0.2">
      <c r="A376">
        <v>22128</v>
      </c>
      <c r="B376">
        <v>49</v>
      </c>
      <c r="C376" t="s">
        <v>23</v>
      </c>
      <c r="D376">
        <v>5464.25</v>
      </c>
      <c r="E376">
        <v>20620.96</v>
      </c>
      <c r="F376">
        <v>36</v>
      </c>
      <c r="G376">
        <v>11.15</v>
      </c>
      <c r="H376">
        <v>0</v>
      </c>
      <c r="I376">
        <v>4.5999999999999996</v>
      </c>
      <c r="J376">
        <v>0</v>
      </c>
      <c r="K376" t="s">
        <v>18</v>
      </c>
      <c r="L376" t="s">
        <v>22</v>
      </c>
    </row>
    <row r="377" spans="1:12" x14ac:dyDescent="0.2">
      <c r="A377">
        <v>25109</v>
      </c>
      <c r="B377">
        <v>21</v>
      </c>
      <c r="C377" t="s">
        <v>21</v>
      </c>
      <c r="D377">
        <v>2401.17</v>
      </c>
      <c r="E377">
        <v>13532.46</v>
      </c>
      <c r="F377">
        <v>48</v>
      </c>
      <c r="G377">
        <v>16.68</v>
      </c>
      <c r="H377">
        <v>2</v>
      </c>
      <c r="I377">
        <v>5</v>
      </c>
      <c r="J377">
        <v>0</v>
      </c>
      <c r="K377" t="s">
        <v>13</v>
      </c>
      <c r="L377" t="s">
        <v>14</v>
      </c>
    </row>
    <row r="378" spans="1:12" x14ac:dyDescent="0.2">
      <c r="A378">
        <v>25735</v>
      </c>
      <c r="B378">
        <v>32</v>
      </c>
      <c r="C378" t="s">
        <v>26</v>
      </c>
      <c r="D378">
        <v>5335.59</v>
      </c>
      <c r="E378">
        <v>33716.86</v>
      </c>
      <c r="F378">
        <v>24</v>
      </c>
      <c r="G378">
        <v>18.739999999999998</v>
      </c>
      <c r="I378">
        <v>8.4</v>
      </c>
      <c r="J378">
        <v>0</v>
      </c>
      <c r="K378" t="s">
        <v>15</v>
      </c>
      <c r="L378" t="s">
        <v>14</v>
      </c>
    </row>
    <row r="379" spans="1:12" x14ac:dyDescent="0.2">
      <c r="A379">
        <v>22378</v>
      </c>
      <c r="B379">
        <v>22</v>
      </c>
      <c r="C379" t="s">
        <v>23</v>
      </c>
      <c r="D379">
        <v>6565.81</v>
      </c>
      <c r="E379">
        <v>12833.31</v>
      </c>
      <c r="F379">
        <v>48</v>
      </c>
      <c r="G379">
        <v>16.59</v>
      </c>
      <c r="I379">
        <v>11</v>
      </c>
      <c r="J379">
        <v>15</v>
      </c>
      <c r="K379" t="s">
        <v>24</v>
      </c>
      <c r="L379" t="s">
        <v>16</v>
      </c>
    </row>
    <row r="380" spans="1:12" x14ac:dyDescent="0.2">
      <c r="A380">
        <v>21066</v>
      </c>
      <c r="B380">
        <v>58</v>
      </c>
      <c r="C380" t="s">
        <v>23</v>
      </c>
      <c r="D380">
        <v>2953.57</v>
      </c>
      <c r="E380">
        <v>12941</v>
      </c>
      <c r="F380">
        <v>18</v>
      </c>
      <c r="G380">
        <v>16.91</v>
      </c>
      <c r="H380">
        <v>2</v>
      </c>
      <c r="I380">
        <v>0.6</v>
      </c>
      <c r="J380">
        <v>30</v>
      </c>
      <c r="K380" t="s">
        <v>13</v>
      </c>
      <c r="L380" t="s">
        <v>16</v>
      </c>
    </row>
    <row r="381" spans="1:12" x14ac:dyDescent="0.2">
      <c r="A381">
        <v>20293</v>
      </c>
      <c r="B381">
        <v>29</v>
      </c>
      <c r="C381" t="s">
        <v>12</v>
      </c>
      <c r="D381">
        <v>8284.1200000000008</v>
      </c>
      <c r="E381">
        <v>18876.55</v>
      </c>
      <c r="F381">
        <v>24</v>
      </c>
      <c r="G381">
        <v>22.42</v>
      </c>
      <c r="H381">
        <v>2</v>
      </c>
      <c r="I381">
        <v>4</v>
      </c>
      <c r="J381">
        <v>0</v>
      </c>
      <c r="K381" t="s">
        <v>13</v>
      </c>
      <c r="L381" t="s">
        <v>19</v>
      </c>
    </row>
    <row r="382" spans="1:12" x14ac:dyDescent="0.2">
      <c r="A382">
        <v>20425</v>
      </c>
      <c r="B382">
        <v>62</v>
      </c>
      <c r="C382" t="s">
        <v>17</v>
      </c>
      <c r="D382">
        <v>5759.19</v>
      </c>
      <c r="E382">
        <v>29736.11</v>
      </c>
      <c r="F382">
        <v>18</v>
      </c>
      <c r="G382">
        <v>24.33</v>
      </c>
      <c r="H382">
        <v>2</v>
      </c>
      <c r="I382">
        <v>8.1999999999999993</v>
      </c>
      <c r="J382">
        <v>15</v>
      </c>
      <c r="K382" t="s">
        <v>18</v>
      </c>
      <c r="L382" t="s">
        <v>14</v>
      </c>
    </row>
    <row r="383" spans="1:12" x14ac:dyDescent="0.2">
      <c r="A383">
        <v>22829</v>
      </c>
      <c r="B383">
        <v>56</v>
      </c>
      <c r="C383" t="s">
        <v>23</v>
      </c>
      <c r="D383">
        <v>7632.04</v>
      </c>
      <c r="E383">
        <v>11681.98</v>
      </c>
      <c r="F383">
        <v>36</v>
      </c>
      <c r="G383">
        <v>15.79</v>
      </c>
      <c r="H383">
        <v>3</v>
      </c>
      <c r="K383" t="s">
        <v>20</v>
      </c>
      <c r="L383" t="s">
        <v>19</v>
      </c>
    </row>
    <row r="384" spans="1:12" x14ac:dyDescent="0.2">
      <c r="A384">
        <v>21379</v>
      </c>
      <c r="B384">
        <v>46</v>
      </c>
      <c r="C384" t="s">
        <v>17</v>
      </c>
      <c r="D384">
        <v>7477.09</v>
      </c>
      <c r="E384">
        <v>20019.650000000001</v>
      </c>
      <c r="F384">
        <v>36</v>
      </c>
      <c r="G384">
        <v>17.2</v>
      </c>
      <c r="J384">
        <v>15</v>
      </c>
      <c r="K384" t="s">
        <v>13</v>
      </c>
      <c r="L384" t="s">
        <v>19</v>
      </c>
    </row>
    <row r="385" spans="1:12" x14ac:dyDescent="0.2">
      <c r="A385">
        <v>25975</v>
      </c>
      <c r="B385">
        <v>31</v>
      </c>
      <c r="C385" t="s">
        <v>12</v>
      </c>
      <c r="D385">
        <v>5247.8</v>
      </c>
      <c r="E385">
        <v>20347.400000000001</v>
      </c>
      <c r="F385">
        <v>12</v>
      </c>
      <c r="G385">
        <v>25.46</v>
      </c>
      <c r="I385">
        <v>8.5</v>
      </c>
      <c r="J385">
        <v>30</v>
      </c>
      <c r="K385" t="s">
        <v>18</v>
      </c>
      <c r="L385" t="s">
        <v>19</v>
      </c>
    </row>
    <row r="386" spans="1:12" x14ac:dyDescent="0.2">
      <c r="A386">
        <v>24806</v>
      </c>
      <c r="B386">
        <v>45</v>
      </c>
      <c r="C386" t="s">
        <v>23</v>
      </c>
      <c r="D386">
        <v>5811.39</v>
      </c>
      <c r="E386">
        <v>32110.01</v>
      </c>
      <c r="F386">
        <v>12</v>
      </c>
      <c r="G386">
        <v>24.41</v>
      </c>
      <c r="H386">
        <v>0</v>
      </c>
      <c r="I386">
        <v>3.4</v>
      </c>
      <c r="J386">
        <v>15</v>
      </c>
      <c r="K386" t="s">
        <v>15</v>
      </c>
      <c r="L386" t="s">
        <v>19</v>
      </c>
    </row>
    <row r="387" spans="1:12" x14ac:dyDescent="0.2">
      <c r="A387">
        <v>22108</v>
      </c>
      <c r="B387">
        <v>53</v>
      </c>
      <c r="C387" t="s">
        <v>17</v>
      </c>
      <c r="D387">
        <v>3452.22</v>
      </c>
      <c r="E387">
        <v>19054.34</v>
      </c>
      <c r="F387">
        <v>24</v>
      </c>
      <c r="G387">
        <v>24.47</v>
      </c>
      <c r="H387">
        <v>4</v>
      </c>
      <c r="I387">
        <v>6.3</v>
      </c>
      <c r="J387">
        <v>15</v>
      </c>
      <c r="K387" t="s">
        <v>13</v>
      </c>
      <c r="L387" t="s">
        <v>22</v>
      </c>
    </row>
    <row r="388" spans="1:12" x14ac:dyDescent="0.2">
      <c r="A388">
        <v>21360</v>
      </c>
      <c r="B388">
        <v>26</v>
      </c>
      <c r="C388" t="s">
        <v>23</v>
      </c>
      <c r="D388">
        <v>2443.39</v>
      </c>
      <c r="E388">
        <v>20471.75</v>
      </c>
      <c r="F388">
        <v>24</v>
      </c>
      <c r="G388">
        <v>9.4499999999999993</v>
      </c>
      <c r="I388">
        <v>2.2999999999999998</v>
      </c>
      <c r="J388">
        <v>30</v>
      </c>
      <c r="K388" t="s">
        <v>13</v>
      </c>
      <c r="L388" t="s">
        <v>19</v>
      </c>
    </row>
    <row r="389" spans="1:12" x14ac:dyDescent="0.2">
      <c r="A389">
        <v>22214</v>
      </c>
      <c r="B389">
        <v>31</v>
      </c>
      <c r="C389" t="s">
        <v>23</v>
      </c>
      <c r="D389">
        <v>5796.51</v>
      </c>
      <c r="E389">
        <v>21131.38</v>
      </c>
      <c r="F389">
        <v>48</v>
      </c>
      <c r="G389">
        <v>12.74</v>
      </c>
      <c r="H389">
        <v>3</v>
      </c>
      <c r="I389">
        <v>11.9</v>
      </c>
      <c r="J389">
        <v>0</v>
      </c>
      <c r="K389" t="s">
        <v>13</v>
      </c>
      <c r="L389" t="s">
        <v>19</v>
      </c>
    </row>
    <row r="390" spans="1:12" x14ac:dyDescent="0.2">
      <c r="A390">
        <v>23443</v>
      </c>
      <c r="B390">
        <v>25</v>
      </c>
      <c r="C390" t="s">
        <v>27</v>
      </c>
      <c r="D390">
        <v>2860.98</v>
      </c>
      <c r="E390">
        <v>31787.82</v>
      </c>
      <c r="F390">
        <v>18</v>
      </c>
      <c r="G390">
        <v>17.059999999999999</v>
      </c>
      <c r="H390">
        <v>3</v>
      </c>
      <c r="I390">
        <v>-2.1</v>
      </c>
      <c r="J390">
        <v>0</v>
      </c>
      <c r="K390" t="s">
        <v>15</v>
      </c>
      <c r="L390" t="s">
        <v>25</v>
      </c>
    </row>
    <row r="391" spans="1:12" x14ac:dyDescent="0.2">
      <c r="A391">
        <v>21111</v>
      </c>
      <c r="B391">
        <v>21</v>
      </c>
      <c r="C391" t="s">
        <v>17</v>
      </c>
      <c r="D391">
        <v>4288.9399999999996</v>
      </c>
      <c r="E391">
        <v>25959.27</v>
      </c>
      <c r="F391">
        <v>60</v>
      </c>
      <c r="G391">
        <v>13.7</v>
      </c>
      <c r="H391">
        <v>4</v>
      </c>
      <c r="I391">
        <v>12.6</v>
      </c>
      <c r="J391">
        <v>60</v>
      </c>
      <c r="K391" t="s">
        <v>18</v>
      </c>
      <c r="L391" t="s">
        <v>22</v>
      </c>
    </row>
    <row r="392" spans="1:12" x14ac:dyDescent="0.2">
      <c r="A392">
        <v>25093</v>
      </c>
      <c r="B392">
        <v>39</v>
      </c>
      <c r="C392" t="s">
        <v>23</v>
      </c>
      <c r="D392">
        <v>6657.09</v>
      </c>
      <c r="E392">
        <v>34688.29</v>
      </c>
      <c r="F392">
        <v>12</v>
      </c>
      <c r="G392">
        <v>6.55</v>
      </c>
      <c r="H392">
        <v>2</v>
      </c>
      <c r="I392">
        <v>13</v>
      </c>
      <c r="J392">
        <v>90</v>
      </c>
      <c r="K392" t="s">
        <v>13</v>
      </c>
      <c r="L392" t="s">
        <v>19</v>
      </c>
    </row>
    <row r="393" spans="1:12" x14ac:dyDescent="0.2">
      <c r="A393">
        <v>22708</v>
      </c>
      <c r="B393">
        <v>45</v>
      </c>
      <c r="C393" t="s">
        <v>27</v>
      </c>
      <c r="D393">
        <v>5609.82</v>
      </c>
      <c r="E393">
        <v>23635.34</v>
      </c>
      <c r="F393">
        <v>18</v>
      </c>
      <c r="G393">
        <v>9.42</v>
      </c>
      <c r="H393">
        <v>3</v>
      </c>
      <c r="I393">
        <v>6.3</v>
      </c>
      <c r="J393">
        <v>0</v>
      </c>
      <c r="K393" t="s">
        <v>15</v>
      </c>
      <c r="L393" t="s">
        <v>22</v>
      </c>
    </row>
    <row r="394" spans="1:12" x14ac:dyDescent="0.2">
      <c r="A394">
        <v>22413</v>
      </c>
      <c r="B394">
        <v>59</v>
      </c>
      <c r="C394" t="s">
        <v>27</v>
      </c>
      <c r="D394">
        <v>6993.31</v>
      </c>
      <c r="E394">
        <v>35540.480000000003</v>
      </c>
      <c r="F394">
        <v>18</v>
      </c>
      <c r="G394">
        <v>16.87</v>
      </c>
      <c r="H394">
        <v>1</v>
      </c>
      <c r="I394">
        <v>12.8</v>
      </c>
      <c r="J394">
        <v>90</v>
      </c>
      <c r="K394" t="s">
        <v>15</v>
      </c>
      <c r="L394" t="s">
        <v>22</v>
      </c>
    </row>
    <row r="395" spans="1:12" x14ac:dyDescent="0.2">
      <c r="A395">
        <v>23386</v>
      </c>
      <c r="B395">
        <v>21</v>
      </c>
      <c r="C395" t="s">
        <v>27</v>
      </c>
      <c r="D395">
        <v>7578.16</v>
      </c>
      <c r="E395">
        <v>19957.75</v>
      </c>
      <c r="F395">
        <v>36</v>
      </c>
      <c r="G395">
        <v>13.65</v>
      </c>
      <c r="H395">
        <v>3</v>
      </c>
      <c r="I395">
        <v>0.9</v>
      </c>
      <c r="J395">
        <v>60</v>
      </c>
      <c r="K395" t="s">
        <v>18</v>
      </c>
      <c r="L395" t="s">
        <v>22</v>
      </c>
    </row>
    <row r="396" spans="1:12" x14ac:dyDescent="0.2">
      <c r="A396">
        <v>22543</v>
      </c>
      <c r="B396">
        <v>21</v>
      </c>
      <c r="C396" t="s">
        <v>26</v>
      </c>
      <c r="D396">
        <v>9625.2099999999991</v>
      </c>
      <c r="E396">
        <v>25382.28</v>
      </c>
      <c r="F396">
        <v>36</v>
      </c>
      <c r="G396">
        <v>12.92</v>
      </c>
      <c r="H396">
        <v>2</v>
      </c>
      <c r="I396">
        <v>4.0999999999999996</v>
      </c>
      <c r="J396">
        <v>0</v>
      </c>
      <c r="K396" t="s">
        <v>13</v>
      </c>
      <c r="L396" t="s">
        <v>14</v>
      </c>
    </row>
    <row r="397" spans="1:12" x14ac:dyDescent="0.2">
      <c r="A397">
        <v>20344</v>
      </c>
      <c r="B397">
        <v>46</v>
      </c>
      <c r="C397" t="s">
        <v>17</v>
      </c>
      <c r="D397">
        <v>6481.59</v>
      </c>
      <c r="E397">
        <v>16987.669999999998</v>
      </c>
      <c r="F397">
        <v>48</v>
      </c>
      <c r="G397">
        <v>15.35</v>
      </c>
      <c r="H397">
        <v>0</v>
      </c>
      <c r="I397">
        <v>15.1</v>
      </c>
      <c r="J397">
        <v>60</v>
      </c>
      <c r="K397" t="s">
        <v>13</v>
      </c>
      <c r="L397" t="s">
        <v>22</v>
      </c>
    </row>
    <row r="398" spans="1:12" x14ac:dyDescent="0.2">
      <c r="A398">
        <v>25702</v>
      </c>
      <c r="B398">
        <v>30</v>
      </c>
      <c r="C398" t="s">
        <v>27</v>
      </c>
      <c r="D398">
        <v>5227.03</v>
      </c>
      <c r="E398">
        <v>27897.14</v>
      </c>
      <c r="F398">
        <v>36</v>
      </c>
      <c r="G398">
        <v>12.43</v>
      </c>
      <c r="H398">
        <v>3</v>
      </c>
      <c r="I398">
        <v>4.9000000000000004</v>
      </c>
      <c r="J398">
        <v>30</v>
      </c>
      <c r="K398" t="s">
        <v>18</v>
      </c>
      <c r="L398" t="s">
        <v>16</v>
      </c>
    </row>
    <row r="399" spans="1:12" x14ac:dyDescent="0.2">
      <c r="A399">
        <v>25849</v>
      </c>
      <c r="B399">
        <v>58</v>
      </c>
      <c r="C399" t="s">
        <v>21</v>
      </c>
      <c r="D399">
        <v>4998.67</v>
      </c>
      <c r="E399">
        <v>18683.14</v>
      </c>
      <c r="F399">
        <v>36</v>
      </c>
      <c r="G399">
        <v>15.6</v>
      </c>
      <c r="H399">
        <v>4</v>
      </c>
      <c r="I399">
        <v>7.3</v>
      </c>
      <c r="J399">
        <v>90</v>
      </c>
      <c r="K399" t="s">
        <v>15</v>
      </c>
      <c r="L399" t="s">
        <v>16</v>
      </c>
    </row>
    <row r="400" spans="1:12" x14ac:dyDescent="0.2">
      <c r="A400">
        <v>21563</v>
      </c>
      <c r="B400">
        <v>47</v>
      </c>
      <c r="C400" t="s">
        <v>17</v>
      </c>
      <c r="D400">
        <v>10467.98</v>
      </c>
      <c r="E400">
        <v>23590.1</v>
      </c>
      <c r="F400">
        <v>24</v>
      </c>
      <c r="G400">
        <v>19.03</v>
      </c>
      <c r="I400">
        <v>5.4</v>
      </c>
      <c r="J400">
        <v>0</v>
      </c>
      <c r="K400" t="s">
        <v>20</v>
      </c>
      <c r="L400" t="s">
        <v>25</v>
      </c>
    </row>
    <row r="401" spans="1:12" x14ac:dyDescent="0.2">
      <c r="A401">
        <v>21526</v>
      </c>
      <c r="B401">
        <v>18</v>
      </c>
      <c r="C401" t="s">
        <v>23</v>
      </c>
      <c r="D401">
        <v>9397.16</v>
      </c>
      <c r="E401">
        <v>17057.580000000002</v>
      </c>
      <c r="F401">
        <v>6</v>
      </c>
      <c r="G401">
        <v>27.05</v>
      </c>
      <c r="H401">
        <v>3</v>
      </c>
      <c r="I401">
        <v>3</v>
      </c>
      <c r="J401">
        <v>60</v>
      </c>
      <c r="K401" t="s">
        <v>18</v>
      </c>
      <c r="L401" t="s">
        <v>14</v>
      </c>
    </row>
    <row r="402" spans="1:12" x14ac:dyDescent="0.2">
      <c r="A402">
        <v>25411</v>
      </c>
      <c r="B402">
        <v>55</v>
      </c>
      <c r="C402" t="s">
        <v>27</v>
      </c>
      <c r="D402">
        <v>5319.43</v>
      </c>
      <c r="E402">
        <v>27090.76</v>
      </c>
      <c r="F402">
        <v>24</v>
      </c>
      <c r="G402">
        <v>19.489999999999998</v>
      </c>
      <c r="H402">
        <v>2</v>
      </c>
      <c r="I402">
        <v>6</v>
      </c>
      <c r="J402">
        <v>0</v>
      </c>
      <c r="K402" t="s">
        <v>15</v>
      </c>
      <c r="L402" t="s">
        <v>25</v>
      </c>
    </row>
    <row r="403" spans="1:12" x14ac:dyDescent="0.2">
      <c r="A403">
        <v>22641</v>
      </c>
      <c r="B403">
        <v>30</v>
      </c>
      <c r="C403" t="s">
        <v>12</v>
      </c>
      <c r="D403">
        <v>6025.68</v>
      </c>
      <c r="E403">
        <v>22545.56</v>
      </c>
      <c r="F403">
        <v>24</v>
      </c>
      <c r="G403">
        <v>19.82</v>
      </c>
      <c r="I403">
        <v>8.9</v>
      </c>
      <c r="J403">
        <v>0</v>
      </c>
      <c r="K403" t="s">
        <v>15</v>
      </c>
      <c r="L403" t="s">
        <v>22</v>
      </c>
    </row>
    <row r="404" spans="1:12" x14ac:dyDescent="0.2">
      <c r="A404">
        <v>25930</v>
      </c>
      <c r="B404">
        <v>40</v>
      </c>
      <c r="C404" t="s">
        <v>27</v>
      </c>
      <c r="D404">
        <v>2129</v>
      </c>
      <c r="E404">
        <v>18982.099999999999</v>
      </c>
      <c r="F404">
        <v>60</v>
      </c>
      <c r="G404">
        <v>17.87</v>
      </c>
      <c r="H404">
        <v>4</v>
      </c>
      <c r="I404">
        <v>4</v>
      </c>
      <c r="J404">
        <v>90</v>
      </c>
      <c r="K404" t="s">
        <v>15</v>
      </c>
      <c r="L404" t="s">
        <v>25</v>
      </c>
    </row>
    <row r="405" spans="1:12" x14ac:dyDescent="0.2">
      <c r="A405">
        <v>23924</v>
      </c>
      <c r="B405">
        <v>58</v>
      </c>
      <c r="C405" t="s">
        <v>12</v>
      </c>
      <c r="D405">
        <v>1669.73</v>
      </c>
      <c r="E405">
        <v>24444.03</v>
      </c>
      <c r="F405">
        <v>60</v>
      </c>
      <c r="G405">
        <v>18.88</v>
      </c>
      <c r="H405">
        <v>0</v>
      </c>
      <c r="I405">
        <v>7.6</v>
      </c>
      <c r="J405">
        <v>15</v>
      </c>
      <c r="K405" t="s">
        <v>18</v>
      </c>
      <c r="L405" t="s">
        <v>14</v>
      </c>
    </row>
    <row r="406" spans="1:12" x14ac:dyDescent="0.2">
      <c r="A406">
        <v>21827</v>
      </c>
      <c r="B406">
        <v>37</v>
      </c>
      <c r="C406" t="s">
        <v>26</v>
      </c>
      <c r="D406">
        <v>8465.2000000000007</v>
      </c>
      <c r="E406">
        <v>29504.75</v>
      </c>
      <c r="F406">
        <v>18</v>
      </c>
      <c r="G406">
        <v>19.11</v>
      </c>
      <c r="I406">
        <v>7.5</v>
      </c>
      <c r="J406">
        <v>60</v>
      </c>
      <c r="K406" t="s">
        <v>13</v>
      </c>
      <c r="L406" t="s">
        <v>19</v>
      </c>
    </row>
    <row r="407" spans="1:12" x14ac:dyDescent="0.2">
      <c r="A407">
        <v>23008</v>
      </c>
      <c r="B407">
        <v>42</v>
      </c>
      <c r="C407" t="s">
        <v>12</v>
      </c>
      <c r="D407">
        <v>2871.78</v>
      </c>
      <c r="E407">
        <v>37851.199999999997</v>
      </c>
      <c r="F407">
        <v>12</v>
      </c>
      <c r="G407">
        <v>19.21</v>
      </c>
      <c r="H407">
        <v>0</v>
      </c>
      <c r="I407">
        <v>4.7</v>
      </c>
      <c r="K407" t="s">
        <v>20</v>
      </c>
      <c r="L407" t="s">
        <v>14</v>
      </c>
    </row>
    <row r="408" spans="1:12" x14ac:dyDescent="0.2">
      <c r="A408">
        <v>22891</v>
      </c>
      <c r="B408">
        <v>51</v>
      </c>
      <c r="C408" t="s">
        <v>17</v>
      </c>
      <c r="D408">
        <v>3123.88</v>
      </c>
      <c r="E408">
        <v>21558.99</v>
      </c>
      <c r="F408">
        <v>60</v>
      </c>
      <c r="G408">
        <v>13.77</v>
      </c>
      <c r="H408">
        <v>3</v>
      </c>
      <c r="I408">
        <v>3.2</v>
      </c>
      <c r="J408">
        <v>30</v>
      </c>
      <c r="K408" t="s">
        <v>13</v>
      </c>
      <c r="L408" t="s">
        <v>14</v>
      </c>
    </row>
    <row r="409" spans="1:12" x14ac:dyDescent="0.2">
      <c r="A409">
        <v>22885</v>
      </c>
      <c r="B409">
        <v>64</v>
      </c>
      <c r="C409" t="s">
        <v>26</v>
      </c>
      <c r="D409">
        <v>6479.86</v>
      </c>
      <c r="E409">
        <v>8633.41</v>
      </c>
      <c r="F409">
        <v>48</v>
      </c>
      <c r="G409">
        <v>18.27</v>
      </c>
      <c r="H409">
        <v>2</v>
      </c>
      <c r="I409">
        <v>14.4</v>
      </c>
      <c r="J409">
        <v>0</v>
      </c>
      <c r="K409" t="s">
        <v>24</v>
      </c>
      <c r="L409" t="s">
        <v>19</v>
      </c>
    </row>
    <row r="410" spans="1:12" x14ac:dyDescent="0.2">
      <c r="A410">
        <v>23268</v>
      </c>
      <c r="B410">
        <v>26</v>
      </c>
      <c r="C410" t="s">
        <v>26</v>
      </c>
      <c r="D410">
        <v>7402.13</v>
      </c>
      <c r="E410">
        <v>20756.900000000001</v>
      </c>
      <c r="F410">
        <v>24</v>
      </c>
      <c r="G410">
        <v>29.66</v>
      </c>
      <c r="H410">
        <v>0</v>
      </c>
      <c r="I410">
        <v>10.1</v>
      </c>
      <c r="J410">
        <v>15</v>
      </c>
      <c r="K410" t="s">
        <v>13</v>
      </c>
      <c r="L410" t="s">
        <v>22</v>
      </c>
    </row>
    <row r="411" spans="1:12" x14ac:dyDescent="0.2">
      <c r="A411">
        <v>23589</v>
      </c>
      <c r="B411">
        <v>48</v>
      </c>
      <c r="C411" t="s">
        <v>23</v>
      </c>
      <c r="D411">
        <v>1873.02</v>
      </c>
      <c r="E411">
        <v>17986.27</v>
      </c>
      <c r="F411">
        <v>60</v>
      </c>
      <c r="G411">
        <v>15.76</v>
      </c>
      <c r="H411">
        <v>3</v>
      </c>
      <c r="I411">
        <v>12.3</v>
      </c>
      <c r="J411">
        <v>60</v>
      </c>
      <c r="K411" t="s">
        <v>20</v>
      </c>
      <c r="L411" t="s">
        <v>25</v>
      </c>
    </row>
    <row r="412" spans="1:12" x14ac:dyDescent="0.2">
      <c r="A412">
        <v>24331</v>
      </c>
      <c r="B412">
        <v>59</v>
      </c>
      <c r="C412" t="s">
        <v>17</v>
      </c>
      <c r="D412">
        <v>4590.3100000000004</v>
      </c>
      <c r="E412">
        <v>20437.55</v>
      </c>
      <c r="F412">
        <v>48</v>
      </c>
      <c r="G412">
        <v>18.03</v>
      </c>
      <c r="H412">
        <v>3</v>
      </c>
      <c r="I412">
        <v>10.199999999999999</v>
      </c>
      <c r="J412">
        <v>0</v>
      </c>
      <c r="K412" t="s">
        <v>13</v>
      </c>
      <c r="L412" t="s">
        <v>14</v>
      </c>
    </row>
    <row r="413" spans="1:12" x14ac:dyDescent="0.2">
      <c r="A413">
        <v>22875</v>
      </c>
      <c r="B413">
        <v>26</v>
      </c>
      <c r="C413" t="s">
        <v>17</v>
      </c>
      <c r="D413">
        <v>5068.3999999999996</v>
      </c>
      <c r="E413">
        <v>36255.879999999997</v>
      </c>
      <c r="F413">
        <v>36</v>
      </c>
      <c r="G413">
        <v>13.44</v>
      </c>
      <c r="H413">
        <v>3</v>
      </c>
      <c r="I413">
        <v>-1.3</v>
      </c>
      <c r="J413">
        <v>60</v>
      </c>
      <c r="K413" t="s">
        <v>20</v>
      </c>
      <c r="L413" t="s">
        <v>22</v>
      </c>
    </row>
    <row r="414" spans="1:12" x14ac:dyDescent="0.2">
      <c r="A414">
        <v>24721</v>
      </c>
      <c r="B414">
        <v>34</v>
      </c>
      <c r="C414" t="s">
        <v>27</v>
      </c>
      <c r="D414">
        <v>6696.94</v>
      </c>
      <c r="E414">
        <v>22630.880000000001</v>
      </c>
      <c r="F414">
        <v>36</v>
      </c>
      <c r="G414">
        <v>14.2</v>
      </c>
      <c r="H414">
        <v>3</v>
      </c>
      <c r="I414">
        <v>9.4</v>
      </c>
      <c r="J414">
        <v>15</v>
      </c>
      <c r="K414" t="s">
        <v>24</v>
      </c>
      <c r="L414" t="s">
        <v>19</v>
      </c>
    </row>
    <row r="415" spans="1:12" x14ac:dyDescent="0.2">
      <c r="A415">
        <v>25049</v>
      </c>
      <c r="B415">
        <v>24</v>
      </c>
      <c r="C415" t="s">
        <v>27</v>
      </c>
      <c r="D415">
        <v>4993.46</v>
      </c>
      <c r="E415">
        <v>16819.95</v>
      </c>
      <c r="F415">
        <v>48</v>
      </c>
      <c r="G415">
        <v>13.33</v>
      </c>
      <c r="I415">
        <v>13.2</v>
      </c>
      <c r="J415">
        <v>0</v>
      </c>
      <c r="K415" t="s">
        <v>13</v>
      </c>
      <c r="L415" t="s">
        <v>14</v>
      </c>
    </row>
    <row r="416" spans="1:12" x14ac:dyDescent="0.2">
      <c r="A416">
        <v>21867</v>
      </c>
      <c r="B416">
        <v>40</v>
      </c>
      <c r="C416" t="s">
        <v>21</v>
      </c>
      <c r="D416">
        <v>7100.31</v>
      </c>
      <c r="E416">
        <v>21465.93</v>
      </c>
      <c r="F416">
        <v>36</v>
      </c>
      <c r="G416">
        <v>29.1</v>
      </c>
      <c r="H416">
        <v>3</v>
      </c>
      <c r="I416">
        <v>0.4</v>
      </c>
      <c r="J416">
        <v>0</v>
      </c>
      <c r="K416" t="s">
        <v>24</v>
      </c>
      <c r="L416" t="s">
        <v>25</v>
      </c>
    </row>
    <row r="417" spans="1:12" x14ac:dyDescent="0.2">
      <c r="A417">
        <v>23145</v>
      </c>
      <c r="B417">
        <v>18</v>
      </c>
      <c r="C417" t="s">
        <v>12</v>
      </c>
      <c r="D417">
        <v>4774.72</v>
      </c>
      <c r="E417">
        <v>21862.400000000001</v>
      </c>
      <c r="F417">
        <v>6</v>
      </c>
      <c r="G417">
        <v>15.88</v>
      </c>
      <c r="H417">
        <v>4</v>
      </c>
      <c r="I417">
        <v>11.5</v>
      </c>
      <c r="J417">
        <v>0</v>
      </c>
      <c r="K417" t="s">
        <v>20</v>
      </c>
      <c r="L417" t="s">
        <v>25</v>
      </c>
    </row>
    <row r="418" spans="1:12" x14ac:dyDescent="0.2">
      <c r="A418">
        <v>21886</v>
      </c>
      <c r="B418">
        <v>30</v>
      </c>
      <c r="C418" t="s">
        <v>21</v>
      </c>
      <c r="D418">
        <v>7387.74</v>
      </c>
      <c r="E418">
        <v>8282.25</v>
      </c>
      <c r="F418">
        <v>18</v>
      </c>
      <c r="G418">
        <v>22.84</v>
      </c>
      <c r="H418">
        <v>0</v>
      </c>
      <c r="I418">
        <v>0.3</v>
      </c>
      <c r="J418">
        <v>30</v>
      </c>
      <c r="K418" t="s">
        <v>24</v>
      </c>
      <c r="L418" t="s">
        <v>19</v>
      </c>
    </row>
    <row r="419" spans="1:12" x14ac:dyDescent="0.2">
      <c r="A419">
        <v>23585</v>
      </c>
      <c r="B419">
        <v>31</v>
      </c>
      <c r="C419" t="s">
        <v>12</v>
      </c>
      <c r="D419">
        <v>6455.55</v>
      </c>
      <c r="E419">
        <v>19999.05</v>
      </c>
      <c r="F419">
        <v>12</v>
      </c>
      <c r="G419">
        <v>21.68</v>
      </c>
      <c r="H419">
        <v>3</v>
      </c>
      <c r="I419">
        <v>4.0999999999999996</v>
      </c>
      <c r="J419">
        <v>90</v>
      </c>
      <c r="K419" t="s">
        <v>13</v>
      </c>
      <c r="L419" t="s">
        <v>16</v>
      </c>
    </row>
    <row r="420" spans="1:12" x14ac:dyDescent="0.2">
      <c r="A420">
        <v>23765</v>
      </c>
      <c r="B420">
        <v>64</v>
      </c>
      <c r="C420" t="s">
        <v>26</v>
      </c>
      <c r="D420">
        <v>5917.34</v>
      </c>
      <c r="E420">
        <v>6137.21</v>
      </c>
      <c r="F420">
        <v>24</v>
      </c>
      <c r="G420">
        <v>26.6</v>
      </c>
      <c r="I420">
        <v>6.1</v>
      </c>
      <c r="J420">
        <v>60</v>
      </c>
      <c r="K420" t="s">
        <v>13</v>
      </c>
      <c r="L420" t="s">
        <v>19</v>
      </c>
    </row>
    <row r="421" spans="1:12" x14ac:dyDescent="0.2">
      <c r="A421">
        <v>24722</v>
      </c>
      <c r="B421">
        <v>59</v>
      </c>
      <c r="C421" t="s">
        <v>26</v>
      </c>
      <c r="D421">
        <v>7361.49</v>
      </c>
      <c r="E421">
        <v>8892.58</v>
      </c>
      <c r="F421">
        <v>60</v>
      </c>
      <c r="G421">
        <v>20.350000000000001</v>
      </c>
      <c r="H421">
        <v>4</v>
      </c>
      <c r="I421">
        <v>3.3</v>
      </c>
      <c r="J421">
        <v>0</v>
      </c>
      <c r="K421" t="s">
        <v>15</v>
      </c>
      <c r="L421" t="s">
        <v>16</v>
      </c>
    </row>
    <row r="422" spans="1:12" x14ac:dyDescent="0.2">
      <c r="A422">
        <v>21557</v>
      </c>
      <c r="B422">
        <v>46</v>
      </c>
      <c r="C422" t="s">
        <v>23</v>
      </c>
      <c r="D422">
        <v>8634.24</v>
      </c>
      <c r="E422">
        <v>27214.95</v>
      </c>
      <c r="F422">
        <v>12</v>
      </c>
      <c r="G422">
        <v>20.62</v>
      </c>
      <c r="H422">
        <v>2</v>
      </c>
      <c r="I422">
        <v>2.1</v>
      </c>
      <c r="J422">
        <v>0</v>
      </c>
      <c r="K422" t="s">
        <v>15</v>
      </c>
      <c r="L422" t="s">
        <v>25</v>
      </c>
    </row>
    <row r="423" spans="1:12" x14ac:dyDescent="0.2">
      <c r="A423">
        <v>21661</v>
      </c>
      <c r="B423">
        <v>57</v>
      </c>
      <c r="C423" t="s">
        <v>27</v>
      </c>
      <c r="D423">
        <v>4031.39</v>
      </c>
      <c r="E423">
        <v>19875.97</v>
      </c>
      <c r="F423">
        <v>36</v>
      </c>
      <c r="G423">
        <v>25.31</v>
      </c>
      <c r="H423">
        <v>3</v>
      </c>
      <c r="I423">
        <v>4.3</v>
      </c>
      <c r="J423">
        <v>0</v>
      </c>
      <c r="K423" t="s">
        <v>24</v>
      </c>
      <c r="L423" t="s">
        <v>19</v>
      </c>
    </row>
    <row r="424" spans="1:12" x14ac:dyDescent="0.2">
      <c r="A424">
        <v>25598</v>
      </c>
      <c r="B424">
        <v>28</v>
      </c>
      <c r="C424" t="s">
        <v>27</v>
      </c>
      <c r="D424">
        <v>5077.8599999999997</v>
      </c>
      <c r="E424">
        <v>19755.12</v>
      </c>
      <c r="F424">
        <v>18</v>
      </c>
      <c r="G424">
        <v>24.2</v>
      </c>
      <c r="I424">
        <v>0.3</v>
      </c>
      <c r="J424">
        <v>15</v>
      </c>
      <c r="K424" t="s">
        <v>20</v>
      </c>
      <c r="L424" t="s">
        <v>14</v>
      </c>
    </row>
    <row r="425" spans="1:12" x14ac:dyDescent="0.2">
      <c r="A425">
        <v>21568</v>
      </c>
      <c r="B425">
        <v>18</v>
      </c>
      <c r="C425" t="s">
        <v>12</v>
      </c>
      <c r="D425">
        <v>6897.45</v>
      </c>
      <c r="E425">
        <v>20819.79</v>
      </c>
      <c r="F425">
        <v>60</v>
      </c>
      <c r="G425">
        <v>22.16</v>
      </c>
      <c r="H425">
        <v>2</v>
      </c>
      <c r="I425">
        <v>4.7</v>
      </c>
      <c r="J425">
        <v>15</v>
      </c>
      <c r="K425" t="s">
        <v>15</v>
      </c>
      <c r="L425" t="s">
        <v>14</v>
      </c>
    </row>
    <row r="426" spans="1:12" x14ac:dyDescent="0.2">
      <c r="A426">
        <v>23441</v>
      </c>
      <c r="B426">
        <v>23</v>
      </c>
      <c r="C426" t="s">
        <v>17</v>
      </c>
      <c r="D426">
        <v>6698.04</v>
      </c>
      <c r="E426">
        <v>31121.49</v>
      </c>
      <c r="F426">
        <v>18</v>
      </c>
      <c r="G426">
        <v>21.54</v>
      </c>
      <c r="H426">
        <v>3</v>
      </c>
      <c r="I426">
        <v>8.1999999999999993</v>
      </c>
      <c r="J426">
        <v>0</v>
      </c>
      <c r="K426" t="s">
        <v>15</v>
      </c>
      <c r="L426" t="s">
        <v>25</v>
      </c>
    </row>
    <row r="427" spans="1:12" x14ac:dyDescent="0.2">
      <c r="A427">
        <v>25682</v>
      </c>
      <c r="B427">
        <v>49</v>
      </c>
      <c r="C427" t="s">
        <v>21</v>
      </c>
      <c r="D427">
        <v>2871</v>
      </c>
      <c r="E427">
        <v>6242.95</v>
      </c>
      <c r="F427">
        <v>12</v>
      </c>
      <c r="G427">
        <v>7.97</v>
      </c>
      <c r="H427">
        <v>3</v>
      </c>
      <c r="I427">
        <v>2.2000000000000002</v>
      </c>
      <c r="J427">
        <v>15</v>
      </c>
      <c r="K427" t="s">
        <v>18</v>
      </c>
      <c r="L427" t="s">
        <v>25</v>
      </c>
    </row>
    <row r="428" spans="1:12" x14ac:dyDescent="0.2">
      <c r="A428">
        <v>24331</v>
      </c>
      <c r="B428">
        <v>60</v>
      </c>
      <c r="C428" t="s">
        <v>27</v>
      </c>
      <c r="D428">
        <v>6451.37</v>
      </c>
      <c r="E428">
        <v>24530.42</v>
      </c>
      <c r="F428">
        <v>60</v>
      </c>
      <c r="G428">
        <v>14.99</v>
      </c>
      <c r="H428">
        <v>3</v>
      </c>
      <c r="I428">
        <v>7</v>
      </c>
      <c r="J428">
        <v>120</v>
      </c>
      <c r="K428" t="s">
        <v>24</v>
      </c>
      <c r="L428" t="s">
        <v>14</v>
      </c>
    </row>
    <row r="429" spans="1:12" x14ac:dyDescent="0.2">
      <c r="A429">
        <v>24211</v>
      </c>
      <c r="B429">
        <v>33</v>
      </c>
      <c r="C429" t="s">
        <v>21</v>
      </c>
      <c r="D429">
        <v>4480.6899999999996</v>
      </c>
      <c r="E429">
        <v>15106.58</v>
      </c>
      <c r="F429">
        <v>18</v>
      </c>
      <c r="G429">
        <v>55</v>
      </c>
      <c r="H429">
        <v>0</v>
      </c>
      <c r="I429">
        <v>7</v>
      </c>
      <c r="J429">
        <v>90</v>
      </c>
      <c r="K429" t="s">
        <v>18</v>
      </c>
      <c r="L429" t="s">
        <v>19</v>
      </c>
    </row>
    <row r="430" spans="1:12" x14ac:dyDescent="0.2">
      <c r="A430">
        <v>25953</v>
      </c>
      <c r="B430">
        <v>37</v>
      </c>
      <c r="C430" t="s">
        <v>21</v>
      </c>
      <c r="D430">
        <v>2255.73</v>
      </c>
      <c r="E430">
        <v>22766.2</v>
      </c>
      <c r="F430">
        <v>18</v>
      </c>
      <c r="G430">
        <v>14.68</v>
      </c>
      <c r="H430">
        <v>1</v>
      </c>
      <c r="I430">
        <v>2.8</v>
      </c>
      <c r="J430">
        <v>0</v>
      </c>
      <c r="K430" t="s">
        <v>15</v>
      </c>
      <c r="L430" t="s">
        <v>22</v>
      </c>
    </row>
    <row r="431" spans="1:12" x14ac:dyDescent="0.2">
      <c r="A431">
        <v>22211</v>
      </c>
      <c r="B431">
        <v>51</v>
      </c>
      <c r="C431" t="s">
        <v>27</v>
      </c>
      <c r="D431">
        <v>6192.4</v>
      </c>
      <c r="E431">
        <v>31133.279999999999</v>
      </c>
      <c r="F431">
        <v>6</v>
      </c>
      <c r="G431">
        <v>22.59</v>
      </c>
      <c r="H431">
        <v>0</v>
      </c>
      <c r="I431">
        <v>11.4</v>
      </c>
      <c r="J431">
        <v>0</v>
      </c>
      <c r="K431" t="s">
        <v>24</v>
      </c>
      <c r="L431" t="s">
        <v>19</v>
      </c>
    </row>
    <row r="432" spans="1:12" x14ac:dyDescent="0.2">
      <c r="A432">
        <v>20085</v>
      </c>
      <c r="B432">
        <v>47</v>
      </c>
      <c r="C432" t="s">
        <v>21</v>
      </c>
      <c r="D432">
        <v>4800.59</v>
      </c>
      <c r="F432">
        <v>48</v>
      </c>
      <c r="G432">
        <v>16.61</v>
      </c>
      <c r="H432">
        <v>2</v>
      </c>
      <c r="I432">
        <v>2.5</v>
      </c>
      <c r="J432">
        <v>0</v>
      </c>
      <c r="K432" t="s">
        <v>18</v>
      </c>
      <c r="L432" t="s">
        <v>19</v>
      </c>
    </row>
    <row r="433" spans="1:12" x14ac:dyDescent="0.2">
      <c r="A433">
        <v>21104</v>
      </c>
      <c r="B433">
        <v>29</v>
      </c>
      <c r="C433" t="s">
        <v>17</v>
      </c>
      <c r="D433">
        <v>7179.19</v>
      </c>
      <c r="E433">
        <v>34283.360000000001</v>
      </c>
      <c r="F433">
        <v>60</v>
      </c>
      <c r="G433">
        <v>18.11</v>
      </c>
      <c r="H433">
        <v>4</v>
      </c>
      <c r="I433">
        <v>6.4</v>
      </c>
      <c r="J433">
        <v>15</v>
      </c>
      <c r="K433" t="s">
        <v>13</v>
      </c>
      <c r="L433" t="s">
        <v>16</v>
      </c>
    </row>
    <row r="434" spans="1:12" x14ac:dyDescent="0.2">
      <c r="A434">
        <v>24498</v>
      </c>
      <c r="B434">
        <v>39</v>
      </c>
      <c r="C434" t="s">
        <v>26</v>
      </c>
      <c r="D434">
        <v>9913.34</v>
      </c>
      <c r="E434">
        <v>25300.89</v>
      </c>
      <c r="F434">
        <v>18</v>
      </c>
      <c r="G434">
        <v>23.17</v>
      </c>
      <c r="I434">
        <v>2.2000000000000002</v>
      </c>
      <c r="J434">
        <v>30</v>
      </c>
      <c r="K434" t="s">
        <v>15</v>
      </c>
      <c r="L434" t="s">
        <v>16</v>
      </c>
    </row>
    <row r="435" spans="1:12" x14ac:dyDescent="0.2">
      <c r="A435">
        <v>22275</v>
      </c>
      <c r="B435">
        <v>55</v>
      </c>
      <c r="C435" t="s">
        <v>26</v>
      </c>
      <c r="D435">
        <v>8492.3700000000008</v>
      </c>
      <c r="E435">
        <v>30732.2</v>
      </c>
      <c r="F435">
        <v>12</v>
      </c>
      <c r="G435">
        <v>19.86</v>
      </c>
      <c r="I435">
        <v>8.5</v>
      </c>
      <c r="J435">
        <v>60</v>
      </c>
      <c r="K435" t="s">
        <v>20</v>
      </c>
      <c r="L435" t="s">
        <v>14</v>
      </c>
    </row>
    <row r="436" spans="1:12" x14ac:dyDescent="0.2">
      <c r="A436">
        <v>25240</v>
      </c>
      <c r="B436">
        <v>37</v>
      </c>
      <c r="C436" t="s">
        <v>26</v>
      </c>
      <c r="D436">
        <v>6936.42</v>
      </c>
      <c r="E436">
        <v>28263.62</v>
      </c>
      <c r="F436">
        <v>6</v>
      </c>
      <c r="G436">
        <v>26.17</v>
      </c>
      <c r="H436">
        <v>0</v>
      </c>
      <c r="I436">
        <v>1.6</v>
      </c>
      <c r="J436">
        <v>30</v>
      </c>
      <c r="K436" t="s">
        <v>15</v>
      </c>
      <c r="L436" t="s">
        <v>14</v>
      </c>
    </row>
    <row r="437" spans="1:12" x14ac:dyDescent="0.2">
      <c r="A437">
        <v>21143</v>
      </c>
      <c r="B437">
        <v>44</v>
      </c>
      <c r="C437" t="s">
        <v>23</v>
      </c>
      <c r="D437">
        <v>2880.42</v>
      </c>
      <c r="E437">
        <v>25097.79</v>
      </c>
      <c r="F437">
        <v>18</v>
      </c>
      <c r="G437">
        <v>18.18</v>
      </c>
      <c r="H437">
        <v>0</v>
      </c>
      <c r="I437">
        <v>8.1</v>
      </c>
      <c r="J437">
        <v>0</v>
      </c>
      <c r="K437" t="s">
        <v>15</v>
      </c>
      <c r="L437" t="s">
        <v>22</v>
      </c>
    </row>
    <row r="438" spans="1:12" x14ac:dyDescent="0.2">
      <c r="A438">
        <v>23876</v>
      </c>
      <c r="B438">
        <v>44</v>
      </c>
      <c r="C438" t="s">
        <v>23</v>
      </c>
      <c r="D438">
        <v>2943.08</v>
      </c>
      <c r="E438">
        <v>4221.09</v>
      </c>
      <c r="F438">
        <v>6</v>
      </c>
      <c r="G438">
        <v>21.75</v>
      </c>
      <c r="H438">
        <v>2</v>
      </c>
      <c r="I438">
        <v>10.6</v>
      </c>
      <c r="J438">
        <v>60</v>
      </c>
      <c r="K438" t="s">
        <v>15</v>
      </c>
      <c r="L438" t="s">
        <v>25</v>
      </c>
    </row>
    <row r="439" spans="1:12" x14ac:dyDescent="0.2">
      <c r="A439">
        <v>20854</v>
      </c>
      <c r="B439">
        <v>24</v>
      </c>
      <c r="C439" t="s">
        <v>26</v>
      </c>
      <c r="D439">
        <v>1369.12</v>
      </c>
      <c r="E439">
        <v>26403.49</v>
      </c>
      <c r="F439">
        <v>60</v>
      </c>
      <c r="G439">
        <v>55</v>
      </c>
      <c r="H439">
        <v>2</v>
      </c>
      <c r="I439">
        <v>5</v>
      </c>
      <c r="J439">
        <v>0</v>
      </c>
      <c r="K439" t="s">
        <v>20</v>
      </c>
      <c r="L439" t="s">
        <v>16</v>
      </c>
    </row>
    <row r="440" spans="1:12" x14ac:dyDescent="0.2">
      <c r="A440">
        <v>20999</v>
      </c>
      <c r="B440">
        <v>42</v>
      </c>
      <c r="C440" t="s">
        <v>17</v>
      </c>
      <c r="D440">
        <v>8241.4699999999993</v>
      </c>
      <c r="E440">
        <v>23610.03</v>
      </c>
      <c r="F440">
        <v>24</v>
      </c>
      <c r="G440">
        <v>22.85</v>
      </c>
      <c r="H440">
        <v>2</v>
      </c>
      <c r="I440">
        <v>6.4</v>
      </c>
      <c r="J440">
        <v>0</v>
      </c>
      <c r="K440" t="s">
        <v>24</v>
      </c>
      <c r="L440" t="s">
        <v>16</v>
      </c>
    </row>
    <row r="441" spans="1:12" x14ac:dyDescent="0.2">
      <c r="A441">
        <v>23246</v>
      </c>
      <c r="B441">
        <v>49</v>
      </c>
      <c r="C441" t="s">
        <v>27</v>
      </c>
      <c r="D441">
        <v>5746.28</v>
      </c>
      <c r="E441">
        <v>23591.15</v>
      </c>
      <c r="F441">
        <v>18</v>
      </c>
      <c r="G441">
        <v>28.58</v>
      </c>
      <c r="I441">
        <v>5.9</v>
      </c>
      <c r="J441">
        <v>15</v>
      </c>
      <c r="K441" t="s">
        <v>15</v>
      </c>
      <c r="L441" t="s">
        <v>22</v>
      </c>
    </row>
    <row r="442" spans="1:12" x14ac:dyDescent="0.2">
      <c r="A442">
        <v>23929</v>
      </c>
      <c r="B442">
        <v>38</v>
      </c>
      <c r="C442" t="s">
        <v>21</v>
      </c>
      <c r="D442">
        <v>6999.13</v>
      </c>
      <c r="E442">
        <v>2494.88</v>
      </c>
      <c r="F442">
        <v>18</v>
      </c>
      <c r="G442">
        <v>31.9</v>
      </c>
      <c r="H442">
        <v>4</v>
      </c>
      <c r="I442">
        <v>3.7</v>
      </c>
      <c r="J442">
        <v>30</v>
      </c>
      <c r="K442" t="s">
        <v>15</v>
      </c>
      <c r="L442" t="s">
        <v>14</v>
      </c>
    </row>
    <row r="443" spans="1:12" x14ac:dyDescent="0.2">
      <c r="A443">
        <v>21469</v>
      </c>
      <c r="B443">
        <v>41</v>
      </c>
      <c r="C443" t="s">
        <v>17</v>
      </c>
      <c r="D443">
        <v>5013.6899999999996</v>
      </c>
      <c r="E443">
        <v>20706.7</v>
      </c>
      <c r="F443">
        <v>6</v>
      </c>
      <c r="G443">
        <v>19.97</v>
      </c>
      <c r="H443">
        <v>1</v>
      </c>
      <c r="I443">
        <v>4</v>
      </c>
      <c r="J443">
        <v>90</v>
      </c>
      <c r="K443" t="s">
        <v>18</v>
      </c>
      <c r="L443" t="s">
        <v>22</v>
      </c>
    </row>
    <row r="444" spans="1:12" x14ac:dyDescent="0.2">
      <c r="A444">
        <v>22263</v>
      </c>
      <c r="B444">
        <v>62</v>
      </c>
      <c r="C444" t="s">
        <v>17</v>
      </c>
      <c r="D444">
        <v>4910.91</v>
      </c>
      <c r="E444">
        <v>18960.63</v>
      </c>
      <c r="F444">
        <v>18</v>
      </c>
      <c r="G444">
        <v>12.77</v>
      </c>
      <c r="I444">
        <v>11.3</v>
      </c>
      <c r="J444">
        <v>60</v>
      </c>
      <c r="K444" t="s">
        <v>24</v>
      </c>
      <c r="L444" t="s">
        <v>25</v>
      </c>
    </row>
    <row r="445" spans="1:12" x14ac:dyDescent="0.2">
      <c r="A445">
        <v>21501</v>
      </c>
      <c r="B445">
        <v>75</v>
      </c>
      <c r="C445" t="s">
        <v>27</v>
      </c>
      <c r="D445">
        <v>4017.83</v>
      </c>
      <c r="E445">
        <v>24875.01</v>
      </c>
      <c r="F445">
        <v>18</v>
      </c>
      <c r="G445">
        <v>16.55</v>
      </c>
      <c r="H445">
        <v>1</v>
      </c>
      <c r="I445">
        <v>5.7</v>
      </c>
      <c r="J445">
        <v>15</v>
      </c>
      <c r="K445" t="s">
        <v>24</v>
      </c>
      <c r="L445" t="s">
        <v>25</v>
      </c>
    </row>
    <row r="446" spans="1:12" x14ac:dyDescent="0.2">
      <c r="A446">
        <v>22292</v>
      </c>
      <c r="B446">
        <v>26</v>
      </c>
      <c r="C446" t="s">
        <v>27</v>
      </c>
      <c r="D446">
        <v>5819.05</v>
      </c>
      <c r="E446">
        <v>26294.19</v>
      </c>
      <c r="F446">
        <v>12</v>
      </c>
      <c r="G446">
        <v>16.66</v>
      </c>
      <c r="H446">
        <v>4</v>
      </c>
      <c r="I446">
        <v>9.3000000000000007</v>
      </c>
      <c r="J446">
        <v>0</v>
      </c>
      <c r="K446" t="s">
        <v>20</v>
      </c>
      <c r="L446" t="s">
        <v>25</v>
      </c>
    </row>
    <row r="447" spans="1:12" x14ac:dyDescent="0.2">
      <c r="A447">
        <v>23980</v>
      </c>
      <c r="B447">
        <v>40</v>
      </c>
      <c r="C447" t="s">
        <v>23</v>
      </c>
      <c r="D447">
        <v>3084.64</v>
      </c>
      <c r="E447">
        <v>32380.94</v>
      </c>
      <c r="F447">
        <v>36</v>
      </c>
      <c r="G447">
        <v>16.760000000000002</v>
      </c>
      <c r="H447">
        <v>1</v>
      </c>
      <c r="I447">
        <v>8</v>
      </c>
      <c r="K447" t="s">
        <v>13</v>
      </c>
      <c r="L447" t="s">
        <v>25</v>
      </c>
    </row>
    <row r="448" spans="1:12" x14ac:dyDescent="0.2">
      <c r="A448">
        <v>21401</v>
      </c>
      <c r="B448">
        <v>53</v>
      </c>
      <c r="C448" t="s">
        <v>26</v>
      </c>
      <c r="D448">
        <v>2961.64</v>
      </c>
      <c r="E448">
        <v>19463.689999999999</v>
      </c>
      <c r="F448">
        <v>12</v>
      </c>
      <c r="G448">
        <v>17.420000000000002</v>
      </c>
      <c r="H448">
        <v>4</v>
      </c>
      <c r="I448">
        <v>13.8</v>
      </c>
      <c r="J448">
        <v>15</v>
      </c>
      <c r="K448" t="s">
        <v>20</v>
      </c>
      <c r="L448" t="s">
        <v>19</v>
      </c>
    </row>
    <row r="449" spans="1:12" x14ac:dyDescent="0.2">
      <c r="A449">
        <v>25132</v>
      </c>
      <c r="B449">
        <v>55</v>
      </c>
      <c r="C449" t="s">
        <v>23</v>
      </c>
      <c r="D449">
        <v>3959.74</v>
      </c>
      <c r="E449">
        <v>24412.84</v>
      </c>
      <c r="F449">
        <v>36</v>
      </c>
      <c r="G449">
        <v>19.829999999999998</v>
      </c>
      <c r="H449">
        <v>3</v>
      </c>
      <c r="I449">
        <v>6.7</v>
      </c>
      <c r="J449">
        <v>30</v>
      </c>
      <c r="K449" t="s">
        <v>24</v>
      </c>
      <c r="L449" t="s">
        <v>16</v>
      </c>
    </row>
    <row r="450" spans="1:12" x14ac:dyDescent="0.2">
      <c r="A450">
        <v>22455</v>
      </c>
      <c r="B450">
        <v>60</v>
      </c>
      <c r="C450" t="s">
        <v>17</v>
      </c>
      <c r="D450">
        <v>859.6</v>
      </c>
      <c r="E450">
        <v>6292.82</v>
      </c>
      <c r="F450">
        <v>12</v>
      </c>
      <c r="G450">
        <v>13.39</v>
      </c>
      <c r="H450">
        <v>0</v>
      </c>
      <c r="I450">
        <v>1.8</v>
      </c>
      <c r="J450">
        <v>0</v>
      </c>
      <c r="K450" t="s">
        <v>15</v>
      </c>
      <c r="L450" t="s">
        <v>16</v>
      </c>
    </row>
    <row r="451" spans="1:12" x14ac:dyDescent="0.2">
      <c r="A451">
        <v>25021</v>
      </c>
      <c r="B451">
        <v>75</v>
      </c>
      <c r="C451" t="s">
        <v>23</v>
      </c>
      <c r="D451">
        <v>8903.4</v>
      </c>
      <c r="E451">
        <v>18009.41</v>
      </c>
      <c r="F451">
        <v>36</v>
      </c>
      <c r="G451">
        <v>19.03</v>
      </c>
      <c r="H451">
        <v>0</v>
      </c>
      <c r="I451">
        <v>10.8</v>
      </c>
      <c r="J451">
        <v>15</v>
      </c>
      <c r="K451" t="s">
        <v>13</v>
      </c>
      <c r="L451" t="s">
        <v>19</v>
      </c>
    </row>
    <row r="452" spans="1:12" x14ac:dyDescent="0.2">
      <c r="A452">
        <v>20835</v>
      </c>
      <c r="B452">
        <v>56</v>
      </c>
      <c r="C452" t="s">
        <v>23</v>
      </c>
      <c r="D452">
        <v>7351.97</v>
      </c>
      <c r="E452">
        <v>22937.38</v>
      </c>
      <c r="F452">
        <v>24</v>
      </c>
      <c r="G452">
        <v>23.12</v>
      </c>
      <c r="I452">
        <v>6.5</v>
      </c>
      <c r="J452">
        <v>0</v>
      </c>
      <c r="K452" t="s">
        <v>20</v>
      </c>
      <c r="L452" t="s">
        <v>19</v>
      </c>
    </row>
    <row r="453" spans="1:12" x14ac:dyDescent="0.2">
      <c r="A453">
        <v>20094</v>
      </c>
      <c r="B453">
        <v>49</v>
      </c>
      <c r="C453" t="s">
        <v>27</v>
      </c>
      <c r="D453">
        <v>1594.56</v>
      </c>
      <c r="E453">
        <v>9314.9500000000007</v>
      </c>
      <c r="F453">
        <v>24</v>
      </c>
      <c r="G453">
        <v>15.76</v>
      </c>
      <c r="I453">
        <v>-2.2999999999999998</v>
      </c>
      <c r="J453">
        <v>30</v>
      </c>
      <c r="K453" t="s">
        <v>18</v>
      </c>
      <c r="L453" t="s">
        <v>16</v>
      </c>
    </row>
    <row r="454" spans="1:12" x14ac:dyDescent="0.2">
      <c r="A454">
        <v>23432</v>
      </c>
      <c r="B454">
        <v>35</v>
      </c>
      <c r="C454" t="s">
        <v>23</v>
      </c>
      <c r="D454">
        <v>5989.11</v>
      </c>
      <c r="E454">
        <v>1786.83</v>
      </c>
      <c r="F454">
        <v>18</v>
      </c>
      <c r="G454">
        <v>20.440000000000001</v>
      </c>
      <c r="H454">
        <v>0</v>
      </c>
      <c r="I454">
        <v>3.3</v>
      </c>
      <c r="J454">
        <v>15</v>
      </c>
      <c r="K454" t="s">
        <v>24</v>
      </c>
      <c r="L454" t="s">
        <v>16</v>
      </c>
    </row>
    <row r="455" spans="1:12" x14ac:dyDescent="0.2">
      <c r="A455">
        <v>24407</v>
      </c>
      <c r="B455">
        <v>31</v>
      </c>
      <c r="C455" t="s">
        <v>26</v>
      </c>
      <c r="D455">
        <v>1863.7</v>
      </c>
      <c r="F455">
        <v>60</v>
      </c>
      <c r="G455">
        <v>20.02</v>
      </c>
      <c r="I455">
        <v>3.5</v>
      </c>
      <c r="J455">
        <v>0</v>
      </c>
      <c r="K455" t="s">
        <v>18</v>
      </c>
      <c r="L455" t="s">
        <v>25</v>
      </c>
    </row>
    <row r="456" spans="1:12" x14ac:dyDescent="0.2">
      <c r="A456">
        <v>20683</v>
      </c>
      <c r="B456">
        <v>25</v>
      </c>
      <c r="C456" t="s">
        <v>12</v>
      </c>
      <c r="D456">
        <v>3335.83</v>
      </c>
      <c r="E456">
        <v>6372.43</v>
      </c>
      <c r="F456">
        <v>6</v>
      </c>
      <c r="G456">
        <v>24.17</v>
      </c>
      <c r="H456">
        <v>4</v>
      </c>
      <c r="I456">
        <v>5.7</v>
      </c>
      <c r="J456">
        <v>30</v>
      </c>
      <c r="K456" t="s">
        <v>18</v>
      </c>
      <c r="L456" t="s">
        <v>25</v>
      </c>
    </row>
    <row r="457" spans="1:12" x14ac:dyDescent="0.2">
      <c r="A457">
        <v>20091</v>
      </c>
      <c r="B457">
        <v>28</v>
      </c>
      <c r="C457" t="s">
        <v>26</v>
      </c>
      <c r="D457">
        <v>3189</v>
      </c>
      <c r="E457">
        <v>30362.46</v>
      </c>
      <c r="F457">
        <v>36</v>
      </c>
      <c r="G457">
        <v>22.18</v>
      </c>
      <c r="H457">
        <v>2</v>
      </c>
      <c r="I457">
        <v>7.7</v>
      </c>
      <c r="J457">
        <v>0</v>
      </c>
      <c r="K457" t="s">
        <v>20</v>
      </c>
      <c r="L457" t="s">
        <v>19</v>
      </c>
    </row>
    <row r="458" spans="1:12" x14ac:dyDescent="0.2">
      <c r="A458">
        <v>24242</v>
      </c>
      <c r="B458">
        <v>62</v>
      </c>
      <c r="C458" t="s">
        <v>21</v>
      </c>
      <c r="D458">
        <v>8949.86</v>
      </c>
      <c r="E458">
        <v>23919.67</v>
      </c>
      <c r="F458">
        <v>12</v>
      </c>
      <c r="G458">
        <v>12.5</v>
      </c>
      <c r="I458">
        <v>1.4</v>
      </c>
      <c r="J458">
        <v>0</v>
      </c>
      <c r="K458" t="s">
        <v>13</v>
      </c>
      <c r="L458" t="s">
        <v>22</v>
      </c>
    </row>
    <row r="459" spans="1:12" x14ac:dyDescent="0.2">
      <c r="A459">
        <v>20145</v>
      </c>
      <c r="B459">
        <v>21</v>
      </c>
      <c r="C459" t="s">
        <v>26</v>
      </c>
      <c r="D459">
        <v>5722.1</v>
      </c>
      <c r="E459">
        <v>22970.99</v>
      </c>
      <c r="F459">
        <v>12</v>
      </c>
      <c r="G459">
        <v>17.53</v>
      </c>
      <c r="H459">
        <v>0</v>
      </c>
      <c r="I459">
        <v>1.6</v>
      </c>
      <c r="J459">
        <v>0</v>
      </c>
      <c r="K459" t="s">
        <v>15</v>
      </c>
      <c r="L459" t="s">
        <v>19</v>
      </c>
    </row>
    <row r="460" spans="1:12" x14ac:dyDescent="0.2">
      <c r="A460">
        <v>21608</v>
      </c>
      <c r="B460">
        <v>46</v>
      </c>
      <c r="C460" t="s">
        <v>21</v>
      </c>
      <c r="D460">
        <v>2972.45</v>
      </c>
      <c r="E460">
        <v>14876.58</v>
      </c>
      <c r="F460">
        <v>60</v>
      </c>
      <c r="G460">
        <v>21.66</v>
      </c>
      <c r="H460">
        <v>3</v>
      </c>
      <c r="I460">
        <v>11.7</v>
      </c>
      <c r="J460">
        <v>15</v>
      </c>
      <c r="K460" t="s">
        <v>24</v>
      </c>
      <c r="L460" t="s">
        <v>25</v>
      </c>
    </row>
    <row r="461" spans="1:12" x14ac:dyDescent="0.2">
      <c r="A461">
        <v>21655</v>
      </c>
      <c r="B461">
        <v>23</v>
      </c>
      <c r="C461" t="s">
        <v>21</v>
      </c>
      <c r="D461">
        <v>6140.43</v>
      </c>
      <c r="E461">
        <v>11378.64</v>
      </c>
      <c r="F461">
        <v>60</v>
      </c>
      <c r="G461">
        <v>22.61</v>
      </c>
      <c r="H461">
        <v>3</v>
      </c>
      <c r="I461">
        <v>12.9</v>
      </c>
      <c r="J461">
        <v>15</v>
      </c>
      <c r="K461" t="s">
        <v>15</v>
      </c>
      <c r="L461" t="s">
        <v>22</v>
      </c>
    </row>
    <row r="462" spans="1:12" x14ac:dyDescent="0.2">
      <c r="A462">
        <v>21081</v>
      </c>
      <c r="B462">
        <v>38</v>
      </c>
      <c r="C462" t="s">
        <v>17</v>
      </c>
      <c r="D462">
        <v>4903.3999999999996</v>
      </c>
      <c r="E462">
        <v>11206.15</v>
      </c>
      <c r="F462">
        <v>60</v>
      </c>
      <c r="G462">
        <v>17.440000000000001</v>
      </c>
      <c r="H462">
        <v>0</v>
      </c>
      <c r="I462">
        <v>1.9</v>
      </c>
      <c r="J462">
        <v>0</v>
      </c>
      <c r="K462" t="s">
        <v>20</v>
      </c>
      <c r="L462" t="s">
        <v>14</v>
      </c>
    </row>
    <row r="463" spans="1:12" x14ac:dyDescent="0.2">
      <c r="A463">
        <v>24342</v>
      </c>
      <c r="B463">
        <v>49</v>
      </c>
      <c r="C463" t="s">
        <v>21</v>
      </c>
      <c r="D463">
        <v>2146.9699999999998</v>
      </c>
      <c r="F463">
        <v>12</v>
      </c>
      <c r="G463">
        <v>20.87</v>
      </c>
      <c r="H463">
        <v>0</v>
      </c>
      <c r="I463">
        <v>7.9</v>
      </c>
      <c r="J463">
        <v>0</v>
      </c>
      <c r="K463" t="s">
        <v>15</v>
      </c>
      <c r="L463" t="s">
        <v>22</v>
      </c>
    </row>
    <row r="464" spans="1:12" x14ac:dyDescent="0.2">
      <c r="A464">
        <v>22815</v>
      </c>
      <c r="B464">
        <v>49</v>
      </c>
      <c r="C464" t="s">
        <v>12</v>
      </c>
      <c r="D464">
        <v>4463.01</v>
      </c>
      <c r="E464">
        <v>31229.79</v>
      </c>
      <c r="F464">
        <v>6</v>
      </c>
      <c r="G464">
        <v>21.09</v>
      </c>
      <c r="H464">
        <v>1</v>
      </c>
      <c r="I464">
        <v>10.3</v>
      </c>
      <c r="J464">
        <v>0</v>
      </c>
      <c r="K464" t="s">
        <v>24</v>
      </c>
      <c r="L464" t="s">
        <v>19</v>
      </c>
    </row>
    <row r="465" spans="1:12" x14ac:dyDescent="0.2">
      <c r="A465">
        <v>24271</v>
      </c>
      <c r="B465">
        <v>38</v>
      </c>
      <c r="C465" t="s">
        <v>27</v>
      </c>
      <c r="D465">
        <v>6549.16</v>
      </c>
      <c r="E465">
        <v>32791.949999999997</v>
      </c>
      <c r="F465">
        <v>60</v>
      </c>
      <c r="G465">
        <v>13.93</v>
      </c>
      <c r="H465">
        <v>4</v>
      </c>
      <c r="I465">
        <v>3.3</v>
      </c>
      <c r="J465">
        <v>60</v>
      </c>
      <c r="K465" t="s">
        <v>13</v>
      </c>
      <c r="L465" t="s">
        <v>14</v>
      </c>
    </row>
    <row r="466" spans="1:12" x14ac:dyDescent="0.2">
      <c r="A466">
        <v>25188</v>
      </c>
      <c r="B466">
        <v>47</v>
      </c>
      <c r="C466" t="s">
        <v>23</v>
      </c>
      <c r="D466">
        <v>7215.07</v>
      </c>
      <c r="E466">
        <v>9516.06</v>
      </c>
      <c r="F466">
        <v>18</v>
      </c>
      <c r="G466">
        <v>22.65</v>
      </c>
      <c r="H466">
        <v>3</v>
      </c>
      <c r="I466">
        <v>9.4</v>
      </c>
      <c r="K466" t="s">
        <v>18</v>
      </c>
      <c r="L466" t="s">
        <v>14</v>
      </c>
    </row>
    <row r="467" spans="1:12" x14ac:dyDescent="0.2">
      <c r="A467">
        <v>20797</v>
      </c>
      <c r="B467">
        <v>46</v>
      </c>
      <c r="C467" t="s">
        <v>27</v>
      </c>
      <c r="D467">
        <v>3082.57</v>
      </c>
      <c r="E467">
        <v>19415.09</v>
      </c>
      <c r="F467">
        <v>12</v>
      </c>
      <c r="G467">
        <v>15.68</v>
      </c>
      <c r="H467">
        <v>3</v>
      </c>
      <c r="I467">
        <v>8.1999999999999993</v>
      </c>
      <c r="J467">
        <v>0</v>
      </c>
      <c r="K467" t="s">
        <v>13</v>
      </c>
      <c r="L467" t="s">
        <v>16</v>
      </c>
    </row>
    <row r="468" spans="1:12" x14ac:dyDescent="0.2">
      <c r="A468">
        <v>25805</v>
      </c>
      <c r="B468">
        <v>47</v>
      </c>
      <c r="C468" t="s">
        <v>23</v>
      </c>
      <c r="D468">
        <v>2145.33</v>
      </c>
      <c r="E468">
        <v>14454.23</v>
      </c>
      <c r="F468">
        <v>12</v>
      </c>
      <c r="G468">
        <v>23.51</v>
      </c>
      <c r="H468">
        <v>0</v>
      </c>
      <c r="I468">
        <v>13</v>
      </c>
      <c r="K468" t="s">
        <v>15</v>
      </c>
      <c r="L468" t="s">
        <v>25</v>
      </c>
    </row>
    <row r="469" spans="1:12" x14ac:dyDescent="0.2">
      <c r="A469">
        <v>22341</v>
      </c>
      <c r="B469">
        <v>39</v>
      </c>
      <c r="C469" t="s">
        <v>12</v>
      </c>
      <c r="D469">
        <v>4219.8100000000004</v>
      </c>
      <c r="E469">
        <v>25521.33</v>
      </c>
      <c r="F469">
        <v>12</v>
      </c>
      <c r="G469">
        <v>9.99</v>
      </c>
      <c r="H469">
        <v>3</v>
      </c>
      <c r="J469">
        <v>0</v>
      </c>
      <c r="K469" t="s">
        <v>24</v>
      </c>
      <c r="L469" t="s">
        <v>14</v>
      </c>
    </row>
    <row r="470" spans="1:12" x14ac:dyDescent="0.2">
      <c r="A470">
        <v>21056</v>
      </c>
      <c r="B470">
        <v>60</v>
      </c>
      <c r="C470" t="s">
        <v>12</v>
      </c>
      <c r="D470">
        <v>2959.82</v>
      </c>
      <c r="F470">
        <v>12</v>
      </c>
      <c r="G470">
        <v>19.88</v>
      </c>
      <c r="H470">
        <v>4</v>
      </c>
      <c r="I470">
        <v>1.8</v>
      </c>
      <c r="J470">
        <v>30</v>
      </c>
      <c r="K470" t="s">
        <v>20</v>
      </c>
      <c r="L470" t="s">
        <v>25</v>
      </c>
    </row>
    <row r="471" spans="1:12" x14ac:dyDescent="0.2">
      <c r="A471">
        <v>20635</v>
      </c>
      <c r="B471">
        <v>23</v>
      </c>
      <c r="C471" t="s">
        <v>23</v>
      </c>
      <c r="D471">
        <v>7068.14</v>
      </c>
      <c r="E471">
        <v>10908.5</v>
      </c>
      <c r="F471">
        <v>18</v>
      </c>
      <c r="G471">
        <v>23.1</v>
      </c>
      <c r="H471">
        <v>0</v>
      </c>
      <c r="I471">
        <v>10.9</v>
      </c>
      <c r="J471">
        <v>60</v>
      </c>
      <c r="K471" t="s">
        <v>15</v>
      </c>
      <c r="L471" t="s">
        <v>25</v>
      </c>
    </row>
    <row r="472" spans="1:12" x14ac:dyDescent="0.2">
      <c r="A472">
        <v>25014</v>
      </c>
      <c r="B472">
        <v>64</v>
      </c>
      <c r="C472" t="s">
        <v>26</v>
      </c>
      <c r="D472">
        <v>7245.18</v>
      </c>
      <c r="E472">
        <v>12446.08</v>
      </c>
      <c r="F472">
        <v>36</v>
      </c>
      <c r="G472">
        <v>16.41</v>
      </c>
      <c r="H472">
        <v>4</v>
      </c>
      <c r="I472">
        <v>11</v>
      </c>
      <c r="J472">
        <v>30</v>
      </c>
      <c r="K472" t="s">
        <v>20</v>
      </c>
      <c r="L472" t="s">
        <v>22</v>
      </c>
    </row>
    <row r="473" spans="1:12" x14ac:dyDescent="0.2">
      <c r="A473">
        <v>21212</v>
      </c>
      <c r="B473">
        <v>21</v>
      </c>
      <c r="C473" t="s">
        <v>12</v>
      </c>
      <c r="D473">
        <v>-1500</v>
      </c>
      <c r="E473">
        <v>27851.56</v>
      </c>
      <c r="F473">
        <v>18</v>
      </c>
      <c r="G473">
        <v>21.19</v>
      </c>
      <c r="I473">
        <v>5</v>
      </c>
      <c r="J473">
        <v>60</v>
      </c>
      <c r="K473" t="s">
        <v>24</v>
      </c>
      <c r="L473" t="s">
        <v>19</v>
      </c>
    </row>
    <row r="474" spans="1:12" x14ac:dyDescent="0.2">
      <c r="A474">
        <v>23101</v>
      </c>
      <c r="B474">
        <v>63</v>
      </c>
      <c r="C474" t="s">
        <v>23</v>
      </c>
      <c r="D474">
        <v>5365.88</v>
      </c>
      <c r="E474">
        <v>22310.080000000002</v>
      </c>
      <c r="F474">
        <v>60</v>
      </c>
      <c r="G474">
        <v>23.02</v>
      </c>
      <c r="H474">
        <v>0</v>
      </c>
      <c r="I474">
        <v>10.9</v>
      </c>
      <c r="J474">
        <v>15</v>
      </c>
      <c r="K474" t="s">
        <v>20</v>
      </c>
      <c r="L474" t="s">
        <v>22</v>
      </c>
    </row>
    <row r="475" spans="1:12" x14ac:dyDescent="0.2">
      <c r="A475">
        <v>24652</v>
      </c>
      <c r="B475">
        <v>37</v>
      </c>
      <c r="C475" t="s">
        <v>21</v>
      </c>
      <c r="D475">
        <v>6236.32</v>
      </c>
      <c r="E475">
        <v>13224.86</v>
      </c>
      <c r="F475">
        <v>36</v>
      </c>
      <c r="G475">
        <v>12.43</v>
      </c>
      <c r="H475">
        <v>2</v>
      </c>
      <c r="I475">
        <v>9.8000000000000007</v>
      </c>
      <c r="J475">
        <v>0</v>
      </c>
      <c r="K475" t="s">
        <v>13</v>
      </c>
      <c r="L475" t="s">
        <v>16</v>
      </c>
    </row>
    <row r="476" spans="1:12" x14ac:dyDescent="0.2">
      <c r="A476">
        <v>23419</v>
      </c>
      <c r="B476">
        <v>64</v>
      </c>
      <c r="C476" t="s">
        <v>12</v>
      </c>
      <c r="D476">
        <v>3761.64</v>
      </c>
      <c r="E476">
        <v>9350.99</v>
      </c>
      <c r="F476">
        <v>60</v>
      </c>
      <c r="G476">
        <v>28.94</v>
      </c>
      <c r="I476">
        <v>7.1</v>
      </c>
      <c r="J476">
        <v>90</v>
      </c>
      <c r="K476" t="s">
        <v>24</v>
      </c>
      <c r="L476" t="s">
        <v>25</v>
      </c>
    </row>
    <row r="477" spans="1:12" x14ac:dyDescent="0.2">
      <c r="A477">
        <v>22182</v>
      </c>
      <c r="B477">
        <v>21</v>
      </c>
      <c r="C477" t="s">
        <v>23</v>
      </c>
      <c r="D477">
        <v>8140.47</v>
      </c>
      <c r="E477">
        <v>10980.62</v>
      </c>
      <c r="F477">
        <v>12</v>
      </c>
      <c r="G477">
        <v>22.61</v>
      </c>
      <c r="I477">
        <v>10.3</v>
      </c>
      <c r="J477">
        <v>0</v>
      </c>
      <c r="K477" t="s">
        <v>15</v>
      </c>
      <c r="L477" t="s">
        <v>19</v>
      </c>
    </row>
    <row r="478" spans="1:12" x14ac:dyDescent="0.2">
      <c r="A478">
        <v>23906</v>
      </c>
      <c r="B478">
        <v>45</v>
      </c>
      <c r="C478" t="s">
        <v>23</v>
      </c>
      <c r="D478">
        <v>6339.98</v>
      </c>
      <c r="E478">
        <v>23242.78</v>
      </c>
      <c r="F478">
        <v>60</v>
      </c>
      <c r="G478">
        <v>18.95</v>
      </c>
      <c r="H478">
        <v>3</v>
      </c>
      <c r="I478">
        <v>10.199999999999999</v>
      </c>
      <c r="J478">
        <v>90</v>
      </c>
      <c r="K478" t="s">
        <v>15</v>
      </c>
      <c r="L478" t="s">
        <v>25</v>
      </c>
    </row>
    <row r="479" spans="1:12" x14ac:dyDescent="0.2">
      <c r="A479">
        <v>25334</v>
      </c>
      <c r="B479">
        <v>39</v>
      </c>
      <c r="C479" t="s">
        <v>17</v>
      </c>
      <c r="D479">
        <v>5393.09</v>
      </c>
      <c r="E479">
        <v>37640.47</v>
      </c>
      <c r="F479">
        <v>18</v>
      </c>
      <c r="G479">
        <v>31.97</v>
      </c>
      <c r="J479">
        <v>60</v>
      </c>
      <c r="K479" t="s">
        <v>15</v>
      </c>
      <c r="L479" t="s">
        <v>25</v>
      </c>
    </row>
    <row r="480" spans="1:12" x14ac:dyDescent="0.2">
      <c r="A480">
        <v>21717</v>
      </c>
      <c r="B480">
        <v>37</v>
      </c>
      <c r="C480" t="s">
        <v>23</v>
      </c>
      <c r="D480">
        <v>4245.0200000000004</v>
      </c>
      <c r="E480">
        <v>6116.05</v>
      </c>
      <c r="F480">
        <v>12</v>
      </c>
      <c r="G480">
        <v>18.97</v>
      </c>
      <c r="H480">
        <v>3</v>
      </c>
      <c r="I480">
        <v>3.7</v>
      </c>
      <c r="J480">
        <v>0</v>
      </c>
      <c r="K480" t="s">
        <v>15</v>
      </c>
      <c r="L480" t="s">
        <v>14</v>
      </c>
    </row>
    <row r="481" spans="1:12" x14ac:dyDescent="0.2">
      <c r="A481">
        <v>23058</v>
      </c>
      <c r="B481">
        <v>18</v>
      </c>
      <c r="C481" t="s">
        <v>12</v>
      </c>
      <c r="D481">
        <v>3650.1</v>
      </c>
      <c r="E481">
        <v>79.27</v>
      </c>
      <c r="F481">
        <v>6</v>
      </c>
      <c r="G481">
        <v>18.53</v>
      </c>
      <c r="H481">
        <v>3</v>
      </c>
      <c r="I481">
        <v>8</v>
      </c>
      <c r="J481">
        <v>0</v>
      </c>
      <c r="K481" t="s">
        <v>24</v>
      </c>
      <c r="L481" t="s">
        <v>19</v>
      </c>
    </row>
    <row r="482" spans="1:12" x14ac:dyDescent="0.2">
      <c r="A482">
        <v>21015</v>
      </c>
      <c r="B482">
        <v>21</v>
      </c>
      <c r="C482" t="s">
        <v>27</v>
      </c>
      <c r="D482">
        <v>6695.14</v>
      </c>
      <c r="E482">
        <v>16383.88</v>
      </c>
      <c r="F482">
        <v>60</v>
      </c>
      <c r="G482">
        <v>22.68</v>
      </c>
      <c r="H482">
        <v>1</v>
      </c>
      <c r="I482">
        <v>8</v>
      </c>
      <c r="J482">
        <v>0</v>
      </c>
      <c r="K482" t="s">
        <v>24</v>
      </c>
      <c r="L482" t="s">
        <v>14</v>
      </c>
    </row>
    <row r="483" spans="1:12" x14ac:dyDescent="0.2">
      <c r="A483">
        <v>23451</v>
      </c>
      <c r="B483">
        <v>27</v>
      </c>
      <c r="C483" t="s">
        <v>12</v>
      </c>
      <c r="D483">
        <v>6462.97</v>
      </c>
      <c r="E483">
        <v>18070.560000000001</v>
      </c>
      <c r="F483">
        <v>6</v>
      </c>
      <c r="G483">
        <v>19.86</v>
      </c>
      <c r="H483">
        <v>4</v>
      </c>
      <c r="I483">
        <v>6.2</v>
      </c>
      <c r="J483">
        <v>60</v>
      </c>
      <c r="K483" t="s">
        <v>15</v>
      </c>
      <c r="L483" t="s">
        <v>19</v>
      </c>
    </row>
    <row r="484" spans="1:12" x14ac:dyDescent="0.2">
      <c r="A484">
        <v>23094</v>
      </c>
      <c r="B484">
        <v>51</v>
      </c>
      <c r="C484" t="s">
        <v>26</v>
      </c>
      <c r="D484">
        <v>3084.21</v>
      </c>
      <c r="E484">
        <v>13139.22</v>
      </c>
      <c r="F484">
        <v>18</v>
      </c>
      <c r="G484">
        <v>4.42</v>
      </c>
      <c r="H484">
        <v>3</v>
      </c>
      <c r="I484">
        <v>7.8</v>
      </c>
      <c r="J484">
        <v>120</v>
      </c>
      <c r="K484" t="s">
        <v>13</v>
      </c>
      <c r="L484" t="s">
        <v>14</v>
      </c>
    </row>
    <row r="485" spans="1:12" x14ac:dyDescent="0.2">
      <c r="A485">
        <v>20615</v>
      </c>
      <c r="B485">
        <v>40</v>
      </c>
      <c r="C485" t="s">
        <v>12</v>
      </c>
      <c r="D485">
        <v>4982.8999999999996</v>
      </c>
      <c r="E485">
        <v>16910.95</v>
      </c>
      <c r="F485">
        <v>48</v>
      </c>
      <c r="G485">
        <v>28.78</v>
      </c>
      <c r="H485">
        <v>2</v>
      </c>
      <c r="I485">
        <v>15.6</v>
      </c>
      <c r="J485">
        <v>0</v>
      </c>
      <c r="K485" t="s">
        <v>20</v>
      </c>
      <c r="L485" t="s">
        <v>14</v>
      </c>
    </row>
    <row r="486" spans="1:12" x14ac:dyDescent="0.2">
      <c r="A486">
        <v>21401</v>
      </c>
      <c r="B486">
        <v>58</v>
      </c>
      <c r="C486" t="s">
        <v>21</v>
      </c>
      <c r="D486">
        <v>1742.25</v>
      </c>
      <c r="E486">
        <v>6610.11</v>
      </c>
      <c r="F486">
        <v>18</v>
      </c>
      <c r="G486">
        <v>14.97</v>
      </c>
      <c r="H486">
        <v>3</v>
      </c>
      <c r="I486">
        <v>14.3</v>
      </c>
      <c r="J486">
        <v>120</v>
      </c>
      <c r="K486" t="s">
        <v>24</v>
      </c>
      <c r="L486" t="s">
        <v>14</v>
      </c>
    </row>
    <row r="487" spans="1:12" x14ac:dyDescent="0.2">
      <c r="A487">
        <v>24262</v>
      </c>
      <c r="B487">
        <v>28</v>
      </c>
      <c r="C487" t="s">
        <v>21</v>
      </c>
      <c r="D487">
        <v>7624.55</v>
      </c>
      <c r="F487">
        <v>6</v>
      </c>
      <c r="G487">
        <v>20.329999999999998</v>
      </c>
      <c r="H487">
        <v>4</v>
      </c>
      <c r="I487">
        <v>9.1</v>
      </c>
      <c r="J487">
        <v>30</v>
      </c>
      <c r="K487" t="s">
        <v>24</v>
      </c>
      <c r="L487" t="s">
        <v>22</v>
      </c>
    </row>
    <row r="488" spans="1:12" x14ac:dyDescent="0.2">
      <c r="A488">
        <v>25914</v>
      </c>
      <c r="B488">
        <v>63</v>
      </c>
      <c r="C488" t="s">
        <v>21</v>
      </c>
      <c r="D488">
        <v>7339.28</v>
      </c>
      <c r="E488">
        <v>21276.799999999999</v>
      </c>
      <c r="F488">
        <v>60</v>
      </c>
      <c r="G488">
        <v>16.420000000000002</v>
      </c>
      <c r="H488">
        <v>0</v>
      </c>
      <c r="I488">
        <v>8.9</v>
      </c>
      <c r="J488">
        <v>0</v>
      </c>
      <c r="K488" t="s">
        <v>15</v>
      </c>
      <c r="L488" t="s">
        <v>25</v>
      </c>
    </row>
    <row r="489" spans="1:12" x14ac:dyDescent="0.2">
      <c r="A489">
        <v>22629</v>
      </c>
      <c r="B489">
        <v>49</v>
      </c>
      <c r="C489" t="s">
        <v>12</v>
      </c>
      <c r="D489">
        <v>3474.64</v>
      </c>
      <c r="E489">
        <v>25858.37</v>
      </c>
      <c r="F489">
        <v>24</v>
      </c>
      <c r="G489">
        <v>17.559999999999999</v>
      </c>
      <c r="H489">
        <v>0</v>
      </c>
      <c r="I489">
        <v>6.5</v>
      </c>
      <c r="J489">
        <v>0</v>
      </c>
      <c r="K489" t="s">
        <v>13</v>
      </c>
      <c r="L489" t="s">
        <v>14</v>
      </c>
    </row>
    <row r="490" spans="1:12" x14ac:dyDescent="0.2">
      <c r="A490">
        <v>24510</v>
      </c>
      <c r="B490">
        <v>48</v>
      </c>
      <c r="C490" t="s">
        <v>12</v>
      </c>
      <c r="D490">
        <v>3738.06</v>
      </c>
      <c r="E490">
        <v>11654.95</v>
      </c>
      <c r="F490">
        <v>6</v>
      </c>
      <c r="G490">
        <v>12.17</v>
      </c>
      <c r="H490">
        <v>1</v>
      </c>
      <c r="I490">
        <v>5.8</v>
      </c>
      <c r="J490">
        <v>0</v>
      </c>
      <c r="K490" t="s">
        <v>13</v>
      </c>
      <c r="L490" t="s">
        <v>25</v>
      </c>
    </row>
    <row r="491" spans="1:12" x14ac:dyDescent="0.2">
      <c r="A491">
        <v>21175</v>
      </c>
      <c r="B491">
        <v>36</v>
      </c>
      <c r="C491" t="s">
        <v>17</v>
      </c>
      <c r="D491">
        <v>-587.27</v>
      </c>
      <c r="E491">
        <v>29358.42</v>
      </c>
      <c r="F491">
        <v>18</v>
      </c>
      <c r="G491">
        <v>18.829999999999998</v>
      </c>
      <c r="H491">
        <v>0</v>
      </c>
      <c r="I491">
        <v>5.3</v>
      </c>
      <c r="J491">
        <v>60</v>
      </c>
      <c r="K491" t="s">
        <v>24</v>
      </c>
      <c r="L491" t="s">
        <v>22</v>
      </c>
    </row>
    <row r="492" spans="1:12" x14ac:dyDescent="0.2">
      <c r="A492">
        <v>22081</v>
      </c>
      <c r="B492">
        <v>32</v>
      </c>
      <c r="C492" t="s">
        <v>27</v>
      </c>
      <c r="D492">
        <v>722.7</v>
      </c>
      <c r="E492">
        <v>26030.33</v>
      </c>
      <c r="F492">
        <v>48</v>
      </c>
      <c r="G492">
        <v>15.93</v>
      </c>
      <c r="H492">
        <v>3</v>
      </c>
      <c r="I492">
        <v>1.6</v>
      </c>
      <c r="J492">
        <v>90</v>
      </c>
      <c r="K492" t="s">
        <v>18</v>
      </c>
      <c r="L492" t="s">
        <v>16</v>
      </c>
    </row>
    <row r="493" spans="1:12" x14ac:dyDescent="0.2">
      <c r="A493">
        <v>24928</v>
      </c>
      <c r="B493">
        <v>52</v>
      </c>
      <c r="C493" t="s">
        <v>26</v>
      </c>
      <c r="D493">
        <v>7503.33</v>
      </c>
      <c r="E493">
        <v>31151.69</v>
      </c>
      <c r="F493">
        <v>36</v>
      </c>
      <c r="G493">
        <v>7.18</v>
      </c>
      <c r="H493">
        <v>3</v>
      </c>
      <c r="I493">
        <v>7.9</v>
      </c>
      <c r="J493">
        <v>0</v>
      </c>
      <c r="K493" t="s">
        <v>18</v>
      </c>
      <c r="L493" t="s">
        <v>22</v>
      </c>
    </row>
    <row r="494" spans="1:12" x14ac:dyDescent="0.2">
      <c r="A494">
        <v>21495</v>
      </c>
      <c r="B494">
        <v>59</v>
      </c>
      <c r="C494" t="s">
        <v>23</v>
      </c>
      <c r="D494">
        <v>4128.3999999999996</v>
      </c>
      <c r="E494">
        <v>29361.34</v>
      </c>
      <c r="F494">
        <v>48</v>
      </c>
      <c r="G494">
        <v>11.71</v>
      </c>
      <c r="H494">
        <v>3</v>
      </c>
      <c r="I494">
        <v>10.199999999999999</v>
      </c>
      <c r="J494">
        <v>0</v>
      </c>
      <c r="K494" t="s">
        <v>20</v>
      </c>
      <c r="L494" t="s">
        <v>16</v>
      </c>
    </row>
    <row r="495" spans="1:12" x14ac:dyDescent="0.2">
      <c r="A495">
        <v>21763</v>
      </c>
      <c r="B495">
        <v>46</v>
      </c>
      <c r="C495" t="s">
        <v>26</v>
      </c>
      <c r="D495">
        <v>2011.55</v>
      </c>
      <c r="E495">
        <v>24389.96</v>
      </c>
      <c r="F495">
        <v>36</v>
      </c>
      <c r="G495">
        <v>16.93</v>
      </c>
      <c r="H495">
        <v>3</v>
      </c>
      <c r="I495">
        <v>3.9</v>
      </c>
      <c r="J495">
        <v>0</v>
      </c>
      <c r="K495" t="s">
        <v>20</v>
      </c>
      <c r="L495" t="s">
        <v>16</v>
      </c>
    </row>
    <row r="496" spans="1:12" x14ac:dyDescent="0.2">
      <c r="A496">
        <v>22059</v>
      </c>
      <c r="B496">
        <v>56</v>
      </c>
      <c r="C496" t="s">
        <v>23</v>
      </c>
      <c r="D496">
        <v>2733.75</v>
      </c>
      <c r="E496">
        <v>38220.120000000003</v>
      </c>
      <c r="F496">
        <v>48</v>
      </c>
      <c r="G496">
        <v>23.9</v>
      </c>
      <c r="H496">
        <v>2</v>
      </c>
      <c r="I496">
        <v>6.7</v>
      </c>
      <c r="J496">
        <v>0</v>
      </c>
      <c r="K496" t="s">
        <v>24</v>
      </c>
      <c r="L496" t="s">
        <v>25</v>
      </c>
    </row>
    <row r="497" spans="1:12" x14ac:dyDescent="0.2">
      <c r="A497">
        <v>23406</v>
      </c>
      <c r="B497">
        <v>43</v>
      </c>
      <c r="C497" t="s">
        <v>12</v>
      </c>
      <c r="D497">
        <v>5517.68</v>
      </c>
      <c r="E497">
        <v>30727.18</v>
      </c>
      <c r="F497">
        <v>6</v>
      </c>
      <c r="G497">
        <v>14.67</v>
      </c>
      <c r="H497">
        <v>3</v>
      </c>
      <c r="I497">
        <v>10.4</v>
      </c>
      <c r="J497">
        <v>0</v>
      </c>
      <c r="K497" t="s">
        <v>24</v>
      </c>
      <c r="L497" t="s">
        <v>22</v>
      </c>
    </row>
    <row r="498" spans="1:12" x14ac:dyDescent="0.2">
      <c r="A498">
        <v>22724</v>
      </c>
      <c r="B498">
        <v>38</v>
      </c>
      <c r="C498" t="s">
        <v>17</v>
      </c>
      <c r="D498">
        <v>4865.49</v>
      </c>
      <c r="E498">
        <v>12885.09</v>
      </c>
      <c r="F498">
        <v>18</v>
      </c>
      <c r="G498">
        <v>22.77</v>
      </c>
      <c r="H498">
        <v>2</v>
      </c>
      <c r="I498">
        <v>4</v>
      </c>
      <c r="J498">
        <v>0</v>
      </c>
      <c r="K498" t="s">
        <v>15</v>
      </c>
      <c r="L498" t="s">
        <v>16</v>
      </c>
    </row>
    <row r="499" spans="1:12" x14ac:dyDescent="0.2">
      <c r="A499">
        <v>22978</v>
      </c>
      <c r="B499">
        <v>24</v>
      </c>
      <c r="C499" t="s">
        <v>17</v>
      </c>
      <c r="D499">
        <v>5551.39</v>
      </c>
      <c r="E499">
        <v>28062.29</v>
      </c>
      <c r="F499">
        <v>60</v>
      </c>
      <c r="G499">
        <v>9.39</v>
      </c>
      <c r="H499">
        <v>0</v>
      </c>
      <c r="I499">
        <v>6.8</v>
      </c>
      <c r="J499">
        <v>15</v>
      </c>
      <c r="K499" t="s">
        <v>13</v>
      </c>
      <c r="L499" t="s">
        <v>16</v>
      </c>
    </row>
    <row r="500" spans="1:12" x14ac:dyDescent="0.2">
      <c r="A500">
        <v>21575</v>
      </c>
      <c r="B500">
        <v>46</v>
      </c>
      <c r="C500" t="s">
        <v>23</v>
      </c>
      <c r="D500">
        <v>6066.86</v>
      </c>
      <c r="E500">
        <v>21458.79</v>
      </c>
      <c r="F500">
        <v>18</v>
      </c>
      <c r="G500">
        <v>30.02</v>
      </c>
      <c r="H500">
        <v>1</v>
      </c>
      <c r="I500">
        <v>8.5</v>
      </c>
      <c r="J500">
        <v>0</v>
      </c>
      <c r="K500" t="s">
        <v>20</v>
      </c>
      <c r="L500" t="s">
        <v>25</v>
      </c>
    </row>
    <row r="501" spans="1:12" x14ac:dyDescent="0.2">
      <c r="A501">
        <v>25480</v>
      </c>
      <c r="B501">
        <v>27</v>
      </c>
      <c r="C501" t="s">
        <v>17</v>
      </c>
      <c r="D501">
        <v>3891.92</v>
      </c>
      <c r="E501">
        <v>22108.82</v>
      </c>
      <c r="F501">
        <v>60</v>
      </c>
      <c r="G501">
        <v>19.489999999999998</v>
      </c>
      <c r="H501">
        <v>2</v>
      </c>
      <c r="I501">
        <v>12.8</v>
      </c>
      <c r="J501">
        <v>0</v>
      </c>
      <c r="K501" t="s">
        <v>13</v>
      </c>
      <c r="L501" t="s">
        <v>14</v>
      </c>
    </row>
    <row r="502" spans="1:12" x14ac:dyDescent="0.2">
      <c r="A502">
        <v>23537</v>
      </c>
      <c r="B502">
        <v>27</v>
      </c>
      <c r="C502" t="s">
        <v>12</v>
      </c>
      <c r="D502">
        <v>-1500</v>
      </c>
      <c r="E502">
        <v>7390.21</v>
      </c>
      <c r="F502">
        <v>36</v>
      </c>
      <c r="G502">
        <v>12.79</v>
      </c>
      <c r="H502">
        <v>1</v>
      </c>
      <c r="I502">
        <v>5.3</v>
      </c>
      <c r="J502">
        <v>30</v>
      </c>
      <c r="K502" t="s">
        <v>20</v>
      </c>
      <c r="L502" t="s">
        <v>22</v>
      </c>
    </row>
    <row r="503" spans="1:12" x14ac:dyDescent="0.2">
      <c r="A503">
        <v>21989</v>
      </c>
      <c r="B503">
        <v>27</v>
      </c>
      <c r="C503" t="s">
        <v>26</v>
      </c>
      <c r="D503">
        <v>4666.6899999999996</v>
      </c>
      <c r="F503">
        <v>48</v>
      </c>
      <c r="G503">
        <v>55</v>
      </c>
      <c r="H503">
        <v>4</v>
      </c>
      <c r="I503">
        <v>7.4</v>
      </c>
      <c r="J503">
        <v>0</v>
      </c>
      <c r="K503" t="s">
        <v>24</v>
      </c>
      <c r="L503" t="s">
        <v>22</v>
      </c>
    </row>
    <row r="504" spans="1:12" x14ac:dyDescent="0.2">
      <c r="A504">
        <v>21944</v>
      </c>
      <c r="B504">
        <v>33</v>
      </c>
      <c r="C504" t="s">
        <v>17</v>
      </c>
      <c r="D504">
        <v>3617.07</v>
      </c>
      <c r="E504">
        <v>7069.96</v>
      </c>
      <c r="F504">
        <v>36</v>
      </c>
      <c r="G504">
        <v>20.420000000000002</v>
      </c>
      <c r="H504">
        <v>3</v>
      </c>
      <c r="I504">
        <v>10.7</v>
      </c>
      <c r="J504">
        <v>0</v>
      </c>
      <c r="K504" t="s">
        <v>20</v>
      </c>
      <c r="L504" t="s">
        <v>19</v>
      </c>
    </row>
    <row r="505" spans="1:12" x14ac:dyDescent="0.2">
      <c r="A505">
        <v>22561</v>
      </c>
      <c r="B505">
        <v>50</v>
      </c>
      <c r="C505" t="s">
        <v>23</v>
      </c>
      <c r="D505">
        <v>5401.68</v>
      </c>
      <c r="E505">
        <v>16316.44</v>
      </c>
      <c r="F505">
        <v>36</v>
      </c>
      <c r="G505">
        <v>14.34</v>
      </c>
      <c r="H505">
        <v>2</v>
      </c>
      <c r="I505">
        <v>6.5</v>
      </c>
      <c r="J505">
        <v>0</v>
      </c>
      <c r="K505" t="s">
        <v>15</v>
      </c>
      <c r="L505" t="s">
        <v>16</v>
      </c>
    </row>
    <row r="506" spans="1:12" x14ac:dyDescent="0.2">
      <c r="A506">
        <v>20083</v>
      </c>
      <c r="B506">
        <v>43</v>
      </c>
      <c r="C506" t="s">
        <v>17</v>
      </c>
      <c r="D506">
        <v>3328.58</v>
      </c>
      <c r="E506">
        <v>25920.49</v>
      </c>
      <c r="F506">
        <v>24</v>
      </c>
      <c r="G506">
        <v>32.83</v>
      </c>
      <c r="H506">
        <v>4</v>
      </c>
      <c r="I506">
        <v>8.4</v>
      </c>
      <c r="J506">
        <v>60</v>
      </c>
      <c r="K506" t="s">
        <v>13</v>
      </c>
      <c r="L506" t="s">
        <v>22</v>
      </c>
    </row>
    <row r="507" spans="1:12" x14ac:dyDescent="0.2">
      <c r="A507">
        <v>21799</v>
      </c>
      <c r="B507">
        <v>42</v>
      </c>
      <c r="C507" t="s">
        <v>12</v>
      </c>
      <c r="D507">
        <v>3938.89</v>
      </c>
      <c r="F507">
        <v>18</v>
      </c>
      <c r="G507">
        <v>27.46</v>
      </c>
      <c r="H507">
        <v>4</v>
      </c>
      <c r="I507">
        <v>10.8</v>
      </c>
      <c r="J507">
        <v>90</v>
      </c>
      <c r="K507" t="s">
        <v>24</v>
      </c>
      <c r="L507" t="s">
        <v>14</v>
      </c>
    </row>
    <row r="508" spans="1:12" x14ac:dyDescent="0.2">
      <c r="A508">
        <v>23986</v>
      </c>
      <c r="B508">
        <v>31</v>
      </c>
      <c r="C508" t="s">
        <v>26</v>
      </c>
      <c r="D508">
        <v>2251.88</v>
      </c>
      <c r="E508">
        <v>13750.96</v>
      </c>
      <c r="F508">
        <v>24</v>
      </c>
      <c r="G508">
        <v>13.82</v>
      </c>
      <c r="H508">
        <v>0</v>
      </c>
      <c r="I508">
        <v>2.8</v>
      </c>
      <c r="J508">
        <v>15</v>
      </c>
      <c r="K508" t="s">
        <v>20</v>
      </c>
      <c r="L508" t="s">
        <v>16</v>
      </c>
    </row>
    <row r="509" spans="1:12" x14ac:dyDescent="0.2">
      <c r="A509">
        <v>23331</v>
      </c>
      <c r="B509">
        <v>31</v>
      </c>
      <c r="C509" t="s">
        <v>27</v>
      </c>
      <c r="D509">
        <v>-1500</v>
      </c>
      <c r="E509">
        <v>24799.360000000001</v>
      </c>
      <c r="F509">
        <v>12</v>
      </c>
      <c r="G509">
        <v>19.52</v>
      </c>
      <c r="H509">
        <v>1</v>
      </c>
      <c r="I509">
        <v>-1.1000000000000001</v>
      </c>
      <c r="J509">
        <v>0</v>
      </c>
      <c r="K509" t="s">
        <v>20</v>
      </c>
      <c r="L509" t="s">
        <v>16</v>
      </c>
    </row>
    <row r="510" spans="1:12" x14ac:dyDescent="0.2">
      <c r="A510">
        <v>24111</v>
      </c>
      <c r="B510">
        <v>24</v>
      </c>
      <c r="C510" t="s">
        <v>23</v>
      </c>
      <c r="D510">
        <v>4503.67</v>
      </c>
      <c r="E510">
        <v>10750.52</v>
      </c>
      <c r="F510">
        <v>6</v>
      </c>
      <c r="G510">
        <v>24.68</v>
      </c>
      <c r="H510">
        <v>4</v>
      </c>
      <c r="I510">
        <v>1.9</v>
      </c>
      <c r="J510">
        <v>30</v>
      </c>
      <c r="K510" t="s">
        <v>15</v>
      </c>
      <c r="L510" t="s">
        <v>14</v>
      </c>
    </row>
    <row r="511" spans="1:12" x14ac:dyDescent="0.2">
      <c r="A511">
        <v>25807</v>
      </c>
      <c r="B511">
        <v>38</v>
      </c>
      <c r="C511" t="s">
        <v>27</v>
      </c>
      <c r="D511">
        <v>6883.01</v>
      </c>
      <c r="E511">
        <v>6544.97</v>
      </c>
      <c r="F511">
        <v>36</v>
      </c>
      <c r="G511">
        <v>22.43</v>
      </c>
      <c r="H511">
        <v>4</v>
      </c>
      <c r="I511">
        <v>7.6</v>
      </c>
      <c r="J511">
        <v>60</v>
      </c>
      <c r="K511" t="s">
        <v>15</v>
      </c>
      <c r="L511" t="s">
        <v>19</v>
      </c>
    </row>
    <row r="512" spans="1:12" x14ac:dyDescent="0.2">
      <c r="A512">
        <v>20323</v>
      </c>
      <c r="B512">
        <v>57</v>
      </c>
      <c r="C512" t="s">
        <v>21</v>
      </c>
      <c r="D512">
        <v>5308.47</v>
      </c>
      <c r="E512">
        <v>26626.75</v>
      </c>
      <c r="F512">
        <v>18</v>
      </c>
      <c r="G512">
        <v>28.88</v>
      </c>
      <c r="H512">
        <v>4</v>
      </c>
      <c r="I512">
        <v>11.2</v>
      </c>
      <c r="J512">
        <v>120</v>
      </c>
      <c r="K512" t="s">
        <v>15</v>
      </c>
      <c r="L512" t="s">
        <v>25</v>
      </c>
    </row>
    <row r="513" spans="1:12" x14ac:dyDescent="0.2">
      <c r="A513">
        <v>21312</v>
      </c>
      <c r="B513">
        <v>42</v>
      </c>
      <c r="C513" t="s">
        <v>26</v>
      </c>
      <c r="D513">
        <v>1330.38</v>
      </c>
      <c r="E513">
        <v>32169.4</v>
      </c>
      <c r="F513">
        <v>12</v>
      </c>
      <c r="G513">
        <v>32.39</v>
      </c>
      <c r="H513">
        <v>3</v>
      </c>
      <c r="I513">
        <v>12.5</v>
      </c>
      <c r="J513">
        <v>0</v>
      </c>
      <c r="K513" t="s">
        <v>15</v>
      </c>
      <c r="L513" t="s">
        <v>22</v>
      </c>
    </row>
    <row r="514" spans="1:12" x14ac:dyDescent="0.2">
      <c r="A514">
        <v>22953</v>
      </c>
      <c r="B514">
        <v>52</v>
      </c>
      <c r="C514" t="s">
        <v>17</v>
      </c>
      <c r="D514">
        <v>8894.14</v>
      </c>
      <c r="E514">
        <v>27249.21</v>
      </c>
      <c r="F514">
        <v>48</v>
      </c>
      <c r="G514">
        <v>23.73</v>
      </c>
      <c r="H514">
        <v>3</v>
      </c>
      <c r="J514">
        <v>120</v>
      </c>
      <c r="K514" t="s">
        <v>13</v>
      </c>
      <c r="L514" t="s">
        <v>19</v>
      </c>
    </row>
    <row r="515" spans="1:12" x14ac:dyDescent="0.2">
      <c r="A515">
        <v>23150</v>
      </c>
      <c r="B515">
        <v>61</v>
      </c>
      <c r="C515" t="s">
        <v>23</v>
      </c>
      <c r="D515">
        <v>9718.81</v>
      </c>
      <c r="E515">
        <v>11739.62</v>
      </c>
      <c r="F515">
        <v>48</v>
      </c>
      <c r="G515">
        <v>16.18</v>
      </c>
      <c r="H515">
        <v>4</v>
      </c>
      <c r="I515">
        <v>10</v>
      </c>
      <c r="J515">
        <v>0</v>
      </c>
      <c r="K515" t="s">
        <v>24</v>
      </c>
      <c r="L515" t="s">
        <v>14</v>
      </c>
    </row>
    <row r="516" spans="1:12" x14ac:dyDescent="0.2">
      <c r="A516">
        <v>25597</v>
      </c>
      <c r="B516">
        <v>46</v>
      </c>
      <c r="C516" t="s">
        <v>12</v>
      </c>
      <c r="D516">
        <v>-1500</v>
      </c>
      <c r="E516">
        <v>24308.79</v>
      </c>
      <c r="F516">
        <v>48</v>
      </c>
      <c r="G516">
        <v>19.09</v>
      </c>
      <c r="H516">
        <v>0</v>
      </c>
      <c r="I516">
        <v>6.6</v>
      </c>
      <c r="J516">
        <v>30</v>
      </c>
      <c r="K516" t="s">
        <v>24</v>
      </c>
      <c r="L516" t="s">
        <v>14</v>
      </c>
    </row>
    <row r="517" spans="1:12" x14ac:dyDescent="0.2">
      <c r="A517">
        <v>23242</v>
      </c>
      <c r="B517">
        <v>34</v>
      </c>
      <c r="C517" t="s">
        <v>21</v>
      </c>
      <c r="D517">
        <v>8998.7199999999993</v>
      </c>
      <c r="E517">
        <v>10601.05</v>
      </c>
      <c r="F517">
        <v>24</v>
      </c>
      <c r="G517">
        <v>17.559999999999999</v>
      </c>
      <c r="H517">
        <v>1</v>
      </c>
      <c r="I517">
        <v>8.6999999999999993</v>
      </c>
      <c r="J517">
        <v>60</v>
      </c>
      <c r="K517" t="s">
        <v>18</v>
      </c>
      <c r="L517" t="s">
        <v>22</v>
      </c>
    </row>
    <row r="518" spans="1:12" x14ac:dyDescent="0.2">
      <c r="A518">
        <v>20155</v>
      </c>
      <c r="B518">
        <v>30</v>
      </c>
      <c r="C518" t="s">
        <v>27</v>
      </c>
      <c r="D518">
        <v>8409.34</v>
      </c>
      <c r="E518">
        <v>25400.51</v>
      </c>
      <c r="F518">
        <v>18</v>
      </c>
      <c r="G518">
        <v>55</v>
      </c>
      <c r="H518">
        <v>1</v>
      </c>
      <c r="I518">
        <v>15.2</v>
      </c>
      <c r="J518">
        <v>15</v>
      </c>
      <c r="K518" t="s">
        <v>15</v>
      </c>
      <c r="L518" t="s">
        <v>25</v>
      </c>
    </row>
    <row r="519" spans="1:12" x14ac:dyDescent="0.2">
      <c r="A519">
        <v>22664</v>
      </c>
      <c r="B519">
        <v>37</v>
      </c>
      <c r="C519" t="s">
        <v>26</v>
      </c>
      <c r="D519">
        <v>4237.62</v>
      </c>
      <c r="E519">
        <v>24022.89</v>
      </c>
      <c r="F519">
        <v>36</v>
      </c>
      <c r="G519">
        <v>27.77</v>
      </c>
      <c r="H519">
        <v>3</v>
      </c>
      <c r="I519">
        <v>1.6</v>
      </c>
      <c r="J519">
        <v>0</v>
      </c>
      <c r="K519" t="s">
        <v>15</v>
      </c>
      <c r="L519" t="s">
        <v>22</v>
      </c>
    </row>
    <row r="520" spans="1:12" x14ac:dyDescent="0.2">
      <c r="A520">
        <v>25907</v>
      </c>
      <c r="B520">
        <v>30</v>
      </c>
      <c r="C520" t="s">
        <v>12</v>
      </c>
      <c r="D520">
        <v>4104.51</v>
      </c>
      <c r="E520">
        <v>21820.639999999999</v>
      </c>
      <c r="F520">
        <v>6</v>
      </c>
      <c r="G520">
        <v>17.48</v>
      </c>
      <c r="H520">
        <v>3</v>
      </c>
      <c r="I520">
        <v>6.9</v>
      </c>
      <c r="J520">
        <v>30</v>
      </c>
      <c r="K520" t="s">
        <v>13</v>
      </c>
      <c r="L520" t="s">
        <v>16</v>
      </c>
    </row>
    <row r="521" spans="1:12" x14ac:dyDescent="0.2">
      <c r="A521">
        <v>20536</v>
      </c>
      <c r="B521">
        <v>40</v>
      </c>
      <c r="C521" t="s">
        <v>17</v>
      </c>
      <c r="D521">
        <v>5829.61</v>
      </c>
      <c r="E521">
        <v>18863.86</v>
      </c>
      <c r="F521">
        <v>48</v>
      </c>
      <c r="G521">
        <v>10.92</v>
      </c>
      <c r="H521">
        <v>0</v>
      </c>
      <c r="I521">
        <v>7.9</v>
      </c>
      <c r="J521">
        <v>0</v>
      </c>
      <c r="K521" t="s">
        <v>18</v>
      </c>
      <c r="L521" t="s">
        <v>14</v>
      </c>
    </row>
    <row r="522" spans="1:12" x14ac:dyDescent="0.2">
      <c r="A522">
        <v>23768</v>
      </c>
      <c r="B522">
        <v>34</v>
      </c>
      <c r="C522" t="s">
        <v>12</v>
      </c>
      <c r="D522">
        <v>4006.59</v>
      </c>
      <c r="E522">
        <v>14995.41</v>
      </c>
      <c r="F522">
        <v>12</v>
      </c>
      <c r="G522">
        <v>24.73</v>
      </c>
      <c r="I522">
        <v>10.7</v>
      </c>
      <c r="J522">
        <v>60</v>
      </c>
      <c r="K522" t="s">
        <v>15</v>
      </c>
      <c r="L522" t="s">
        <v>16</v>
      </c>
    </row>
    <row r="523" spans="1:12" x14ac:dyDescent="0.2">
      <c r="A523">
        <v>23997</v>
      </c>
      <c r="B523">
        <v>54</v>
      </c>
      <c r="C523" t="s">
        <v>17</v>
      </c>
      <c r="D523">
        <v>1883.84</v>
      </c>
      <c r="E523">
        <v>31600.82</v>
      </c>
      <c r="F523">
        <v>48</v>
      </c>
      <c r="G523">
        <v>18.13</v>
      </c>
      <c r="H523">
        <v>4</v>
      </c>
      <c r="I523">
        <v>3.6</v>
      </c>
      <c r="J523">
        <v>60</v>
      </c>
      <c r="K523" t="s">
        <v>18</v>
      </c>
      <c r="L523" t="s">
        <v>25</v>
      </c>
    </row>
    <row r="524" spans="1:12" x14ac:dyDescent="0.2">
      <c r="A524">
        <v>23421</v>
      </c>
      <c r="B524">
        <v>51</v>
      </c>
      <c r="C524" t="s">
        <v>21</v>
      </c>
      <c r="D524">
        <v>4734.24</v>
      </c>
      <c r="E524">
        <v>18421.900000000001</v>
      </c>
      <c r="F524">
        <v>48</v>
      </c>
      <c r="G524">
        <v>13.94</v>
      </c>
      <c r="H524">
        <v>2</v>
      </c>
      <c r="I524">
        <v>6.6</v>
      </c>
      <c r="J524">
        <v>0</v>
      </c>
      <c r="K524" t="s">
        <v>20</v>
      </c>
      <c r="L524" t="s">
        <v>22</v>
      </c>
    </row>
    <row r="525" spans="1:12" x14ac:dyDescent="0.2">
      <c r="A525">
        <v>22940</v>
      </c>
      <c r="B525">
        <v>38</v>
      </c>
      <c r="C525" t="s">
        <v>27</v>
      </c>
      <c r="D525">
        <v>3770.85</v>
      </c>
      <c r="E525">
        <v>12703.98</v>
      </c>
      <c r="F525">
        <v>6</v>
      </c>
      <c r="G525">
        <v>21.33</v>
      </c>
      <c r="H525">
        <v>2</v>
      </c>
      <c r="I525">
        <v>5.4</v>
      </c>
      <c r="J525">
        <v>60</v>
      </c>
      <c r="K525" t="s">
        <v>24</v>
      </c>
      <c r="L525" t="s">
        <v>22</v>
      </c>
    </row>
    <row r="526" spans="1:12" x14ac:dyDescent="0.2">
      <c r="A526">
        <v>23792</v>
      </c>
      <c r="B526">
        <v>31</v>
      </c>
      <c r="C526" t="s">
        <v>17</v>
      </c>
      <c r="D526">
        <v>-1500</v>
      </c>
      <c r="E526">
        <v>20623.07</v>
      </c>
      <c r="F526">
        <v>6</v>
      </c>
      <c r="G526">
        <v>24.89</v>
      </c>
      <c r="H526">
        <v>2</v>
      </c>
      <c r="I526">
        <v>9</v>
      </c>
      <c r="J526">
        <v>90</v>
      </c>
      <c r="K526" t="s">
        <v>15</v>
      </c>
      <c r="L526" t="s">
        <v>19</v>
      </c>
    </row>
    <row r="527" spans="1:12" x14ac:dyDescent="0.2">
      <c r="A527">
        <v>25934</v>
      </c>
      <c r="B527">
        <v>42</v>
      </c>
      <c r="C527" t="s">
        <v>21</v>
      </c>
      <c r="D527">
        <v>3885.56</v>
      </c>
      <c r="E527">
        <v>23081.31</v>
      </c>
      <c r="F527">
        <v>48</v>
      </c>
      <c r="G527">
        <v>20.64</v>
      </c>
      <c r="H527">
        <v>4</v>
      </c>
      <c r="I527">
        <v>5.7</v>
      </c>
      <c r="K527" t="s">
        <v>15</v>
      </c>
      <c r="L527" t="s">
        <v>16</v>
      </c>
    </row>
    <row r="528" spans="1:12" x14ac:dyDescent="0.2">
      <c r="A528">
        <v>22914</v>
      </c>
      <c r="B528">
        <v>21</v>
      </c>
      <c r="C528" t="s">
        <v>12</v>
      </c>
      <c r="D528">
        <v>5625.42</v>
      </c>
      <c r="E528">
        <v>21631.64</v>
      </c>
      <c r="F528">
        <v>48</v>
      </c>
      <c r="G528">
        <v>16.55</v>
      </c>
      <c r="I528">
        <v>7.5</v>
      </c>
      <c r="J528">
        <v>0</v>
      </c>
      <c r="K528" t="s">
        <v>24</v>
      </c>
      <c r="L528" t="s">
        <v>19</v>
      </c>
    </row>
    <row r="529" spans="1:12" x14ac:dyDescent="0.2">
      <c r="A529">
        <v>23865</v>
      </c>
      <c r="B529">
        <v>29</v>
      </c>
      <c r="C529" t="s">
        <v>27</v>
      </c>
      <c r="D529">
        <v>6189.49</v>
      </c>
      <c r="E529">
        <v>21644.15</v>
      </c>
      <c r="F529">
        <v>6</v>
      </c>
      <c r="G529">
        <v>34</v>
      </c>
      <c r="H529">
        <v>3</v>
      </c>
      <c r="I529">
        <v>10</v>
      </c>
      <c r="J529">
        <v>0</v>
      </c>
      <c r="K529" t="s">
        <v>18</v>
      </c>
      <c r="L529" t="s">
        <v>22</v>
      </c>
    </row>
    <row r="530" spans="1:12" x14ac:dyDescent="0.2">
      <c r="A530">
        <v>21640</v>
      </c>
      <c r="B530">
        <v>56</v>
      </c>
      <c r="C530" t="s">
        <v>26</v>
      </c>
      <c r="D530">
        <v>3272.93</v>
      </c>
      <c r="E530">
        <v>12672.25</v>
      </c>
      <c r="F530">
        <v>60</v>
      </c>
      <c r="G530">
        <v>18.14</v>
      </c>
      <c r="H530">
        <v>3</v>
      </c>
      <c r="I530">
        <v>12.2</v>
      </c>
      <c r="J530">
        <v>0</v>
      </c>
      <c r="K530" t="s">
        <v>18</v>
      </c>
      <c r="L530" t="s">
        <v>25</v>
      </c>
    </row>
    <row r="531" spans="1:12" x14ac:dyDescent="0.2">
      <c r="A531">
        <v>20827</v>
      </c>
      <c r="B531">
        <v>54</v>
      </c>
      <c r="C531" t="s">
        <v>23</v>
      </c>
      <c r="D531">
        <v>2026.64</v>
      </c>
      <c r="E531">
        <v>18751.060000000001</v>
      </c>
      <c r="F531">
        <v>36</v>
      </c>
      <c r="G531">
        <v>16.34</v>
      </c>
      <c r="H531">
        <v>2</v>
      </c>
      <c r="I531">
        <v>14.9</v>
      </c>
      <c r="J531">
        <v>0</v>
      </c>
      <c r="K531" t="s">
        <v>18</v>
      </c>
      <c r="L531" t="s">
        <v>22</v>
      </c>
    </row>
    <row r="532" spans="1:12" x14ac:dyDescent="0.2">
      <c r="A532">
        <v>21829</v>
      </c>
      <c r="B532">
        <v>47</v>
      </c>
      <c r="C532" t="s">
        <v>17</v>
      </c>
      <c r="D532">
        <v>8425.4599999999991</v>
      </c>
      <c r="E532">
        <v>4817.51</v>
      </c>
      <c r="F532">
        <v>24</v>
      </c>
      <c r="G532">
        <v>18.53</v>
      </c>
      <c r="H532">
        <v>3</v>
      </c>
      <c r="I532">
        <v>7.4</v>
      </c>
      <c r="J532">
        <v>0</v>
      </c>
      <c r="K532" t="s">
        <v>24</v>
      </c>
      <c r="L532" t="s">
        <v>25</v>
      </c>
    </row>
    <row r="533" spans="1:12" x14ac:dyDescent="0.2">
      <c r="A533">
        <v>24651</v>
      </c>
      <c r="B533">
        <v>55</v>
      </c>
      <c r="C533" t="s">
        <v>26</v>
      </c>
      <c r="D533">
        <v>4191.17</v>
      </c>
      <c r="E533">
        <v>26986.799999999999</v>
      </c>
      <c r="F533">
        <v>60</v>
      </c>
      <c r="G533">
        <v>17.66</v>
      </c>
      <c r="H533">
        <v>0</v>
      </c>
      <c r="I533">
        <v>6.7</v>
      </c>
      <c r="J533">
        <v>60</v>
      </c>
      <c r="K533" t="s">
        <v>15</v>
      </c>
      <c r="L533" t="s">
        <v>19</v>
      </c>
    </row>
    <row r="534" spans="1:12" x14ac:dyDescent="0.2">
      <c r="A534">
        <v>25168</v>
      </c>
      <c r="B534">
        <v>62</v>
      </c>
      <c r="C534" t="s">
        <v>12</v>
      </c>
      <c r="D534">
        <v>5891.56</v>
      </c>
      <c r="E534">
        <v>20401.89</v>
      </c>
      <c r="F534">
        <v>12</v>
      </c>
      <c r="G534">
        <v>15.9</v>
      </c>
      <c r="H534">
        <v>1</v>
      </c>
      <c r="I534">
        <v>11.8</v>
      </c>
      <c r="J534">
        <v>30</v>
      </c>
      <c r="K534" t="s">
        <v>15</v>
      </c>
      <c r="L534" t="s">
        <v>19</v>
      </c>
    </row>
    <row r="535" spans="1:12" x14ac:dyDescent="0.2">
      <c r="A535">
        <v>22903</v>
      </c>
      <c r="B535">
        <v>61</v>
      </c>
      <c r="C535" t="s">
        <v>27</v>
      </c>
      <c r="D535">
        <v>3591.65</v>
      </c>
      <c r="E535">
        <v>23120.16</v>
      </c>
      <c r="F535">
        <v>60</v>
      </c>
      <c r="G535">
        <v>20.9</v>
      </c>
      <c r="H535">
        <v>2</v>
      </c>
      <c r="I535">
        <v>12.4</v>
      </c>
      <c r="J535">
        <v>15</v>
      </c>
      <c r="K535" t="s">
        <v>24</v>
      </c>
      <c r="L535" t="s">
        <v>14</v>
      </c>
    </row>
    <row r="536" spans="1:12" x14ac:dyDescent="0.2">
      <c r="A536">
        <v>21452</v>
      </c>
      <c r="B536">
        <v>58</v>
      </c>
      <c r="C536" t="s">
        <v>12</v>
      </c>
      <c r="D536">
        <v>6175.46</v>
      </c>
      <c r="E536">
        <v>14473.54</v>
      </c>
      <c r="F536">
        <v>24</v>
      </c>
      <c r="G536">
        <v>17.899999999999999</v>
      </c>
      <c r="I536">
        <v>7.2</v>
      </c>
      <c r="K536" t="s">
        <v>13</v>
      </c>
      <c r="L536" t="s">
        <v>16</v>
      </c>
    </row>
    <row r="537" spans="1:12" x14ac:dyDescent="0.2">
      <c r="A537">
        <v>21621</v>
      </c>
      <c r="B537">
        <v>39</v>
      </c>
      <c r="C537" t="s">
        <v>27</v>
      </c>
      <c r="D537">
        <v>5355.97</v>
      </c>
      <c r="E537">
        <v>20767.8</v>
      </c>
      <c r="F537">
        <v>24</v>
      </c>
      <c r="G537">
        <v>21.22</v>
      </c>
      <c r="H537">
        <v>0</v>
      </c>
      <c r="I537">
        <v>3.8</v>
      </c>
      <c r="J537">
        <v>60</v>
      </c>
      <c r="K537" t="s">
        <v>18</v>
      </c>
      <c r="L537" t="s">
        <v>16</v>
      </c>
    </row>
    <row r="538" spans="1:12" x14ac:dyDescent="0.2">
      <c r="A538">
        <v>25464</v>
      </c>
      <c r="B538">
        <v>39</v>
      </c>
      <c r="C538" t="s">
        <v>23</v>
      </c>
      <c r="D538">
        <v>3715.89</v>
      </c>
      <c r="E538">
        <v>17885.580000000002</v>
      </c>
      <c r="F538">
        <v>36</v>
      </c>
      <c r="G538">
        <v>17.77</v>
      </c>
      <c r="H538">
        <v>0</v>
      </c>
      <c r="I538">
        <v>13.4</v>
      </c>
      <c r="J538">
        <v>15</v>
      </c>
      <c r="K538" t="s">
        <v>18</v>
      </c>
      <c r="L538" t="s">
        <v>14</v>
      </c>
    </row>
    <row r="539" spans="1:12" x14ac:dyDescent="0.2">
      <c r="A539">
        <v>21844</v>
      </c>
      <c r="B539">
        <v>40</v>
      </c>
      <c r="C539" t="s">
        <v>17</v>
      </c>
      <c r="D539">
        <v>7536.17</v>
      </c>
      <c r="E539">
        <v>11094.72</v>
      </c>
      <c r="F539">
        <v>36</v>
      </c>
      <c r="G539">
        <v>23.9</v>
      </c>
      <c r="H539">
        <v>4</v>
      </c>
      <c r="I539">
        <v>11</v>
      </c>
      <c r="J539">
        <v>60</v>
      </c>
      <c r="K539" t="s">
        <v>15</v>
      </c>
      <c r="L539" t="s">
        <v>14</v>
      </c>
    </row>
    <row r="540" spans="1:12" x14ac:dyDescent="0.2">
      <c r="A540">
        <v>22340</v>
      </c>
      <c r="B540">
        <v>64</v>
      </c>
      <c r="C540" t="s">
        <v>17</v>
      </c>
      <c r="D540">
        <v>4277.6899999999996</v>
      </c>
      <c r="E540">
        <v>20171.900000000001</v>
      </c>
      <c r="F540">
        <v>18</v>
      </c>
      <c r="G540">
        <v>12.28</v>
      </c>
      <c r="H540">
        <v>1</v>
      </c>
      <c r="I540">
        <v>-2</v>
      </c>
      <c r="J540">
        <v>60</v>
      </c>
      <c r="K540" t="s">
        <v>24</v>
      </c>
      <c r="L540" t="s">
        <v>19</v>
      </c>
    </row>
    <row r="541" spans="1:12" x14ac:dyDescent="0.2">
      <c r="A541">
        <v>21231</v>
      </c>
      <c r="B541">
        <v>57</v>
      </c>
      <c r="C541" t="s">
        <v>21</v>
      </c>
      <c r="D541">
        <v>7505.95</v>
      </c>
      <c r="E541">
        <v>12175.81</v>
      </c>
      <c r="F541">
        <v>24</v>
      </c>
      <c r="G541">
        <v>19.53</v>
      </c>
      <c r="H541">
        <v>0</v>
      </c>
      <c r="I541">
        <v>2.9</v>
      </c>
      <c r="J541">
        <v>15</v>
      </c>
      <c r="K541" t="s">
        <v>18</v>
      </c>
      <c r="L541" t="s">
        <v>16</v>
      </c>
    </row>
    <row r="542" spans="1:12" x14ac:dyDescent="0.2">
      <c r="A542">
        <v>20629</v>
      </c>
      <c r="B542">
        <v>45</v>
      </c>
      <c r="C542" t="s">
        <v>17</v>
      </c>
      <c r="D542">
        <v>1080.23</v>
      </c>
      <c r="E542">
        <v>27755.63</v>
      </c>
      <c r="F542">
        <v>48</v>
      </c>
      <c r="G542">
        <v>18.989999999999998</v>
      </c>
      <c r="I542">
        <v>12.2</v>
      </c>
      <c r="J542">
        <v>120</v>
      </c>
      <c r="K542" t="s">
        <v>18</v>
      </c>
      <c r="L542" t="s">
        <v>22</v>
      </c>
    </row>
    <row r="543" spans="1:12" x14ac:dyDescent="0.2">
      <c r="A543">
        <v>22650</v>
      </c>
      <c r="B543">
        <v>52</v>
      </c>
      <c r="C543" t="s">
        <v>26</v>
      </c>
      <c r="D543">
        <v>6425.99</v>
      </c>
      <c r="E543">
        <v>15853.81</v>
      </c>
      <c r="F543">
        <v>12</v>
      </c>
      <c r="G543">
        <v>19.8</v>
      </c>
      <c r="H543">
        <v>2</v>
      </c>
      <c r="I543">
        <v>9.8000000000000007</v>
      </c>
      <c r="J543">
        <v>30</v>
      </c>
      <c r="K543" t="s">
        <v>15</v>
      </c>
      <c r="L543" t="s">
        <v>16</v>
      </c>
    </row>
    <row r="544" spans="1:12" x14ac:dyDescent="0.2">
      <c r="A544">
        <v>23190</v>
      </c>
      <c r="B544">
        <v>21</v>
      </c>
      <c r="C544" t="s">
        <v>23</v>
      </c>
      <c r="D544">
        <v>2986.44</v>
      </c>
      <c r="E544">
        <v>9441.2199999999993</v>
      </c>
      <c r="F544">
        <v>24</v>
      </c>
      <c r="G544">
        <v>18.93</v>
      </c>
      <c r="H544">
        <v>2</v>
      </c>
      <c r="I544">
        <v>10.7</v>
      </c>
      <c r="K544" t="s">
        <v>13</v>
      </c>
      <c r="L544" t="s">
        <v>25</v>
      </c>
    </row>
    <row r="545" spans="1:12" x14ac:dyDescent="0.2">
      <c r="A545">
        <v>21726</v>
      </c>
      <c r="B545">
        <v>58</v>
      </c>
      <c r="C545" t="s">
        <v>12</v>
      </c>
      <c r="D545">
        <v>6502.08</v>
      </c>
      <c r="E545">
        <v>22727.279999999999</v>
      </c>
      <c r="F545">
        <v>6</v>
      </c>
      <c r="G545">
        <v>18.760000000000002</v>
      </c>
      <c r="H545">
        <v>3</v>
      </c>
      <c r="I545">
        <v>2.2000000000000002</v>
      </c>
      <c r="J545">
        <v>15</v>
      </c>
      <c r="K545" t="s">
        <v>13</v>
      </c>
      <c r="L545" t="s">
        <v>25</v>
      </c>
    </row>
    <row r="546" spans="1:12" x14ac:dyDescent="0.2">
      <c r="A546">
        <v>20794</v>
      </c>
      <c r="B546">
        <v>36</v>
      </c>
      <c r="C546" t="s">
        <v>23</v>
      </c>
      <c r="D546">
        <v>5630.64</v>
      </c>
      <c r="E546">
        <v>31980.82</v>
      </c>
      <c r="F546">
        <v>48</v>
      </c>
      <c r="G546">
        <v>19.63</v>
      </c>
      <c r="I546">
        <v>2.4</v>
      </c>
      <c r="J546">
        <v>120</v>
      </c>
      <c r="K546" t="s">
        <v>15</v>
      </c>
      <c r="L546" t="s">
        <v>19</v>
      </c>
    </row>
    <row r="547" spans="1:12" x14ac:dyDescent="0.2">
      <c r="A547">
        <v>24639</v>
      </c>
      <c r="B547">
        <v>59</v>
      </c>
      <c r="C547" t="s">
        <v>23</v>
      </c>
      <c r="D547">
        <v>5121.6499999999996</v>
      </c>
      <c r="E547">
        <v>17988.32</v>
      </c>
      <c r="F547">
        <v>60</v>
      </c>
      <c r="G547">
        <v>18.18</v>
      </c>
      <c r="H547">
        <v>0</v>
      </c>
      <c r="I547">
        <v>6.6</v>
      </c>
      <c r="J547">
        <v>90</v>
      </c>
      <c r="K547" t="s">
        <v>13</v>
      </c>
      <c r="L547" t="s">
        <v>25</v>
      </c>
    </row>
    <row r="548" spans="1:12" x14ac:dyDescent="0.2">
      <c r="A548">
        <v>25227</v>
      </c>
      <c r="B548">
        <v>55</v>
      </c>
      <c r="C548" t="s">
        <v>23</v>
      </c>
      <c r="D548">
        <v>7398.88</v>
      </c>
      <c r="E548">
        <v>12847.55</v>
      </c>
      <c r="F548">
        <v>36</v>
      </c>
      <c r="G548">
        <v>14.54</v>
      </c>
      <c r="H548">
        <v>1</v>
      </c>
      <c r="I548">
        <v>7.4</v>
      </c>
      <c r="J548">
        <v>90</v>
      </c>
      <c r="K548" t="s">
        <v>20</v>
      </c>
      <c r="L548" t="s">
        <v>19</v>
      </c>
    </row>
    <row r="549" spans="1:12" x14ac:dyDescent="0.2">
      <c r="A549">
        <v>22637</v>
      </c>
      <c r="B549">
        <v>26</v>
      </c>
      <c r="C549" t="s">
        <v>23</v>
      </c>
      <c r="D549">
        <v>5173.7299999999996</v>
      </c>
      <c r="E549">
        <v>27615.38</v>
      </c>
      <c r="F549">
        <v>6</v>
      </c>
      <c r="G549">
        <v>13.43</v>
      </c>
      <c r="H549">
        <v>0</v>
      </c>
      <c r="I549">
        <v>17.100000000000001</v>
      </c>
      <c r="K549" t="s">
        <v>20</v>
      </c>
      <c r="L549" t="s">
        <v>19</v>
      </c>
    </row>
    <row r="550" spans="1:12" x14ac:dyDescent="0.2">
      <c r="A550">
        <v>24015</v>
      </c>
      <c r="B550">
        <v>61</v>
      </c>
      <c r="C550" t="s">
        <v>23</v>
      </c>
      <c r="D550">
        <v>8756.69</v>
      </c>
      <c r="E550">
        <v>22626.720000000001</v>
      </c>
      <c r="F550">
        <v>24</v>
      </c>
      <c r="G550">
        <v>21.93</v>
      </c>
      <c r="H550">
        <v>2</v>
      </c>
      <c r="I550">
        <v>8.1999999999999993</v>
      </c>
      <c r="J550">
        <v>0</v>
      </c>
      <c r="K550" t="s">
        <v>15</v>
      </c>
      <c r="L550" t="s">
        <v>16</v>
      </c>
    </row>
    <row r="551" spans="1:12" x14ac:dyDescent="0.2">
      <c r="A551">
        <v>23928</v>
      </c>
      <c r="B551">
        <v>61</v>
      </c>
      <c r="C551" t="s">
        <v>23</v>
      </c>
      <c r="D551">
        <v>-1500</v>
      </c>
      <c r="E551">
        <v>30136.38</v>
      </c>
      <c r="F551">
        <v>6</v>
      </c>
      <c r="G551">
        <v>14.75</v>
      </c>
      <c r="H551">
        <v>3</v>
      </c>
      <c r="I551">
        <v>9.4</v>
      </c>
      <c r="J551">
        <v>0</v>
      </c>
      <c r="K551" t="s">
        <v>13</v>
      </c>
      <c r="L551" t="s">
        <v>19</v>
      </c>
    </row>
    <row r="552" spans="1:12" x14ac:dyDescent="0.2">
      <c r="A552">
        <v>25991</v>
      </c>
      <c r="B552">
        <v>75</v>
      </c>
      <c r="C552" t="s">
        <v>27</v>
      </c>
      <c r="D552">
        <v>2282.1999999999998</v>
      </c>
      <c r="E552">
        <v>15086.56</v>
      </c>
      <c r="F552">
        <v>60</v>
      </c>
      <c r="G552">
        <v>13.15</v>
      </c>
      <c r="I552">
        <v>4.5999999999999996</v>
      </c>
      <c r="J552">
        <v>120</v>
      </c>
      <c r="K552" t="s">
        <v>18</v>
      </c>
      <c r="L552" t="s">
        <v>19</v>
      </c>
    </row>
    <row r="553" spans="1:12" x14ac:dyDescent="0.2">
      <c r="A553">
        <v>24858</v>
      </c>
      <c r="B553">
        <v>50</v>
      </c>
      <c r="C553" t="s">
        <v>27</v>
      </c>
      <c r="D553">
        <v>1101.73</v>
      </c>
      <c r="E553">
        <v>30211.94</v>
      </c>
      <c r="F553">
        <v>24</v>
      </c>
      <c r="G553">
        <v>19.899999999999999</v>
      </c>
      <c r="H553">
        <v>2</v>
      </c>
      <c r="I553">
        <v>10</v>
      </c>
      <c r="J553">
        <v>0</v>
      </c>
      <c r="K553" t="s">
        <v>15</v>
      </c>
      <c r="L553" t="s">
        <v>19</v>
      </c>
    </row>
    <row r="554" spans="1:12" x14ac:dyDescent="0.2">
      <c r="A554">
        <v>20249</v>
      </c>
      <c r="B554">
        <v>31</v>
      </c>
      <c r="C554" t="s">
        <v>21</v>
      </c>
      <c r="D554">
        <v>6208.45</v>
      </c>
      <c r="E554">
        <v>17013.099999999999</v>
      </c>
      <c r="F554">
        <v>36</v>
      </c>
      <c r="G554">
        <v>15.18</v>
      </c>
      <c r="H554">
        <v>2</v>
      </c>
      <c r="I554">
        <v>8.3000000000000007</v>
      </c>
      <c r="J554">
        <v>120</v>
      </c>
      <c r="K554" t="s">
        <v>15</v>
      </c>
      <c r="L554" t="s">
        <v>14</v>
      </c>
    </row>
    <row r="555" spans="1:12" x14ac:dyDescent="0.2">
      <c r="A555">
        <v>20444</v>
      </c>
      <c r="B555">
        <v>50</v>
      </c>
      <c r="C555" t="s">
        <v>27</v>
      </c>
      <c r="D555">
        <v>3625.09</v>
      </c>
      <c r="E555">
        <v>31137.87</v>
      </c>
      <c r="F555">
        <v>60</v>
      </c>
      <c r="G555">
        <v>21.73</v>
      </c>
      <c r="H555">
        <v>2</v>
      </c>
      <c r="I555">
        <v>4.3</v>
      </c>
      <c r="J555">
        <v>60</v>
      </c>
      <c r="K555" t="s">
        <v>24</v>
      </c>
      <c r="L555" t="s">
        <v>25</v>
      </c>
    </row>
    <row r="556" spans="1:12" x14ac:dyDescent="0.2">
      <c r="A556">
        <v>20156</v>
      </c>
      <c r="B556">
        <v>57</v>
      </c>
      <c r="C556" t="s">
        <v>27</v>
      </c>
      <c r="D556">
        <v>4812.92</v>
      </c>
      <c r="E556">
        <v>24238.080000000002</v>
      </c>
      <c r="F556">
        <v>6</v>
      </c>
      <c r="G556">
        <v>20.239999999999998</v>
      </c>
      <c r="H556">
        <v>2</v>
      </c>
      <c r="I556">
        <v>7.5</v>
      </c>
      <c r="J556">
        <v>0</v>
      </c>
      <c r="K556" t="s">
        <v>18</v>
      </c>
      <c r="L556" t="s">
        <v>25</v>
      </c>
    </row>
    <row r="557" spans="1:12" x14ac:dyDescent="0.2">
      <c r="A557">
        <v>23459</v>
      </c>
      <c r="B557">
        <v>51</v>
      </c>
      <c r="C557" t="s">
        <v>21</v>
      </c>
      <c r="D557">
        <v>2707.29</v>
      </c>
      <c r="E557">
        <v>20452.810000000001</v>
      </c>
      <c r="F557">
        <v>6</v>
      </c>
      <c r="G557">
        <v>11.86</v>
      </c>
      <c r="H557">
        <v>3</v>
      </c>
      <c r="I557">
        <v>8</v>
      </c>
      <c r="J557">
        <v>90</v>
      </c>
      <c r="K557" t="s">
        <v>18</v>
      </c>
      <c r="L557" t="s">
        <v>19</v>
      </c>
    </row>
    <row r="558" spans="1:12" x14ac:dyDescent="0.2">
      <c r="A558">
        <v>20819</v>
      </c>
      <c r="B558">
        <v>75</v>
      </c>
      <c r="C558" t="s">
        <v>17</v>
      </c>
      <c r="D558">
        <v>5681.82</v>
      </c>
      <c r="E558">
        <v>22559.62</v>
      </c>
      <c r="F558">
        <v>12</v>
      </c>
      <c r="G558">
        <v>31.37</v>
      </c>
      <c r="H558">
        <v>2</v>
      </c>
      <c r="I558">
        <v>7.5</v>
      </c>
      <c r="K558" t="s">
        <v>15</v>
      </c>
      <c r="L558" t="s">
        <v>19</v>
      </c>
    </row>
    <row r="559" spans="1:12" x14ac:dyDescent="0.2">
      <c r="A559">
        <v>24499</v>
      </c>
      <c r="B559">
        <v>51</v>
      </c>
      <c r="C559" t="s">
        <v>17</v>
      </c>
      <c r="D559">
        <v>-1500</v>
      </c>
      <c r="E559">
        <v>11361.11</v>
      </c>
      <c r="F559">
        <v>60</v>
      </c>
      <c r="G559">
        <v>18.97</v>
      </c>
      <c r="H559">
        <v>4</v>
      </c>
      <c r="I559">
        <v>12.8</v>
      </c>
      <c r="J559">
        <v>60</v>
      </c>
      <c r="K559" t="s">
        <v>15</v>
      </c>
      <c r="L559" t="s">
        <v>22</v>
      </c>
    </row>
    <row r="560" spans="1:12" x14ac:dyDescent="0.2">
      <c r="A560">
        <v>25996</v>
      </c>
      <c r="B560">
        <v>31</v>
      </c>
      <c r="C560" t="s">
        <v>26</v>
      </c>
      <c r="D560">
        <v>4156.47</v>
      </c>
      <c r="E560">
        <v>8342.7099999999991</v>
      </c>
      <c r="F560">
        <v>12</v>
      </c>
      <c r="G560">
        <v>21.07</v>
      </c>
      <c r="H560">
        <v>4</v>
      </c>
      <c r="I560">
        <v>7.6</v>
      </c>
      <c r="J560">
        <v>15</v>
      </c>
      <c r="K560" t="s">
        <v>13</v>
      </c>
      <c r="L560" t="s">
        <v>19</v>
      </c>
    </row>
    <row r="561" spans="1:12" x14ac:dyDescent="0.2">
      <c r="A561">
        <v>22534</v>
      </c>
      <c r="B561">
        <v>24</v>
      </c>
      <c r="C561" t="s">
        <v>21</v>
      </c>
      <c r="D561">
        <v>4968.9399999999996</v>
      </c>
      <c r="E561">
        <v>38481.83</v>
      </c>
      <c r="F561">
        <v>12</v>
      </c>
      <c r="G561">
        <v>19.37</v>
      </c>
      <c r="H561">
        <v>0</v>
      </c>
      <c r="I561">
        <v>8.5</v>
      </c>
      <c r="J561">
        <v>30</v>
      </c>
      <c r="K561" t="s">
        <v>18</v>
      </c>
      <c r="L561" t="s">
        <v>14</v>
      </c>
    </row>
    <row r="562" spans="1:12" x14ac:dyDescent="0.2">
      <c r="A562">
        <v>24626</v>
      </c>
      <c r="B562">
        <v>75</v>
      </c>
      <c r="C562" t="s">
        <v>17</v>
      </c>
      <c r="D562">
        <v>4068.1</v>
      </c>
      <c r="E562">
        <v>21215.38</v>
      </c>
      <c r="F562">
        <v>12</v>
      </c>
      <c r="G562">
        <v>15.84</v>
      </c>
      <c r="H562">
        <v>1</v>
      </c>
      <c r="I562">
        <v>9.1999999999999993</v>
      </c>
      <c r="J562">
        <v>0</v>
      </c>
      <c r="K562" t="s">
        <v>15</v>
      </c>
      <c r="L562" t="s">
        <v>19</v>
      </c>
    </row>
    <row r="563" spans="1:12" x14ac:dyDescent="0.2">
      <c r="A563">
        <v>24149</v>
      </c>
      <c r="B563">
        <v>75</v>
      </c>
      <c r="C563" t="s">
        <v>12</v>
      </c>
      <c r="D563">
        <v>5746.61</v>
      </c>
      <c r="E563">
        <v>30306.71</v>
      </c>
      <c r="F563">
        <v>60</v>
      </c>
      <c r="G563">
        <v>35.44</v>
      </c>
      <c r="H563">
        <v>2</v>
      </c>
      <c r="I563">
        <v>5.8</v>
      </c>
      <c r="J563">
        <v>120</v>
      </c>
      <c r="K563" t="s">
        <v>15</v>
      </c>
      <c r="L563" t="s">
        <v>14</v>
      </c>
    </row>
    <row r="564" spans="1:12" x14ac:dyDescent="0.2">
      <c r="A564">
        <v>23538</v>
      </c>
      <c r="B564">
        <v>47</v>
      </c>
      <c r="C564" t="s">
        <v>21</v>
      </c>
      <c r="D564">
        <v>2331.12</v>
      </c>
      <c r="E564">
        <v>21482.18</v>
      </c>
      <c r="F564">
        <v>48</v>
      </c>
      <c r="G564">
        <v>20.58</v>
      </c>
      <c r="H564">
        <v>4</v>
      </c>
      <c r="I564">
        <v>2.9</v>
      </c>
      <c r="J564">
        <v>0</v>
      </c>
      <c r="K564" t="s">
        <v>24</v>
      </c>
      <c r="L564" t="s">
        <v>14</v>
      </c>
    </row>
    <row r="565" spans="1:12" x14ac:dyDescent="0.2">
      <c r="A565">
        <v>21541</v>
      </c>
      <c r="B565">
        <v>26</v>
      </c>
      <c r="C565" t="s">
        <v>12</v>
      </c>
      <c r="D565">
        <v>6125.53</v>
      </c>
      <c r="E565">
        <v>17756.419999999998</v>
      </c>
      <c r="F565">
        <v>18</v>
      </c>
      <c r="G565">
        <v>10.86</v>
      </c>
      <c r="H565">
        <v>1</v>
      </c>
      <c r="I565">
        <v>-0.9</v>
      </c>
      <c r="J565">
        <v>60</v>
      </c>
      <c r="K565" t="s">
        <v>13</v>
      </c>
      <c r="L565" t="s">
        <v>22</v>
      </c>
    </row>
    <row r="566" spans="1:12" x14ac:dyDescent="0.2">
      <c r="A566">
        <v>21246</v>
      </c>
      <c r="B566">
        <v>38</v>
      </c>
      <c r="C566" t="s">
        <v>12</v>
      </c>
      <c r="D566">
        <v>5403.51</v>
      </c>
      <c r="E566">
        <v>29128.74</v>
      </c>
      <c r="F566">
        <v>24</v>
      </c>
      <c r="G566">
        <v>24.45</v>
      </c>
      <c r="H566">
        <v>3</v>
      </c>
      <c r="I566">
        <v>6.6</v>
      </c>
      <c r="J566">
        <v>0</v>
      </c>
      <c r="K566" t="s">
        <v>13</v>
      </c>
      <c r="L566" t="s">
        <v>22</v>
      </c>
    </row>
    <row r="567" spans="1:12" x14ac:dyDescent="0.2">
      <c r="A567">
        <v>22892</v>
      </c>
      <c r="B567">
        <v>64</v>
      </c>
      <c r="C567" t="s">
        <v>17</v>
      </c>
      <c r="D567">
        <v>3494.33</v>
      </c>
      <c r="E567">
        <v>32681.59</v>
      </c>
      <c r="F567">
        <v>6</v>
      </c>
      <c r="G567">
        <v>21.41</v>
      </c>
      <c r="H567">
        <v>4</v>
      </c>
      <c r="I567">
        <v>11</v>
      </c>
      <c r="J567">
        <v>30</v>
      </c>
      <c r="K567" t="s">
        <v>24</v>
      </c>
      <c r="L567" t="s">
        <v>25</v>
      </c>
    </row>
    <row r="568" spans="1:12" x14ac:dyDescent="0.2">
      <c r="A568">
        <v>24710</v>
      </c>
      <c r="B568">
        <v>49</v>
      </c>
      <c r="C568" t="s">
        <v>21</v>
      </c>
      <c r="D568">
        <v>6874.11</v>
      </c>
      <c r="E568">
        <v>11053.46</v>
      </c>
      <c r="F568">
        <v>60</v>
      </c>
      <c r="G568">
        <v>14.08</v>
      </c>
      <c r="H568">
        <v>3</v>
      </c>
      <c r="J568">
        <v>15</v>
      </c>
      <c r="K568" t="s">
        <v>15</v>
      </c>
      <c r="L568" t="s">
        <v>16</v>
      </c>
    </row>
    <row r="569" spans="1:12" x14ac:dyDescent="0.2">
      <c r="A569">
        <v>24863</v>
      </c>
      <c r="B569">
        <v>25</v>
      </c>
      <c r="C569" t="s">
        <v>12</v>
      </c>
      <c r="D569">
        <v>1430.64</v>
      </c>
      <c r="E569">
        <v>21944</v>
      </c>
      <c r="F569">
        <v>36</v>
      </c>
      <c r="G569">
        <v>19.440000000000001</v>
      </c>
      <c r="H569">
        <v>2</v>
      </c>
      <c r="I569">
        <v>2.2000000000000002</v>
      </c>
      <c r="J569">
        <v>90</v>
      </c>
      <c r="K569" t="s">
        <v>15</v>
      </c>
      <c r="L569" t="s">
        <v>19</v>
      </c>
    </row>
    <row r="570" spans="1:12" x14ac:dyDescent="0.2">
      <c r="A570">
        <v>20224</v>
      </c>
      <c r="B570">
        <v>50</v>
      </c>
      <c r="C570" t="s">
        <v>12</v>
      </c>
      <c r="D570">
        <v>313.3</v>
      </c>
      <c r="E570">
        <v>15829.85</v>
      </c>
      <c r="F570">
        <v>12</v>
      </c>
      <c r="G570">
        <v>12.19</v>
      </c>
      <c r="H570">
        <v>0</v>
      </c>
      <c r="I570">
        <v>13.8</v>
      </c>
      <c r="J570">
        <v>0</v>
      </c>
      <c r="K570" t="s">
        <v>20</v>
      </c>
      <c r="L570" t="s">
        <v>19</v>
      </c>
    </row>
    <row r="571" spans="1:12" x14ac:dyDescent="0.2">
      <c r="A571">
        <v>21595</v>
      </c>
      <c r="B571">
        <v>21</v>
      </c>
      <c r="C571" t="s">
        <v>23</v>
      </c>
      <c r="D571">
        <v>5263.34</v>
      </c>
      <c r="F571">
        <v>6</v>
      </c>
      <c r="G571">
        <v>23.38</v>
      </c>
      <c r="I571">
        <v>6.3</v>
      </c>
      <c r="J571">
        <v>0</v>
      </c>
      <c r="K571" t="s">
        <v>13</v>
      </c>
      <c r="L571" t="s">
        <v>22</v>
      </c>
    </row>
    <row r="572" spans="1:12" x14ac:dyDescent="0.2">
      <c r="A572">
        <v>25023</v>
      </c>
      <c r="B572">
        <v>43</v>
      </c>
      <c r="C572" t="s">
        <v>23</v>
      </c>
      <c r="D572">
        <v>7599.39</v>
      </c>
      <c r="E572">
        <v>30847.03</v>
      </c>
      <c r="F572">
        <v>48</v>
      </c>
      <c r="G572">
        <v>19.399999999999999</v>
      </c>
      <c r="I572">
        <v>5.6</v>
      </c>
      <c r="J572">
        <v>0</v>
      </c>
      <c r="K572" t="s">
        <v>18</v>
      </c>
      <c r="L572" t="s">
        <v>16</v>
      </c>
    </row>
    <row r="573" spans="1:12" x14ac:dyDescent="0.2">
      <c r="A573">
        <v>24046</v>
      </c>
      <c r="B573">
        <v>120</v>
      </c>
      <c r="C573" t="s">
        <v>23</v>
      </c>
      <c r="D573">
        <v>4624.13</v>
      </c>
      <c r="E573">
        <v>8363.33</v>
      </c>
      <c r="F573">
        <v>24</v>
      </c>
      <c r="G573">
        <v>24.36</v>
      </c>
      <c r="H573">
        <v>4</v>
      </c>
      <c r="I573">
        <v>10</v>
      </c>
      <c r="J573">
        <v>0</v>
      </c>
      <c r="K573" t="s">
        <v>24</v>
      </c>
      <c r="L573" t="s">
        <v>19</v>
      </c>
    </row>
    <row r="574" spans="1:12" x14ac:dyDescent="0.2">
      <c r="A574">
        <v>25369</v>
      </c>
      <c r="B574">
        <v>59</v>
      </c>
      <c r="C574" t="s">
        <v>12</v>
      </c>
      <c r="D574">
        <v>7876.85</v>
      </c>
      <c r="E574">
        <v>17666.32</v>
      </c>
      <c r="F574">
        <v>6</v>
      </c>
      <c r="G574">
        <v>22.15</v>
      </c>
      <c r="H574">
        <v>1</v>
      </c>
      <c r="I574">
        <v>5.4</v>
      </c>
      <c r="J574">
        <v>0</v>
      </c>
      <c r="K574" t="s">
        <v>15</v>
      </c>
      <c r="L574" t="s">
        <v>16</v>
      </c>
    </row>
    <row r="575" spans="1:12" x14ac:dyDescent="0.2">
      <c r="A575">
        <v>23135</v>
      </c>
      <c r="B575">
        <v>38</v>
      </c>
      <c r="C575" t="s">
        <v>21</v>
      </c>
      <c r="D575">
        <v>2578.73</v>
      </c>
      <c r="E575">
        <v>29052.16</v>
      </c>
      <c r="F575">
        <v>18</v>
      </c>
      <c r="G575">
        <v>13.18</v>
      </c>
      <c r="H575">
        <v>4</v>
      </c>
      <c r="J575">
        <v>60</v>
      </c>
      <c r="K575" t="s">
        <v>13</v>
      </c>
      <c r="L575" t="s">
        <v>22</v>
      </c>
    </row>
    <row r="576" spans="1:12" x14ac:dyDescent="0.2">
      <c r="A576">
        <v>23073</v>
      </c>
      <c r="B576">
        <v>23</v>
      </c>
      <c r="C576" t="s">
        <v>12</v>
      </c>
      <c r="D576">
        <v>7851.76</v>
      </c>
      <c r="E576">
        <v>34065.160000000003</v>
      </c>
      <c r="F576">
        <v>36</v>
      </c>
      <c r="G576">
        <v>17.420000000000002</v>
      </c>
      <c r="H576">
        <v>0</v>
      </c>
      <c r="I576">
        <v>2.6</v>
      </c>
      <c r="J576">
        <v>0</v>
      </c>
      <c r="K576" t="s">
        <v>20</v>
      </c>
      <c r="L576" t="s">
        <v>14</v>
      </c>
    </row>
    <row r="577" spans="1:12" x14ac:dyDescent="0.2">
      <c r="A577">
        <v>23437</v>
      </c>
      <c r="B577">
        <v>22</v>
      </c>
      <c r="C577" t="s">
        <v>12</v>
      </c>
      <c r="D577">
        <v>4212.03</v>
      </c>
      <c r="E577">
        <v>18745.86</v>
      </c>
      <c r="F577">
        <v>48</v>
      </c>
      <c r="G577">
        <v>20.5</v>
      </c>
      <c r="H577">
        <v>4</v>
      </c>
      <c r="I577">
        <v>14.8</v>
      </c>
      <c r="J577">
        <v>90</v>
      </c>
      <c r="K577" t="s">
        <v>13</v>
      </c>
      <c r="L577" t="s">
        <v>22</v>
      </c>
    </row>
    <row r="578" spans="1:12" x14ac:dyDescent="0.2">
      <c r="A578">
        <v>24217</v>
      </c>
      <c r="B578">
        <v>61</v>
      </c>
      <c r="C578" t="s">
        <v>12</v>
      </c>
      <c r="D578">
        <v>853.77</v>
      </c>
      <c r="E578">
        <v>18017.39</v>
      </c>
      <c r="F578">
        <v>6</v>
      </c>
      <c r="G578">
        <v>18.649999999999999</v>
      </c>
      <c r="H578">
        <v>4</v>
      </c>
      <c r="I578">
        <v>12.6</v>
      </c>
      <c r="K578" t="s">
        <v>24</v>
      </c>
      <c r="L578" t="s">
        <v>16</v>
      </c>
    </row>
    <row r="579" spans="1:12" x14ac:dyDescent="0.2">
      <c r="A579">
        <v>22128</v>
      </c>
      <c r="B579">
        <v>22</v>
      </c>
      <c r="C579" t="s">
        <v>12</v>
      </c>
      <c r="D579">
        <v>7611.9</v>
      </c>
      <c r="E579">
        <v>36640.94</v>
      </c>
      <c r="F579">
        <v>12</v>
      </c>
      <c r="G579">
        <v>22.99</v>
      </c>
      <c r="H579">
        <v>2</v>
      </c>
      <c r="I579">
        <v>6.5</v>
      </c>
      <c r="J579">
        <v>0</v>
      </c>
      <c r="K579" t="s">
        <v>24</v>
      </c>
      <c r="L579" t="s">
        <v>16</v>
      </c>
    </row>
    <row r="580" spans="1:12" x14ac:dyDescent="0.2">
      <c r="A580">
        <v>25565</v>
      </c>
      <c r="B580">
        <v>58</v>
      </c>
      <c r="C580" t="s">
        <v>23</v>
      </c>
      <c r="D580">
        <v>3672.27</v>
      </c>
      <c r="E580">
        <v>29325.31</v>
      </c>
      <c r="F580">
        <v>6</v>
      </c>
      <c r="G580">
        <v>14.28</v>
      </c>
      <c r="H580">
        <v>0</v>
      </c>
      <c r="I580">
        <v>11.8</v>
      </c>
      <c r="J580">
        <v>0</v>
      </c>
      <c r="K580" t="s">
        <v>20</v>
      </c>
      <c r="L580" t="s">
        <v>14</v>
      </c>
    </row>
    <row r="581" spans="1:12" x14ac:dyDescent="0.2">
      <c r="A581">
        <v>20045</v>
      </c>
      <c r="B581">
        <v>25</v>
      </c>
      <c r="C581" t="s">
        <v>17</v>
      </c>
      <c r="D581">
        <v>6606.3</v>
      </c>
      <c r="E581">
        <v>26885.16</v>
      </c>
      <c r="F581">
        <v>18</v>
      </c>
      <c r="G581">
        <v>21.3</v>
      </c>
      <c r="H581">
        <v>3</v>
      </c>
      <c r="I581">
        <v>6.3</v>
      </c>
      <c r="J581">
        <v>120</v>
      </c>
      <c r="K581" t="s">
        <v>20</v>
      </c>
      <c r="L581" t="s">
        <v>19</v>
      </c>
    </row>
    <row r="582" spans="1:12" x14ac:dyDescent="0.2">
      <c r="A582">
        <v>25774</v>
      </c>
      <c r="B582">
        <v>56</v>
      </c>
      <c r="C582" t="s">
        <v>12</v>
      </c>
      <c r="D582">
        <v>5180.7</v>
      </c>
      <c r="E582">
        <v>30683.37</v>
      </c>
      <c r="F582">
        <v>18</v>
      </c>
      <c r="G582">
        <v>14.19</v>
      </c>
      <c r="H582">
        <v>3</v>
      </c>
      <c r="I582">
        <v>9.6999999999999993</v>
      </c>
      <c r="K582" t="s">
        <v>13</v>
      </c>
      <c r="L582" t="s">
        <v>14</v>
      </c>
    </row>
    <row r="583" spans="1:12" x14ac:dyDescent="0.2">
      <c r="A583">
        <v>23189</v>
      </c>
      <c r="B583">
        <v>56</v>
      </c>
      <c r="C583" t="s">
        <v>21</v>
      </c>
      <c r="D583">
        <v>6563.03</v>
      </c>
      <c r="E583">
        <v>22890.43</v>
      </c>
      <c r="F583">
        <v>60</v>
      </c>
      <c r="G583">
        <v>18.07</v>
      </c>
      <c r="H583">
        <v>1</v>
      </c>
      <c r="I583">
        <v>-0.5</v>
      </c>
      <c r="J583">
        <v>0</v>
      </c>
      <c r="K583" t="s">
        <v>20</v>
      </c>
      <c r="L583" t="s">
        <v>22</v>
      </c>
    </row>
    <row r="584" spans="1:12" x14ac:dyDescent="0.2">
      <c r="A584">
        <v>24577</v>
      </c>
      <c r="B584">
        <v>41</v>
      </c>
      <c r="C584" t="s">
        <v>17</v>
      </c>
      <c r="D584">
        <v>6251.62</v>
      </c>
      <c r="E584">
        <v>18517.259999999998</v>
      </c>
      <c r="F584">
        <v>24</v>
      </c>
      <c r="G584">
        <v>27.08</v>
      </c>
      <c r="I584">
        <v>6.9</v>
      </c>
      <c r="J584">
        <v>0</v>
      </c>
      <c r="K584" t="s">
        <v>24</v>
      </c>
      <c r="L584" t="s">
        <v>16</v>
      </c>
    </row>
    <row r="585" spans="1:12" x14ac:dyDescent="0.2">
      <c r="A585">
        <v>20332</v>
      </c>
      <c r="B585">
        <v>52</v>
      </c>
      <c r="C585" t="s">
        <v>27</v>
      </c>
      <c r="D585">
        <v>6415.87</v>
      </c>
      <c r="E585">
        <v>9323.01</v>
      </c>
      <c r="F585">
        <v>60</v>
      </c>
      <c r="G585">
        <v>4.72</v>
      </c>
      <c r="H585">
        <v>3</v>
      </c>
      <c r="I585">
        <v>3.5</v>
      </c>
      <c r="J585">
        <v>60</v>
      </c>
      <c r="K585" t="s">
        <v>18</v>
      </c>
      <c r="L585" t="s">
        <v>25</v>
      </c>
    </row>
    <row r="586" spans="1:12" x14ac:dyDescent="0.2">
      <c r="A586">
        <v>20236</v>
      </c>
      <c r="B586">
        <v>45</v>
      </c>
      <c r="C586" t="s">
        <v>23</v>
      </c>
      <c r="D586">
        <v>7740.47</v>
      </c>
      <c r="E586">
        <v>47021.07</v>
      </c>
      <c r="F586">
        <v>6</v>
      </c>
      <c r="G586">
        <v>15.47</v>
      </c>
      <c r="H586">
        <v>3</v>
      </c>
      <c r="I586">
        <v>3.5</v>
      </c>
      <c r="J586">
        <v>90</v>
      </c>
      <c r="K586" t="s">
        <v>18</v>
      </c>
      <c r="L586" t="s">
        <v>22</v>
      </c>
    </row>
    <row r="587" spans="1:12" x14ac:dyDescent="0.2">
      <c r="A587">
        <v>21218</v>
      </c>
      <c r="B587">
        <v>22</v>
      </c>
      <c r="C587" t="s">
        <v>12</v>
      </c>
      <c r="D587">
        <v>6997.39</v>
      </c>
      <c r="E587">
        <v>7825.01</v>
      </c>
      <c r="F587">
        <v>36</v>
      </c>
      <c r="G587">
        <v>55</v>
      </c>
      <c r="H587">
        <v>3</v>
      </c>
      <c r="I587">
        <v>1.1000000000000001</v>
      </c>
      <c r="J587">
        <v>90</v>
      </c>
      <c r="K587" t="s">
        <v>18</v>
      </c>
      <c r="L587" t="s">
        <v>16</v>
      </c>
    </row>
    <row r="588" spans="1:12" x14ac:dyDescent="0.2">
      <c r="A588">
        <v>22401</v>
      </c>
      <c r="B588">
        <v>64</v>
      </c>
      <c r="C588" t="s">
        <v>21</v>
      </c>
      <c r="D588">
        <v>3441.96</v>
      </c>
      <c r="E588">
        <v>7158.86</v>
      </c>
      <c r="F588">
        <v>36</v>
      </c>
      <c r="G588">
        <v>14.12</v>
      </c>
      <c r="I588">
        <v>8.6</v>
      </c>
      <c r="J588">
        <v>0</v>
      </c>
      <c r="K588" t="s">
        <v>20</v>
      </c>
      <c r="L588" t="s">
        <v>14</v>
      </c>
    </row>
    <row r="589" spans="1:12" x14ac:dyDescent="0.2">
      <c r="A589">
        <v>24840</v>
      </c>
      <c r="B589">
        <v>64</v>
      </c>
      <c r="C589" t="s">
        <v>23</v>
      </c>
      <c r="D589">
        <v>5036.6899999999996</v>
      </c>
      <c r="E589">
        <v>29153.5</v>
      </c>
      <c r="F589">
        <v>6</v>
      </c>
      <c r="G589">
        <v>26.04</v>
      </c>
      <c r="H589">
        <v>2</v>
      </c>
      <c r="I589">
        <v>5.3</v>
      </c>
      <c r="K589" t="s">
        <v>20</v>
      </c>
      <c r="L589" t="s">
        <v>22</v>
      </c>
    </row>
    <row r="590" spans="1:12" x14ac:dyDescent="0.2">
      <c r="A590">
        <v>20391</v>
      </c>
      <c r="B590">
        <v>28</v>
      </c>
      <c r="C590" t="s">
        <v>23</v>
      </c>
      <c r="D590">
        <v>8786.06</v>
      </c>
      <c r="E590">
        <v>16366.28</v>
      </c>
      <c r="F590">
        <v>60</v>
      </c>
      <c r="G590">
        <v>16.38</v>
      </c>
      <c r="H590">
        <v>3</v>
      </c>
      <c r="I590">
        <v>8.6</v>
      </c>
      <c r="J590">
        <v>60</v>
      </c>
      <c r="K590" t="s">
        <v>24</v>
      </c>
      <c r="L590" t="s">
        <v>14</v>
      </c>
    </row>
    <row r="591" spans="1:12" x14ac:dyDescent="0.2">
      <c r="A591">
        <v>23377</v>
      </c>
      <c r="B591">
        <v>46</v>
      </c>
      <c r="C591" t="s">
        <v>27</v>
      </c>
      <c r="D591">
        <v>4528.59</v>
      </c>
      <c r="E591">
        <v>26120.62</v>
      </c>
      <c r="F591">
        <v>60</v>
      </c>
      <c r="G591">
        <v>12.82</v>
      </c>
      <c r="H591">
        <v>1</v>
      </c>
      <c r="J591">
        <v>0</v>
      </c>
      <c r="K591" t="s">
        <v>18</v>
      </c>
      <c r="L591" t="s">
        <v>25</v>
      </c>
    </row>
    <row r="592" spans="1:12" x14ac:dyDescent="0.2">
      <c r="A592">
        <v>22436</v>
      </c>
      <c r="B592">
        <v>27</v>
      </c>
      <c r="C592" t="s">
        <v>23</v>
      </c>
      <c r="D592">
        <v>8342.75</v>
      </c>
      <c r="E592">
        <v>4855.8999999999996</v>
      </c>
      <c r="F592">
        <v>18</v>
      </c>
      <c r="G592">
        <v>17.47</v>
      </c>
      <c r="H592">
        <v>0</v>
      </c>
      <c r="I592">
        <v>12.3</v>
      </c>
      <c r="J592">
        <v>0</v>
      </c>
      <c r="K592" t="s">
        <v>15</v>
      </c>
      <c r="L592" t="s">
        <v>14</v>
      </c>
    </row>
    <row r="593" spans="1:12" x14ac:dyDescent="0.2">
      <c r="A593">
        <v>24664</v>
      </c>
      <c r="B593">
        <v>120</v>
      </c>
      <c r="C593" t="s">
        <v>17</v>
      </c>
      <c r="D593">
        <v>2998.87</v>
      </c>
      <c r="E593">
        <v>17031.82</v>
      </c>
      <c r="F593">
        <v>36</v>
      </c>
      <c r="G593">
        <v>15.99</v>
      </c>
      <c r="H593">
        <v>0</v>
      </c>
      <c r="I593">
        <v>3.8</v>
      </c>
      <c r="K593" t="s">
        <v>24</v>
      </c>
      <c r="L593" t="s">
        <v>22</v>
      </c>
    </row>
    <row r="594" spans="1:12" x14ac:dyDescent="0.2">
      <c r="A594">
        <v>20991</v>
      </c>
      <c r="B594">
        <v>62</v>
      </c>
      <c r="C594" t="s">
        <v>23</v>
      </c>
      <c r="D594">
        <v>3236.15</v>
      </c>
      <c r="E594">
        <v>15956.25</v>
      </c>
      <c r="F594">
        <v>6</v>
      </c>
      <c r="G594">
        <v>17.21</v>
      </c>
      <c r="H594">
        <v>1</v>
      </c>
      <c r="I594">
        <v>6.3</v>
      </c>
      <c r="J594">
        <v>120</v>
      </c>
      <c r="K594" t="s">
        <v>20</v>
      </c>
      <c r="L594" t="s">
        <v>14</v>
      </c>
    </row>
    <row r="595" spans="1:12" x14ac:dyDescent="0.2">
      <c r="A595">
        <v>23973</v>
      </c>
      <c r="B595">
        <v>25</v>
      </c>
      <c r="C595" t="s">
        <v>27</v>
      </c>
      <c r="D595">
        <v>2563.71</v>
      </c>
      <c r="E595">
        <v>28062.11</v>
      </c>
      <c r="F595">
        <v>24</v>
      </c>
      <c r="G595">
        <v>24.05</v>
      </c>
      <c r="H595">
        <v>1</v>
      </c>
      <c r="I595">
        <v>3.4</v>
      </c>
      <c r="J595">
        <v>90</v>
      </c>
      <c r="K595" t="s">
        <v>13</v>
      </c>
      <c r="L595" t="s">
        <v>14</v>
      </c>
    </row>
    <row r="596" spans="1:12" x14ac:dyDescent="0.2">
      <c r="A596">
        <v>23292</v>
      </c>
      <c r="B596">
        <v>21</v>
      </c>
      <c r="C596" t="s">
        <v>12</v>
      </c>
      <c r="D596">
        <v>2820.65</v>
      </c>
      <c r="E596">
        <v>27513.759999999998</v>
      </c>
      <c r="F596">
        <v>6</v>
      </c>
      <c r="G596">
        <v>19.77</v>
      </c>
      <c r="H596">
        <v>1</v>
      </c>
      <c r="I596">
        <v>8.3000000000000007</v>
      </c>
      <c r="J596">
        <v>120</v>
      </c>
      <c r="K596" t="s">
        <v>15</v>
      </c>
      <c r="L596" t="s">
        <v>25</v>
      </c>
    </row>
    <row r="597" spans="1:12" x14ac:dyDescent="0.2">
      <c r="A597">
        <v>23359</v>
      </c>
      <c r="B597">
        <v>51</v>
      </c>
      <c r="C597" t="s">
        <v>27</v>
      </c>
      <c r="D597">
        <v>7249.92</v>
      </c>
      <c r="E597">
        <v>27759.89</v>
      </c>
      <c r="F597">
        <v>6</v>
      </c>
      <c r="G597">
        <v>23.47</v>
      </c>
      <c r="H597">
        <v>4</v>
      </c>
      <c r="I597">
        <v>4.9000000000000004</v>
      </c>
      <c r="J597">
        <v>60</v>
      </c>
      <c r="K597" t="s">
        <v>13</v>
      </c>
      <c r="L597" t="s">
        <v>22</v>
      </c>
    </row>
    <row r="598" spans="1:12" x14ac:dyDescent="0.2">
      <c r="A598">
        <v>20795</v>
      </c>
      <c r="B598">
        <v>39</v>
      </c>
      <c r="C598" t="s">
        <v>17</v>
      </c>
      <c r="D598">
        <v>5698.27</v>
      </c>
      <c r="E598">
        <v>30524.44</v>
      </c>
      <c r="F598">
        <v>6</v>
      </c>
      <c r="G598">
        <v>23.53</v>
      </c>
      <c r="H598">
        <v>4</v>
      </c>
      <c r="I598">
        <v>10.8</v>
      </c>
      <c r="J598">
        <v>30</v>
      </c>
      <c r="K598" t="s">
        <v>24</v>
      </c>
      <c r="L598" t="s">
        <v>19</v>
      </c>
    </row>
    <row r="599" spans="1:12" x14ac:dyDescent="0.2">
      <c r="A599">
        <v>23128</v>
      </c>
      <c r="B599">
        <v>21</v>
      </c>
      <c r="C599" t="s">
        <v>21</v>
      </c>
      <c r="D599">
        <v>5447.73</v>
      </c>
      <c r="E599">
        <v>16345.92</v>
      </c>
      <c r="F599">
        <v>60</v>
      </c>
      <c r="G599">
        <v>31.01</v>
      </c>
      <c r="H599">
        <v>0</v>
      </c>
      <c r="I599">
        <v>5.8</v>
      </c>
      <c r="J599">
        <v>60</v>
      </c>
      <c r="K599" t="s">
        <v>24</v>
      </c>
      <c r="L599" t="s">
        <v>19</v>
      </c>
    </row>
    <row r="600" spans="1:12" x14ac:dyDescent="0.2">
      <c r="A600">
        <v>23626</v>
      </c>
      <c r="B600">
        <v>32</v>
      </c>
      <c r="C600" t="s">
        <v>23</v>
      </c>
      <c r="D600">
        <v>9114.2000000000007</v>
      </c>
      <c r="E600">
        <v>22545.14</v>
      </c>
      <c r="F600">
        <v>48</v>
      </c>
      <c r="G600">
        <v>16.440000000000001</v>
      </c>
      <c r="H600">
        <v>0</v>
      </c>
      <c r="I600">
        <v>-1.4</v>
      </c>
      <c r="K600" t="s">
        <v>15</v>
      </c>
      <c r="L600" t="s">
        <v>16</v>
      </c>
    </row>
    <row r="601" spans="1:12" x14ac:dyDescent="0.2">
      <c r="A601">
        <v>24919</v>
      </c>
      <c r="B601">
        <v>41</v>
      </c>
      <c r="C601" t="s">
        <v>27</v>
      </c>
      <c r="D601">
        <v>-1500</v>
      </c>
      <c r="E601">
        <v>14546.66</v>
      </c>
      <c r="F601">
        <v>12</v>
      </c>
      <c r="G601">
        <v>24.02</v>
      </c>
      <c r="H601">
        <v>1</v>
      </c>
      <c r="I601">
        <v>6.8</v>
      </c>
      <c r="J601">
        <v>0</v>
      </c>
      <c r="K601" t="s">
        <v>15</v>
      </c>
      <c r="L601" t="s">
        <v>14</v>
      </c>
    </row>
    <row r="602" spans="1:12" x14ac:dyDescent="0.2">
      <c r="A602">
        <v>20500</v>
      </c>
      <c r="B602">
        <v>60</v>
      </c>
      <c r="C602" t="s">
        <v>21</v>
      </c>
      <c r="D602">
        <v>4661.3100000000004</v>
      </c>
      <c r="E602">
        <v>11780.49</v>
      </c>
      <c r="F602">
        <v>60</v>
      </c>
      <c r="G602">
        <v>21.25</v>
      </c>
      <c r="H602">
        <v>3</v>
      </c>
      <c r="I602">
        <v>11.8</v>
      </c>
      <c r="J602">
        <v>120</v>
      </c>
      <c r="K602" t="s">
        <v>18</v>
      </c>
      <c r="L602" t="s">
        <v>14</v>
      </c>
    </row>
    <row r="603" spans="1:12" x14ac:dyDescent="0.2">
      <c r="A603">
        <v>23164</v>
      </c>
      <c r="B603">
        <v>48</v>
      </c>
      <c r="C603" t="s">
        <v>17</v>
      </c>
      <c r="D603">
        <v>593.92999999999995</v>
      </c>
      <c r="E603">
        <v>19894.939999999999</v>
      </c>
      <c r="F603">
        <v>12</v>
      </c>
      <c r="G603">
        <v>23.99</v>
      </c>
      <c r="I603">
        <v>11.3</v>
      </c>
      <c r="J603">
        <v>0</v>
      </c>
      <c r="K603" t="s">
        <v>13</v>
      </c>
      <c r="L603" t="s">
        <v>22</v>
      </c>
    </row>
    <row r="604" spans="1:12" x14ac:dyDescent="0.2">
      <c r="A604">
        <v>25782</v>
      </c>
      <c r="B604">
        <v>54</v>
      </c>
      <c r="C604" t="s">
        <v>23</v>
      </c>
      <c r="D604">
        <v>6128.94</v>
      </c>
      <c r="E604">
        <v>24985.32</v>
      </c>
      <c r="F604">
        <v>48</v>
      </c>
      <c r="G604">
        <v>11.69</v>
      </c>
      <c r="H604">
        <v>2</v>
      </c>
      <c r="I604">
        <v>2.4</v>
      </c>
      <c r="J604">
        <v>0</v>
      </c>
      <c r="K604" t="s">
        <v>15</v>
      </c>
      <c r="L604" t="s">
        <v>25</v>
      </c>
    </row>
    <row r="605" spans="1:12" x14ac:dyDescent="0.2">
      <c r="A605">
        <v>20237</v>
      </c>
      <c r="B605">
        <v>23</v>
      </c>
      <c r="C605" t="s">
        <v>21</v>
      </c>
      <c r="D605">
        <v>141.25</v>
      </c>
      <c r="E605">
        <v>19596.16</v>
      </c>
      <c r="F605">
        <v>48</v>
      </c>
      <c r="G605">
        <v>25.61</v>
      </c>
      <c r="I605">
        <v>14.3</v>
      </c>
      <c r="J605">
        <v>90</v>
      </c>
      <c r="K605" t="s">
        <v>13</v>
      </c>
      <c r="L605" t="s">
        <v>16</v>
      </c>
    </row>
    <row r="606" spans="1:12" x14ac:dyDescent="0.2">
      <c r="A606">
        <v>21739</v>
      </c>
      <c r="B606">
        <v>51</v>
      </c>
      <c r="C606" t="s">
        <v>17</v>
      </c>
      <c r="D606">
        <v>8833.0300000000007</v>
      </c>
      <c r="E606">
        <v>5097.5</v>
      </c>
      <c r="F606">
        <v>24</v>
      </c>
      <c r="G606">
        <v>22.99</v>
      </c>
      <c r="H606">
        <v>4</v>
      </c>
      <c r="I606">
        <v>12.2</v>
      </c>
      <c r="J606">
        <v>90</v>
      </c>
      <c r="K606" t="s">
        <v>15</v>
      </c>
      <c r="L606" t="s">
        <v>25</v>
      </c>
    </row>
    <row r="607" spans="1:12" x14ac:dyDescent="0.2">
      <c r="A607">
        <v>23110</v>
      </c>
      <c r="B607">
        <v>56</v>
      </c>
      <c r="C607" t="s">
        <v>12</v>
      </c>
      <c r="D607">
        <v>3488.83</v>
      </c>
      <c r="E607">
        <v>15566.09</v>
      </c>
      <c r="F607">
        <v>24</v>
      </c>
      <c r="G607">
        <v>22.89</v>
      </c>
      <c r="H607">
        <v>0</v>
      </c>
      <c r="I607">
        <v>7</v>
      </c>
      <c r="J607">
        <v>120</v>
      </c>
      <c r="K607" t="s">
        <v>15</v>
      </c>
      <c r="L607" t="s">
        <v>22</v>
      </c>
    </row>
    <row r="608" spans="1:12" x14ac:dyDescent="0.2">
      <c r="A608">
        <v>24786</v>
      </c>
      <c r="B608">
        <v>52</v>
      </c>
      <c r="C608" t="s">
        <v>21</v>
      </c>
      <c r="D608">
        <v>4693.51</v>
      </c>
      <c r="E608">
        <v>16123.99</v>
      </c>
      <c r="F608">
        <v>12</v>
      </c>
      <c r="G608">
        <v>17.489999999999998</v>
      </c>
      <c r="H608">
        <v>3</v>
      </c>
      <c r="I608">
        <v>11.5</v>
      </c>
      <c r="K608" t="s">
        <v>15</v>
      </c>
      <c r="L608" t="s">
        <v>25</v>
      </c>
    </row>
    <row r="609" spans="1:12" x14ac:dyDescent="0.2">
      <c r="A609">
        <v>25843</v>
      </c>
      <c r="B609">
        <v>25</v>
      </c>
      <c r="C609" t="s">
        <v>23</v>
      </c>
      <c r="D609">
        <v>7893.79</v>
      </c>
      <c r="E609">
        <v>35703.730000000003</v>
      </c>
      <c r="F609">
        <v>36</v>
      </c>
      <c r="G609">
        <v>14.14</v>
      </c>
      <c r="I609">
        <v>6.6</v>
      </c>
      <c r="J609">
        <v>90</v>
      </c>
      <c r="K609" t="s">
        <v>18</v>
      </c>
      <c r="L609" t="s">
        <v>19</v>
      </c>
    </row>
    <row r="610" spans="1:12" x14ac:dyDescent="0.2">
      <c r="A610">
        <v>22350</v>
      </c>
      <c r="B610">
        <v>29</v>
      </c>
      <c r="C610" t="s">
        <v>23</v>
      </c>
      <c r="D610">
        <v>4463.25</v>
      </c>
      <c r="E610">
        <v>21098.95</v>
      </c>
      <c r="F610">
        <v>6</v>
      </c>
      <c r="G610">
        <v>19.13</v>
      </c>
      <c r="I610">
        <v>10.1</v>
      </c>
      <c r="K610" t="s">
        <v>13</v>
      </c>
      <c r="L610" t="s">
        <v>25</v>
      </c>
    </row>
    <row r="611" spans="1:12" x14ac:dyDescent="0.2">
      <c r="A611">
        <v>22834</v>
      </c>
      <c r="B611">
        <v>40</v>
      </c>
      <c r="C611" t="s">
        <v>21</v>
      </c>
      <c r="D611">
        <v>6325.62</v>
      </c>
      <c r="E611">
        <v>18981.07</v>
      </c>
      <c r="F611">
        <v>60</v>
      </c>
      <c r="G611">
        <v>12.99</v>
      </c>
      <c r="I611">
        <v>6.2</v>
      </c>
      <c r="J611">
        <v>30</v>
      </c>
      <c r="K611" t="s">
        <v>24</v>
      </c>
      <c r="L611" t="s">
        <v>19</v>
      </c>
    </row>
    <row r="612" spans="1:12" x14ac:dyDescent="0.2">
      <c r="A612">
        <v>23299</v>
      </c>
      <c r="B612">
        <v>22</v>
      </c>
      <c r="C612" t="s">
        <v>23</v>
      </c>
      <c r="D612">
        <v>4201.79</v>
      </c>
      <c r="E612">
        <v>31774.82</v>
      </c>
      <c r="F612">
        <v>48</v>
      </c>
      <c r="G612">
        <v>24.23</v>
      </c>
      <c r="I612">
        <v>0</v>
      </c>
      <c r="J612">
        <v>120</v>
      </c>
      <c r="K612" t="s">
        <v>24</v>
      </c>
      <c r="L612" t="s">
        <v>16</v>
      </c>
    </row>
    <row r="613" spans="1:12" x14ac:dyDescent="0.2">
      <c r="A613">
        <v>25065</v>
      </c>
      <c r="B613">
        <v>51</v>
      </c>
      <c r="C613" t="s">
        <v>26</v>
      </c>
      <c r="D613">
        <v>1405.75</v>
      </c>
      <c r="E613">
        <v>18209.7</v>
      </c>
      <c r="F613">
        <v>24</v>
      </c>
      <c r="G613">
        <v>24.22</v>
      </c>
      <c r="H613">
        <v>2</v>
      </c>
      <c r="I613">
        <v>7.2</v>
      </c>
      <c r="K613" t="s">
        <v>24</v>
      </c>
      <c r="L613" t="s">
        <v>22</v>
      </c>
    </row>
    <row r="614" spans="1:12" x14ac:dyDescent="0.2">
      <c r="A614">
        <v>22935</v>
      </c>
      <c r="B614">
        <v>25</v>
      </c>
      <c r="C614" t="s">
        <v>21</v>
      </c>
      <c r="D614">
        <v>5911.21</v>
      </c>
      <c r="E614">
        <v>33908.06</v>
      </c>
      <c r="F614">
        <v>12</v>
      </c>
      <c r="G614">
        <v>17.27</v>
      </c>
      <c r="I614">
        <v>2.9</v>
      </c>
      <c r="J614">
        <v>90</v>
      </c>
      <c r="K614" t="s">
        <v>15</v>
      </c>
      <c r="L614" t="s">
        <v>16</v>
      </c>
    </row>
    <row r="615" spans="1:12" x14ac:dyDescent="0.2">
      <c r="A615">
        <v>21614</v>
      </c>
      <c r="B615">
        <v>27</v>
      </c>
      <c r="C615" t="s">
        <v>21</v>
      </c>
      <c r="D615">
        <v>5497.51</v>
      </c>
      <c r="E615">
        <v>21346.38</v>
      </c>
      <c r="F615">
        <v>12</v>
      </c>
      <c r="G615">
        <v>5.77</v>
      </c>
      <c r="H615">
        <v>2</v>
      </c>
      <c r="I615">
        <v>11.7</v>
      </c>
      <c r="J615">
        <v>0</v>
      </c>
      <c r="K615" t="s">
        <v>15</v>
      </c>
      <c r="L615" t="s">
        <v>19</v>
      </c>
    </row>
    <row r="616" spans="1:12" x14ac:dyDescent="0.2">
      <c r="A616">
        <v>23135</v>
      </c>
      <c r="B616">
        <v>51</v>
      </c>
      <c r="C616" t="s">
        <v>27</v>
      </c>
      <c r="D616">
        <v>10767.71</v>
      </c>
      <c r="E616">
        <v>12546.18</v>
      </c>
      <c r="F616">
        <v>12</v>
      </c>
      <c r="G616">
        <v>19.09</v>
      </c>
      <c r="I616">
        <v>12.1</v>
      </c>
      <c r="J616">
        <v>30</v>
      </c>
      <c r="K616" t="s">
        <v>24</v>
      </c>
      <c r="L616" t="s">
        <v>16</v>
      </c>
    </row>
    <row r="617" spans="1:12" x14ac:dyDescent="0.2">
      <c r="A617">
        <v>20407</v>
      </c>
      <c r="B617">
        <v>28</v>
      </c>
      <c r="C617" t="s">
        <v>17</v>
      </c>
      <c r="D617">
        <v>3156.18</v>
      </c>
      <c r="E617">
        <v>42762.83</v>
      </c>
      <c r="F617">
        <v>24</v>
      </c>
      <c r="G617">
        <v>3.69</v>
      </c>
      <c r="H617">
        <v>1</v>
      </c>
      <c r="I617">
        <v>1.9</v>
      </c>
      <c r="J617">
        <v>0</v>
      </c>
      <c r="K617" t="s">
        <v>18</v>
      </c>
      <c r="L617" t="s">
        <v>25</v>
      </c>
    </row>
    <row r="618" spans="1:12" x14ac:dyDescent="0.2">
      <c r="A618">
        <v>20553</v>
      </c>
      <c r="B618">
        <v>64</v>
      </c>
      <c r="C618" t="s">
        <v>27</v>
      </c>
      <c r="D618">
        <v>2508.11</v>
      </c>
      <c r="E618">
        <v>30431.95</v>
      </c>
      <c r="F618">
        <v>24</v>
      </c>
      <c r="G618">
        <v>15.15</v>
      </c>
      <c r="H618">
        <v>0</v>
      </c>
      <c r="I618">
        <v>6.8</v>
      </c>
      <c r="J618">
        <v>0</v>
      </c>
      <c r="K618" t="s">
        <v>20</v>
      </c>
      <c r="L618" t="s">
        <v>25</v>
      </c>
    </row>
    <row r="619" spans="1:12" x14ac:dyDescent="0.2">
      <c r="A619">
        <v>24051</v>
      </c>
      <c r="B619">
        <v>48</v>
      </c>
      <c r="C619" t="s">
        <v>12</v>
      </c>
      <c r="D619">
        <v>4036.63</v>
      </c>
      <c r="E619">
        <v>21622.880000000001</v>
      </c>
      <c r="F619">
        <v>24</v>
      </c>
      <c r="G619">
        <v>16.8</v>
      </c>
      <c r="H619">
        <v>1</v>
      </c>
      <c r="I619">
        <v>7.9</v>
      </c>
      <c r="K619" t="s">
        <v>20</v>
      </c>
      <c r="L619" t="s">
        <v>16</v>
      </c>
    </row>
    <row r="620" spans="1:12" x14ac:dyDescent="0.2">
      <c r="A620">
        <v>25038</v>
      </c>
      <c r="B620">
        <v>47</v>
      </c>
      <c r="C620" t="s">
        <v>17</v>
      </c>
      <c r="D620">
        <v>5423.56</v>
      </c>
      <c r="E620">
        <v>13408.25</v>
      </c>
      <c r="F620">
        <v>36</v>
      </c>
      <c r="G620">
        <v>17.28</v>
      </c>
      <c r="H620">
        <v>3</v>
      </c>
      <c r="I620">
        <v>8</v>
      </c>
      <c r="K620" t="s">
        <v>15</v>
      </c>
      <c r="L620" t="s">
        <v>16</v>
      </c>
    </row>
    <row r="621" spans="1:12" x14ac:dyDescent="0.2">
      <c r="A621">
        <v>22998</v>
      </c>
      <c r="B621">
        <v>30</v>
      </c>
      <c r="C621" t="s">
        <v>27</v>
      </c>
      <c r="D621">
        <v>4298.66</v>
      </c>
      <c r="E621">
        <v>10626.47</v>
      </c>
      <c r="F621">
        <v>24</v>
      </c>
      <c r="G621">
        <v>15.97</v>
      </c>
      <c r="I621">
        <v>-1.2</v>
      </c>
      <c r="J621">
        <v>15</v>
      </c>
      <c r="K621" t="s">
        <v>13</v>
      </c>
      <c r="L621" t="s">
        <v>22</v>
      </c>
    </row>
    <row r="622" spans="1:12" x14ac:dyDescent="0.2">
      <c r="A622">
        <v>22081</v>
      </c>
      <c r="B622">
        <v>49</v>
      </c>
      <c r="C622" t="s">
        <v>21</v>
      </c>
      <c r="D622">
        <v>5830.14</v>
      </c>
      <c r="E622">
        <v>14123.9</v>
      </c>
      <c r="F622">
        <v>60</v>
      </c>
      <c r="G622">
        <v>25.86</v>
      </c>
      <c r="H622">
        <v>0</v>
      </c>
      <c r="I622">
        <v>7.3</v>
      </c>
      <c r="J622">
        <v>0</v>
      </c>
      <c r="K622" t="s">
        <v>20</v>
      </c>
      <c r="L622" t="s">
        <v>14</v>
      </c>
    </row>
    <row r="623" spans="1:12" x14ac:dyDescent="0.2">
      <c r="A623">
        <v>21205</v>
      </c>
      <c r="B623">
        <v>61</v>
      </c>
      <c r="C623" t="s">
        <v>27</v>
      </c>
      <c r="D623">
        <v>3977.38</v>
      </c>
      <c r="E623">
        <v>23366.44</v>
      </c>
      <c r="F623">
        <v>60</v>
      </c>
      <c r="G623">
        <v>20.43</v>
      </c>
      <c r="H623">
        <v>1</v>
      </c>
      <c r="I623">
        <v>1.7</v>
      </c>
      <c r="J623">
        <v>60</v>
      </c>
      <c r="K623" t="s">
        <v>13</v>
      </c>
      <c r="L623" t="s">
        <v>22</v>
      </c>
    </row>
    <row r="624" spans="1:12" x14ac:dyDescent="0.2">
      <c r="A624">
        <v>24468</v>
      </c>
      <c r="B624">
        <v>63</v>
      </c>
      <c r="C624" t="s">
        <v>23</v>
      </c>
      <c r="D624">
        <v>5153.8999999999996</v>
      </c>
      <c r="E624">
        <v>2459.81</v>
      </c>
      <c r="F624">
        <v>12</v>
      </c>
      <c r="G624">
        <v>15.04</v>
      </c>
      <c r="H624">
        <v>3</v>
      </c>
      <c r="I624">
        <v>4.7</v>
      </c>
      <c r="J624">
        <v>0</v>
      </c>
      <c r="K624" t="s">
        <v>24</v>
      </c>
      <c r="L624" t="s">
        <v>14</v>
      </c>
    </row>
    <row r="625" spans="1:12" x14ac:dyDescent="0.2">
      <c r="A625">
        <v>20901</v>
      </c>
      <c r="B625">
        <v>59</v>
      </c>
      <c r="C625" t="s">
        <v>23</v>
      </c>
      <c r="D625">
        <v>6163.64</v>
      </c>
      <c r="F625">
        <v>6</v>
      </c>
      <c r="G625">
        <v>20.51</v>
      </c>
      <c r="I625">
        <v>2.2000000000000002</v>
      </c>
      <c r="J625">
        <v>0</v>
      </c>
      <c r="K625" t="s">
        <v>13</v>
      </c>
      <c r="L625" t="s">
        <v>19</v>
      </c>
    </row>
    <row r="626" spans="1:12" x14ac:dyDescent="0.2">
      <c r="A626">
        <v>23102</v>
      </c>
      <c r="B626">
        <v>29</v>
      </c>
      <c r="C626" t="s">
        <v>27</v>
      </c>
      <c r="D626">
        <v>9139.94</v>
      </c>
      <c r="E626">
        <v>17761.82</v>
      </c>
      <c r="F626">
        <v>12</v>
      </c>
      <c r="G626">
        <v>12.95</v>
      </c>
      <c r="I626">
        <v>1.9</v>
      </c>
      <c r="J626">
        <v>60</v>
      </c>
      <c r="K626" t="s">
        <v>24</v>
      </c>
      <c r="L626" t="s">
        <v>16</v>
      </c>
    </row>
    <row r="627" spans="1:12" x14ac:dyDescent="0.2">
      <c r="A627">
        <v>24173</v>
      </c>
      <c r="B627">
        <v>57</v>
      </c>
      <c r="C627" t="s">
        <v>27</v>
      </c>
      <c r="D627">
        <v>6332.59</v>
      </c>
      <c r="E627">
        <v>19625.689999999999</v>
      </c>
      <c r="F627">
        <v>6</v>
      </c>
      <c r="G627">
        <v>20.43</v>
      </c>
      <c r="H627">
        <v>0</v>
      </c>
      <c r="I627">
        <v>1.8</v>
      </c>
      <c r="J627">
        <v>0</v>
      </c>
      <c r="K627" t="s">
        <v>20</v>
      </c>
      <c r="L627" t="s">
        <v>25</v>
      </c>
    </row>
    <row r="628" spans="1:12" x14ac:dyDescent="0.2">
      <c r="A628">
        <v>23302</v>
      </c>
      <c r="B628">
        <v>31</v>
      </c>
      <c r="C628" t="s">
        <v>27</v>
      </c>
      <c r="D628">
        <v>3334.2</v>
      </c>
      <c r="E628">
        <v>20863.04</v>
      </c>
      <c r="F628">
        <v>48</v>
      </c>
      <c r="G628">
        <v>21.72</v>
      </c>
      <c r="I628">
        <v>7.3</v>
      </c>
      <c r="J628">
        <v>30</v>
      </c>
      <c r="K628" t="s">
        <v>20</v>
      </c>
      <c r="L628" t="s">
        <v>25</v>
      </c>
    </row>
    <row r="629" spans="1:12" x14ac:dyDescent="0.2">
      <c r="A629">
        <v>21027</v>
      </c>
      <c r="B629">
        <v>51</v>
      </c>
      <c r="C629" t="s">
        <v>17</v>
      </c>
      <c r="D629">
        <v>9340.84</v>
      </c>
      <c r="E629">
        <v>34832.050000000003</v>
      </c>
      <c r="F629">
        <v>48</v>
      </c>
      <c r="G629">
        <v>15.27</v>
      </c>
      <c r="I629">
        <v>3.9</v>
      </c>
      <c r="J629">
        <v>120</v>
      </c>
      <c r="K629" t="s">
        <v>13</v>
      </c>
      <c r="L629" t="s">
        <v>16</v>
      </c>
    </row>
    <row r="630" spans="1:12" x14ac:dyDescent="0.2">
      <c r="A630">
        <v>21840</v>
      </c>
      <c r="B630">
        <v>42</v>
      </c>
      <c r="C630" t="s">
        <v>26</v>
      </c>
      <c r="D630">
        <v>4442.28</v>
      </c>
      <c r="E630">
        <v>15912.39</v>
      </c>
      <c r="F630">
        <v>36</v>
      </c>
      <c r="G630">
        <v>9.65</v>
      </c>
      <c r="I630">
        <v>12.3</v>
      </c>
      <c r="J630">
        <v>0</v>
      </c>
      <c r="K630" t="s">
        <v>18</v>
      </c>
      <c r="L630" t="s">
        <v>22</v>
      </c>
    </row>
    <row r="631" spans="1:12" x14ac:dyDescent="0.2">
      <c r="A631">
        <v>25911</v>
      </c>
      <c r="B631">
        <v>52</v>
      </c>
      <c r="C631" t="s">
        <v>17</v>
      </c>
      <c r="D631">
        <v>-1500</v>
      </c>
      <c r="E631">
        <v>8477.91</v>
      </c>
      <c r="F631">
        <v>12</v>
      </c>
      <c r="G631">
        <v>14.21</v>
      </c>
      <c r="I631">
        <v>4.9000000000000004</v>
      </c>
      <c r="K631" t="s">
        <v>18</v>
      </c>
      <c r="L631" t="s">
        <v>25</v>
      </c>
    </row>
    <row r="632" spans="1:12" x14ac:dyDescent="0.2">
      <c r="A632">
        <v>22378</v>
      </c>
      <c r="B632">
        <v>46</v>
      </c>
      <c r="C632" t="s">
        <v>12</v>
      </c>
      <c r="D632">
        <v>5634.99</v>
      </c>
      <c r="E632">
        <v>8422.99</v>
      </c>
      <c r="F632">
        <v>18</v>
      </c>
      <c r="G632">
        <v>11.54</v>
      </c>
      <c r="I632">
        <v>15.2</v>
      </c>
      <c r="J632">
        <v>0</v>
      </c>
      <c r="K632" t="s">
        <v>18</v>
      </c>
      <c r="L632" t="s">
        <v>22</v>
      </c>
    </row>
    <row r="633" spans="1:12" x14ac:dyDescent="0.2">
      <c r="A633">
        <v>20991</v>
      </c>
      <c r="B633">
        <v>26</v>
      </c>
      <c r="C633" t="s">
        <v>21</v>
      </c>
      <c r="D633">
        <v>7732.87</v>
      </c>
      <c r="E633">
        <v>23331.48</v>
      </c>
      <c r="F633">
        <v>36</v>
      </c>
      <c r="G633">
        <v>23.96</v>
      </c>
      <c r="H633">
        <v>3</v>
      </c>
      <c r="I633">
        <v>6.1</v>
      </c>
      <c r="K633" t="s">
        <v>20</v>
      </c>
      <c r="L633" t="s">
        <v>25</v>
      </c>
    </row>
    <row r="634" spans="1:12" x14ac:dyDescent="0.2">
      <c r="A634">
        <v>25975</v>
      </c>
      <c r="B634">
        <v>51</v>
      </c>
      <c r="C634" t="s">
        <v>26</v>
      </c>
      <c r="D634">
        <v>8000.91</v>
      </c>
      <c r="E634">
        <v>26141.18</v>
      </c>
      <c r="F634">
        <v>24</v>
      </c>
      <c r="G634">
        <v>21.52</v>
      </c>
      <c r="H634">
        <v>0</v>
      </c>
      <c r="I634">
        <v>4</v>
      </c>
      <c r="J634">
        <v>0</v>
      </c>
      <c r="K634" t="s">
        <v>18</v>
      </c>
      <c r="L634" t="s">
        <v>19</v>
      </c>
    </row>
    <row r="635" spans="1:12" x14ac:dyDescent="0.2">
      <c r="A635">
        <v>20120</v>
      </c>
      <c r="B635">
        <v>75</v>
      </c>
      <c r="C635" t="s">
        <v>27</v>
      </c>
      <c r="D635">
        <v>7870.52</v>
      </c>
      <c r="E635">
        <v>9479.58</v>
      </c>
      <c r="F635">
        <v>24</v>
      </c>
      <c r="G635">
        <v>21.22</v>
      </c>
      <c r="I635">
        <v>8.8000000000000007</v>
      </c>
      <c r="J635">
        <v>0</v>
      </c>
      <c r="K635" t="s">
        <v>24</v>
      </c>
      <c r="L635" t="s">
        <v>22</v>
      </c>
    </row>
    <row r="636" spans="1:12" x14ac:dyDescent="0.2">
      <c r="A636">
        <v>20438</v>
      </c>
      <c r="B636">
        <v>64</v>
      </c>
      <c r="C636" t="s">
        <v>26</v>
      </c>
      <c r="D636">
        <v>2617.62</v>
      </c>
      <c r="E636">
        <v>6726.47</v>
      </c>
      <c r="F636">
        <v>6</v>
      </c>
      <c r="G636">
        <v>27.92</v>
      </c>
      <c r="I636">
        <v>7.8</v>
      </c>
      <c r="J636">
        <v>90</v>
      </c>
      <c r="K636" t="s">
        <v>18</v>
      </c>
      <c r="L636" t="s">
        <v>14</v>
      </c>
    </row>
    <row r="637" spans="1:12" x14ac:dyDescent="0.2">
      <c r="A637">
        <v>23928</v>
      </c>
      <c r="B637">
        <v>52</v>
      </c>
      <c r="C637" t="s">
        <v>23</v>
      </c>
      <c r="D637">
        <v>5888.65</v>
      </c>
      <c r="E637">
        <v>16859.13</v>
      </c>
      <c r="F637">
        <v>60</v>
      </c>
      <c r="G637">
        <v>13.56</v>
      </c>
      <c r="H637">
        <v>1</v>
      </c>
      <c r="I637">
        <v>9.1</v>
      </c>
      <c r="J637">
        <v>0</v>
      </c>
      <c r="K637" t="s">
        <v>13</v>
      </c>
      <c r="L637" t="s">
        <v>14</v>
      </c>
    </row>
    <row r="638" spans="1:12" x14ac:dyDescent="0.2">
      <c r="A638">
        <v>25173</v>
      </c>
      <c r="B638">
        <v>49</v>
      </c>
      <c r="C638" t="s">
        <v>23</v>
      </c>
      <c r="D638">
        <v>6224.13</v>
      </c>
      <c r="E638">
        <v>23196.21</v>
      </c>
      <c r="F638">
        <v>24</v>
      </c>
      <c r="G638">
        <v>21.31</v>
      </c>
      <c r="I638">
        <v>3.3</v>
      </c>
      <c r="J638">
        <v>90</v>
      </c>
      <c r="K638" t="s">
        <v>18</v>
      </c>
      <c r="L638" t="s">
        <v>22</v>
      </c>
    </row>
    <row r="639" spans="1:12" x14ac:dyDescent="0.2">
      <c r="A639">
        <v>22827</v>
      </c>
      <c r="B639">
        <v>40</v>
      </c>
      <c r="C639" t="s">
        <v>26</v>
      </c>
      <c r="D639">
        <v>9319.65</v>
      </c>
      <c r="E639">
        <v>36186.78</v>
      </c>
      <c r="F639">
        <v>12</v>
      </c>
      <c r="G639">
        <v>19.63</v>
      </c>
      <c r="H639">
        <v>2</v>
      </c>
      <c r="I639">
        <v>4.5</v>
      </c>
      <c r="J639">
        <v>90</v>
      </c>
      <c r="K639" t="s">
        <v>13</v>
      </c>
      <c r="L639" t="s">
        <v>22</v>
      </c>
    </row>
    <row r="640" spans="1:12" x14ac:dyDescent="0.2">
      <c r="A640">
        <v>25257</v>
      </c>
      <c r="B640">
        <v>55</v>
      </c>
      <c r="C640" t="s">
        <v>12</v>
      </c>
      <c r="D640">
        <v>4111.8599999999997</v>
      </c>
      <c r="E640">
        <v>8173.02</v>
      </c>
      <c r="F640">
        <v>48</v>
      </c>
      <c r="G640">
        <v>16.190000000000001</v>
      </c>
      <c r="H640">
        <v>1</v>
      </c>
      <c r="I640">
        <v>4</v>
      </c>
      <c r="J640">
        <v>15</v>
      </c>
      <c r="K640" t="s">
        <v>15</v>
      </c>
      <c r="L640" t="s">
        <v>16</v>
      </c>
    </row>
    <row r="641" spans="1:12" x14ac:dyDescent="0.2">
      <c r="A641">
        <v>21868</v>
      </c>
      <c r="B641">
        <v>50</v>
      </c>
      <c r="C641" t="s">
        <v>26</v>
      </c>
      <c r="D641">
        <v>5451.56</v>
      </c>
      <c r="E641">
        <v>22157.78</v>
      </c>
      <c r="F641">
        <v>12</v>
      </c>
      <c r="G641">
        <v>20.55</v>
      </c>
      <c r="H641">
        <v>0</v>
      </c>
      <c r="I641">
        <v>1.4</v>
      </c>
      <c r="J641">
        <v>0</v>
      </c>
      <c r="K641" t="s">
        <v>13</v>
      </c>
      <c r="L641" t="s">
        <v>22</v>
      </c>
    </row>
    <row r="642" spans="1:12" x14ac:dyDescent="0.2">
      <c r="A642">
        <v>25752</v>
      </c>
      <c r="B642">
        <v>44</v>
      </c>
      <c r="C642" t="s">
        <v>17</v>
      </c>
      <c r="D642">
        <v>8993.64</v>
      </c>
      <c r="E642">
        <v>24311.93</v>
      </c>
      <c r="F642">
        <v>24</v>
      </c>
      <c r="G642">
        <v>28.72</v>
      </c>
      <c r="H642">
        <v>1</v>
      </c>
      <c r="I642">
        <v>6.2</v>
      </c>
      <c r="J642">
        <v>0</v>
      </c>
      <c r="K642" t="s">
        <v>24</v>
      </c>
      <c r="L642" t="s">
        <v>25</v>
      </c>
    </row>
    <row r="643" spans="1:12" x14ac:dyDescent="0.2">
      <c r="A643">
        <v>23897</v>
      </c>
      <c r="B643">
        <v>44</v>
      </c>
      <c r="C643" t="s">
        <v>27</v>
      </c>
      <c r="D643">
        <v>7114.41</v>
      </c>
      <c r="E643">
        <v>15784.44</v>
      </c>
      <c r="F643">
        <v>60</v>
      </c>
      <c r="G643">
        <v>11.38</v>
      </c>
      <c r="H643">
        <v>3</v>
      </c>
      <c r="I643">
        <v>8.6999999999999993</v>
      </c>
      <c r="J643">
        <v>15</v>
      </c>
      <c r="K643" t="s">
        <v>18</v>
      </c>
      <c r="L643" t="s">
        <v>14</v>
      </c>
    </row>
    <row r="644" spans="1:12" x14ac:dyDescent="0.2">
      <c r="A644">
        <v>20324</v>
      </c>
      <c r="B644">
        <v>44</v>
      </c>
      <c r="C644" t="s">
        <v>21</v>
      </c>
      <c r="D644">
        <v>6689.69</v>
      </c>
      <c r="E644">
        <v>30117.439999999999</v>
      </c>
      <c r="F644">
        <v>18</v>
      </c>
      <c r="G644">
        <v>23.24</v>
      </c>
      <c r="H644">
        <v>4</v>
      </c>
      <c r="I644">
        <v>6.7</v>
      </c>
      <c r="J644">
        <v>15</v>
      </c>
      <c r="K644" t="s">
        <v>20</v>
      </c>
      <c r="L644" t="s">
        <v>22</v>
      </c>
    </row>
    <row r="645" spans="1:12" x14ac:dyDescent="0.2">
      <c r="A645">
        <v>24724</v>
      </c>
      <c r="B645">
        <v>62</v>
      </c>
      <c r="C645" t="s">
        <v>26</v>
      </c>
      <c r="D645">
        <v>7708.27</v>
      </c>
      <c r="E645">
        <v>22956.41</v>
      </c>
      <c r="F645">
        <v>18</v>
      </c>
      <c r="G645">
        <v>22.51</v>
      </c>
      <c r="H645">
        <v>0</v>
      </c>
      <c r="I645">
        <v>10</v>
      </c>
      <c r="J645">
        <v>0</v>
      </c>
      <c r="K645" t="s">
        <v>20</v>
      </c>
      <c r="L645" t="s">
        <v>22</v>
      </c>
    </row>
    <row r="646" spans="1:12" x14ac:dyDescent="0.2">
      <c r="A646">
        <v>20840</v>
      </c>
      <c r="B646">
        <v>23</v>
      </c>
      <c r="C646" t="s">
        <v>21</v>
      </c>
      <c r="D646">
        <v>5416.16</v>
      </c>
      <c r="E646">
        <v>17858.64</v>
      </c>
      <c r="F646">
        <v>36</v>
      </c>
      <c r="G646">
        <v>10.31</v>
      </c>
      <c r="H646">
        <v>0</v>
      </c>
      <c r="I646">
        <v>2.2999999999999998</v>
      </c>
      <c r="J646">
        <v>0</v>
      </c>
      <c r="K646" t="s">
        <v>20</v>
      </c>
      <c r="L646" t="s">
        <v>14</v>
      </c>
    </row>
    <row r="647" spans="1:12" x14ac:dyDescent="0.2">
      <c r="A647">
        <v>20625</v>
      </c>
      <c r="B647">
        <v>39</v>
      </c>
      <c r="C647" t="s">
        <v>23</v>
      </c>
      <c r="D647">
        <v>8027.05</v>
      </c>
      <c r="E647">
        <v>30876.38</v>
      </c>
      <c r="F647">
        <v>60</v>
      </c>
      <c r="G647">
        <v>20.77</v>
      </c>
      <c r="I647">
        <v>7.8</v>
      </c>
      <c r="J647">
        <v>0</v>
      </c>
      <c r="K647" t="s">
        <v>24</v>
      </c>
      <c r="L647" t="s">
        <v>16</v>
      </c>
    </row>
    <row r="648" spans="1:12" x14ac:dyDescent="0.2">
      <c r="A648">
        <v>22833</v>
      </c>
      <c r="B648">
        <v>34</v>
      </c>
      <c r="C648" t="s">
        <v>26</v>
      </c>
      <c r="D648">
        <v>2350.23</v>
      </c>
      <c r="E648">
        <v>20096.34</v>
      </c>
      <c r="F648">
        <v>24</v>
      </c>
      <c r="G648">
        <v>14.58</v>
      </c>
      <c r="H648">
        <v>3</v>
      </c>
      <c r="I648">
        <v>11</v>
      </c>
      <c r="J648">
        <v>15</v>
      </c>
      <c r="K648" t="s">
        <v>18</v>
      </c>
      <c r="L648" t="s">
        <v>14</v>
      </c>
    </row>
    <row r="649" spans="1:12" x14ac:dyDescent="0.2">
      <c r="A649">
        <v>22631</v>
      </c>
      <c r="B649">
        <v>27</v>
      </c>
      <c r="C649" t="s">
        <v>23</v>
      </c>
      <c r="D649">
        <v>3025.4</v>
      </c>
      <c r="E649">
        <v>12705.8</v>
      </c>
      <c r="F649">
        <v>18</v>
      </c>
      <c r="G649">
        <v>24.82</v>
      </c>
      <c r="H649">
        <v>1</v>
      </c>
      <c r="I649">
        <v>10.6</v>
      </c>
      <c r="J649">
        <v>0</v>
      </c>
      <c r="K649" t="s">
        <v>13</v>
      </c>
      <c r="L649" t="s">
        <v>16</v>
      </c>
    </row>
    <row r="650" spans="1:12" x14ac:dyDescent="0.2">
      <c r="A650">
        <v>24872</v>
      </c>
      <c r="B650">
        <v>29</v>
      </c>
      <c r="C650" t="s">
        <v>23</v>
      </c>
      <c r="D650">
        <v>155.88</v>
      </c>
      <c r="E650">
        <v>27864.39</v>
      </c>
      <c r="F650">
        <v>24</v>
      </c>
      <c r="G650">
        <v>12.17</v>
      </c>
      <c r="H650">
        <v>1</v>
      </c>
      <c r="I650">
        <v>4.5</v>
      </c>
      <c r="K650" t="s">
        <v>20</v>
      </c>
      <c r="L650" t="s">
        <v>19</v>
      </c>
    </row>
    <row r="651" spans="1:12" x14ac:dyDescent="0.2">
      <c r="A651">
        <v>21358</v>
      </c>
      <c r="B651">
        <v>37</v>
      </c>
      <c r="C651" t="s">
        <v>26</v>
      </c>
      <c r="D651">
        <v>5240.62</v>
      </c>
      <c r="E651">
        <v>19946.07</v>
      </c>
      <c r="F651">
        <v>60</v>
      </c>
      <c r="G651">
        <v>17.05</v>
      </c>
      <c r="H651">
        <v>4</v>
      </c>
      <c r="I651">
        <v>6.9</v>
      </c>
      <c r="J651">
        <v>0</v>
      </c>
      <c r="K651" t="s">
        <v>15</v>
      </c>
      <c r="L651" t="s">
        <v>22</v>
      </c>
    </row>
    <row r="652" spans="1:12" x14ac:dyDescent="0.2">
      <c r="A652">
        <v>24861</v>
      </c>
      <c r="B652">
        <v>27</v>
      </c>
      <c r="C652" t="s">
        <v>21</v>
      </c>
      <c r="D652">
        <v>6254.51</v>
      </c>
      <c r="E652">
        <v>10032.61</v>
      </c>
      <c r="F652">
        <v>60</v>
      </c>
      <c r="G652">
        <v>23.32</v>
      </c>
      <c r="H652">
        <v>4</v>
      </c>
      <c r="I652">
        <v>9.3000000000000007</v>
      </c>
      <c r="J652">
        <v>0</v>
      </c>
      <c r="K652" t="s">
        <v>18</v>
      </c>
      <c r="L652" t="s">
        <v>19</v>
      </c>
    </row>
    <row r="653" spans="1:12" x14ac:dyDescent="0.2">
      <c r="A653">
        <v>23075</v>
      </c>
      <c r="B653">
        <v>47</v>
      </c>
      <c r="C653" t="s">
        <v>17</v>
      </c>
      <c r="D653">
        <v>1870.18</v>
      </c>
      <c r="E653">
        <v>25971.82</v>
      </c>
      <c r="F653">
        <v>36</v>
      </c>
      <c r="G653">
        <v>13.73</v>
      </c>
      <c r="H653">
        <v>4</v>
      </c>
      <c r="I653">
        <v>6.6</v>
      </c>
      <c r="K653" t="s">
        <v>18</v>
      </c>
      <c r="L653" t="s">
        <v>22</v>
      </c>
    </row>
    <row r="654" spans="1:12" x14ac:dyDescent="0.2">
      <c r="A654">
        <v>21384</v>
      </c>
      <c r="B654">
        <v>45</v>
      </c>
      <c r="C654" t="s">
        <v>21</v>
      </c>
      <c r="D654">
        <v>3583.83</v>
      </c>
      <c r="E654">
        <v>23774.42</v>
      </c>
      <c r="F654">
        <v>24</v>
      </c>
      <c r="G654">
        <v>10.25</v>
      </c>
      <c r="H654">
        <v>2</v>
      </c>
      <c r="I654">
        <v>0.5</v>
      </c>
      <c r="J654">
        <v>90</v>
      </c>
      <c r="K654" t="s">
        <v>13</v>
      </c>
      <c r="L654" t="s">
        <v>14</v>
      </c>
    </row>
    <row r="655" spans="1:12" x14ac:dyDescent="0.2">
      <c r="A655">
        <v>25765</v>
      </c>
      <c r="B655">
        <v>58</v>
      </c>
      <c r="C655" t="s">
        <v>23</v>
      </c>
      <c r="D655">
        <v>7224.63</v>
      </c>
      <c r="E655">
        <v>17986.78</v>
      </c>
      <c r="F655">
        <v>48</v>
      </c>
      <c r="G655">
        <v>26.13</v>
      </c>
      <c r="H655">
        <v>1</v>
      </c>
      <c r="I655">
        <v>9.5</v>
      </c>
      <c r="J655">
        <v>120</v>
      </c>
      <c r="K655" t="s">
        <v>13</v>
      </c>
      <c r="L655" t="s">
        <v>16</v>
      </c>
    </row>
    <row r="656" spans="1:12" x14ac:dyDescent="0.2">
      <c r="A656">
        <v>25150</v>
      </c>
      <c r="B656">
        <v>33</v>
      </c>
      <c r="C656" t="s">
        <v>26</v>
      </c>
      <c r="D656">
        <v>-1500</v>
      </c>
      <c r="E656">
        <v>18134.91</v>
      </c>
      <c r="F656">
        <v>6</v>
      </c>
      <c r="G656">
        <v>26.61</v>
      </c>
      <c r="H656">
        <v>2</v>
      </c>
      <c r="I656">
        <v>10.7</v>
      </c>
      <c r="J656">
        <v>90</v>
      </c>
      <c r="K656" t="s">
        <v>24</v>
      </c>
      <c r="L656" t="s">
        <v>22</v>
      </c>
    </row>
    <row r="657" spans="1:12" x14ac:dyDescent="0.2">
      <c r="A657">
        <v>25350</v>
      </c>
      <c r="B657">
        <v>22</v>
      </c>
      <c r="C657" t="s">
        <v>27</v>
      </c>
      <c r="D657">
        <v>4658.63</v>
      </c>
      <c r="E657">
        <v>33810.79</v>
      </c>
      <c r="F657">
        <v>60</v>
      </c>
      <c r="G657">
        <v>22.27</v>
      </c>
      <c r="H657">
        <v>3</v>
      </c>
      <c r="I657">
        <v>7.9</v>
      </c>
      <c r="J657">
        <v>30</v>
      </c>
      <c r="K657" t="s">
        <v>18</v>
      </c>
      <c r="L657" t="s">
        <v>16</v>
      </c>
    </row>
    <row r="658" spans="1:12" x14ac:dyDescent="0.2">
      <c r="A658">
        <v>22240</v>
      </c>
      <c r="B658">
        <v>29</v>
      </c>
      <c r="C658" t="s">
        <v>12</v>
      </c>
      <c r="D658">
        <v>7389.03</v>
      </c>
      <c r="E658">
        <v>13386.71</v>
      </c>
      <c r="F658">
        <v>24</v>
      </c>
      <c r="G658">
        <v>18.8</v>
      </c>
      <c r="H658">
        <v>0</v>
      </c>
      <c r="I658">
        <v>2.4</v>
      </c>
      <c r="J658">
        <v>0</v>
      </c>
      <c r="K658" t="s">
        <v>20</v>
      </c>
      <c r="L658" t="s">
        <v>16</v>
      </c>
    </row>
    <row r="659" spans="1:12" x14ac:dyDescent="0.2">
      <c r="A659">
        <v>23265</v>
      </c>
      <c r="B659">
        <v>29</v>
      </c>
      <c r="C659" t="s">
        <v>27</v>
      </c>
      <c r="D659">
        <v>5137.4799999999996</v>
      </c>
      <c r="E659">
        <v>10834.8</v>
      </c>
      <c r="F659">
        <v>12</v>
      </c>
      <c r="G659">
        <v>19.03</v>
      </c>
      <c r="H659">
        <v>1</v>
      </c>
      <c r="I659">
        <v>0.2</v>
      </c>
      <c r="J659">
        <v>60</v>
      </c>
      <c r="K659" t="s">
        <v>20</v>
      </c>
      <c r="L659" t="s">
        <v>14</v>
      </c>
    </row>
    <row r="660" spans="1:12" x14ac:dyDescent="0.2">
      <c r="A660">
        <v>21892</v>
      </c>
      <c r="B660">
        <v>59</v>
      </c>
      <c r="C660" t="s">
        <v>21</v>
      </c>
      <c r="D660">
        <v>3725.37</v>
      </c>
      <c r="E660">
        <v>-1600.44</v>
      </c>
      <c r="F660">
        <v>18</v>
      </c>
      <c r="G660">
        <v>14.24</v>
      </c>
      <c r="H660">
        <v>4</v>
      </c>
      <c r="I660">
        <v>4.5999999999999996</v>
      </c>
      <c r="J660">
        <v>30</v>
      </c>
      <c r="K660" t="s">
        <v>13</v>
      </c>
      <c r="L660" t="s">
        <v>19</v>
      </c>
    </row>
    <row r="661" spans="1:12" x14ac:dyDescent="0.2">
      <c r="A661">
        <v>21132</v>
      </c>
      <c r="B661">
        <v>62</v>
      </c>
      <c r="C661" t="s">
        <v>21</v>
      </c>
      <c r="D661">
        <v>1128.19</v>
      </c>
      <c r="E661">
        <v>23204.45</v>
      </c>
      <c r="F661">
        <v>6</v>
      </c>
      <c r="G661">
        <v>19.11</v>
      </c>
      <c r="H661">
        <v>3</v>
      </c>
      <c r="I661">
        <v>6.3</v>
      </c>
      <c r="K661" t="s">
        <v>18</v>
      </c>
      <c r="L661" t="s">
        <v>14</v>
      </c>
    </row>
    <row r="662" spans="1:12" x14ac:dyDescent="0.2">
      <c r="A662">
        <v>20240</v>
      </c>
      <c r="B662">
        <v>26</v>
      </c>
      <c r="C662" t="s">
        <v>17</v>
      </c>
      <c r="D662">
        <v>7304.75</v>
      </c>
      <c r="E662">
        <v>21233.87</v>
      </c>
      <c r="F662">
        <v>6</v>
      </c>
      <c r="G662">
        <v>21.92</v>
      </c>
      <c r="H662">
        <v>4</v>
      </c>
      <c r="I662">
        <v>4.8</v>
      </c>
      <c r="J662">
        <v>90</v>
      </c>
      <c r="K662" t="s">
        <v>13</v>
      </c>
      <c r="L662" t="s">
        <v>14</v>
      </c>
    </row>
    <row r="663" spans="1:12" x14ac:dyDescent="0.2">
      <c r="A663">
        <v>20219</v>
      </c>
      <c r="B663">
        <v>75</v>
      </c>
      <c r="C663" t="s">
        <v>23</v>
      </c>
      <c r="D663">
        <v>4502.88</v>
      </c>
      <c r="E663">
        <v>18456.93</v>
      </c>
      <c r="F663">
        <v>12</v>
      </c>
      <c r="G663">
        <v>12.83</v>
      </c>
      <c r="H663">
        <v>3</v>
      </c>
      <c r="I663">
        <v>8.8000000000000007</v>
      </c>
      <c r="J663">
        <v>60</v>
      </c>
      <c r="K663" t="s">
        <v>20</v>
      </c>
      <c r="L663" t="s">
        <v>22</v>
      </c>
    </row>
    <row r="664" spans="1:12" x14ac:dyDescent="0.2">
      <c r="A664">
        <v>25854</v>
      </c>
      <c r="B664">
        <v>53</v>
      </c>
      <c r="C664" t="s">
        <v>17</v>
      </c>
      <c r="D664">
        <v>3393.76</v>
      </c>
      <c r="E664">
        <v>11701.79</v>
      </c>
      <c r="F664">
        <v>60</v>
      </c>
      <c r="G664">
        <v>21.65</v>
      </c>
      <c r="H664">
        <v>2</v>
      </c>
      <c r="I664">
        <v>13.9</v>
      </c>
      <c r="J664">
        <v>15</v>
      </c>
      <c r="K664" t="s">
        <v>20</v>
      </c>
      <c r="L664" t="s">
        <v>19</v>
      </c>
    </row>
    <row r="665" spans="1:12" x14ac:dyDescent="0.2">
      <c r="A665">
        <v>22768</v>
      </c>
      <c r="B665">
        <v>45</v>
      </c>
      <c r="C665" t="s">
        <v>27</v>
      </c>
      <c r="D665">
        <v>9085.36</v>
      </c>
      <c r="E665">
        <v>34632.79</v>
      </c>
      <c r="F665">
        <v>12</v>
      </c>
      <c r="G665">
        <v>10.88</v>
      </c>
      <c r="I665">
        <v>6.4</v>
      </c>
      <c r="J665">
        <v>60</v>
      </c>
      <c r="K665" t="s">
        <v>13</v>
      </c>
      <c r="L665" t="s">
        <v>19</v>
      </c>
    </row>
    <row r="666" spans="1:12" x14ac:dyDescent="0.2">
      <c r="A666">
        <v>22693</v>
      </c>
      <c r="B666">
        <v>42</v>
      </c>
      <c r="C666" t="s">
        <v>27</v>
      </c>
      <c r="D666">
        <v>5353.09</v>
      </c>
      <c r="F666">
        <v>6</v>
      </c>
      <c r="G666">
        <v>25.9</v>
      </c>
      <c r="H666">
        <v>3</v>
      </c>
      <c r="I666">
        <v>9.3000000000000007</v>
      </c>
      <c r="J666">
        <v>0</v>
      </c>
      <c r="K666" t="s">
        <v>15</v>
      </c>
      <c r="L666" t="s">
        <v>22</v>
      </c>
    </row>
    <row r="667" spans="1:12" x14ac:dyDescent="0.2">
      <c r="A667">
        <v>24246</v>
      </c>
      <c r="B667">
        <v>31</v>
      </c>
      <c r="C667" t="s">
        <v>27</v>
      </c>
      <c r="D667">
        <v>4964.2700000000004</v>
      </c>
      <c r="E667">
        <v>16536.38</v>
      </c>
      <c r="F667">
        <v>12</v>
      </c>
      <c r="G667">
        <v>20.32</v>
      </c>
      <c r="H667">
        <v>1</v>
      </c>
      <c r="I667">
        <v>8.5</v>
      </c>
      <c r="J667">
        <v>90</v>
      </c>
      <c r="K667" t="s">
        <v>20</v>
      </c>
      <c r="L667" t="s">
        <v>19</v>
      </c>
    </row>
    <row r="668" spans="1:12" x14ac:dyDescent="0.2">
      <c r="A668">
        <v>22716</v>
      </c>
      <c r="B668">
        <v>53</v>
      </c>
      <c r="C668" t="s">
        <v>23</v>
      </c>
      <c r="D668">
        <v>11856.95</v>
      </c>
      <c r="E668">
        <v>10970</v>
      </c>
      <c r="F668">
        <v>6</v>
      </c>
      <c r="G668">
        <v>24.34</v>
      </c>
      <c r="H668">
        <v>2</v>
      </c>
      <c r="I668">
        <v>10.5</v>
      </c>
      <c r="J668">
        <v>60</v>
      </c>
      <c r="K668" t="s">
        <v>15</v>
      </c>
      <c r="L668" t="s">
        <v>22</v>
      </c>
    </row>
    <row r="669" spans="1:12" x14ac:dyDescent="0.2">
      <c r="A669">
        <v>21453</v>
      </c>
      <c r="B669">
        <v>75</v>
      </c>
      <c r="C669" t="s">
        <v>26</v>
      </c>
      <c r="D669">
        <v>921.09</v>
      </c>
      <c r="E669">
        <v>19776.490000000002</v>
      </c>
      <c r="F669">
        <v>18</v>
      </c>
      <c r="G669">
        <v>17.75</v>
      </c>
      <c r="H669">
        <v>1</v>
      </c>
      <c r="I669">
        <v>8.9</v>
      </c>
      <c r="J669">
        <v>0</v>
      </c>
      <c r="K669" t="s">
        <v>20</v>
      </c>
      <c r="L669" t="s">
        <v>16</v>
      </c>
    </row>
    <row r="670" spans="1:12" x14ac:dyDescent="0.2">
      <c r="A670">
        <v>25497</v>
      </c>
      <c r="B670">
        <v>39</v>
      </c>
      <c r="C670" t="s">
        <v>27</v>
      </c>
      <c r="D670">
        <v>5364.69</v>
      </c>
      <c r="E670">
        <v>11725.07</v>
      </c>
      <c r="F670">
        <v>60</v>
      </c>
      <c r="G670">
        <v>23.21</v>
      </c>
      <c r="H670">
        <v>0</v>
      </c>
      <c r="I670">
        <v>5.6</v>
      </c>
      <c r="J670">
        <v>15</v>
      </c>
      <c r="K670" t="s">
        <v>24</v>
      </c>
      <c r="L670" t="s">
        <v>14</v>
      </c>
    </row>
    <row r="671" spans="1:12" x14ac:dyDescent="0.2">
      <c r="A671">
        <v>25579</v>
      </c>
      <c r="B671">
        <v>59</v>
      </c>
      <c r="C671" t="s">
        <v>17</v>
      </c>
      <c r="D671">
        <v>2923.56</v>
      </c>
      <c r="E671">
        <v>26745.51</v>
      </c>
      <c r="F671">
        <v>48</v>
      </c>
      <c r="G671">
        <v>7.93</v>
      </c>
      <c r="H671">
        <v>2</v>
      </c>
      <c r="I671">
        <v>3.8</v>
      </c>
      <c r="J671">
        <v>15</v>
      </c>
      <c r="K671" t="s">
        <v>24</v>
      </c>
      <c r="L671" t="s">
        <v>25</v>
      </c>
    </row>
    <row r="672" spans="1:12" x14ac:dyDescent="0.2">
      <c r="A672">
        <v>25569</v>
      </c>
      <c r="B672">
        <v>46</v>
      </c>
      <c r="C672" t="s">
        <v>23</v>
      </c>
      <c r="D672">
        <v>6506.02</v>
      </c>
      <c r="E672">
        <v>26062.77</v>
      </c>
      <c r="F672">
        <v>48</v>
      </c>
      <c r="G672">
        <v>26.82</v>
      </c>
      <c r="H672">
        <v>1</v>
      </c>
      <c r="I672">
        <v>5.3</v>
      </c>
      <c r="J672">
        <v>0</v>
      </c>
      <c r="K672" t="s">
        <v>20</v>
      </c>
      <c r="L672" t="s">
        <v>22</v>
      </c>
    </row>
    <row r="673" spans="1:12" x14ac:dyDescent="0.2">
      <c r="A673">
        <v>20794</v>
      </c>
      <c r="B673">
        <v>31</v>
      </c>
      <c r="C673" t="s">
        <v>23</v>
      </c>
      <c r="D673">
        <v>5056.54</v>
      </c>
      <c r="E673">
        <v>13590.66</v>
      </c>
      <c r="F673">
        <v>60</v>
      </c>
      <c r="G673">
        <v>6.82</v>
      </c>
      <c r="H673">
        <v>0</v>
      </c>
      <c r="I673">
        <v>3.8</v>
      </c>
      <c r="J673">
        <v>15</v>
      </c>
      <c r="K673" t="s">
        <v>18</v>
      </c>
      <c r="L673" t="s">
        <v>25</v>
      </c>
    </row>
    <row r="674" spans="1:12" x14ac:dyDescent="0.2">
      <c r="A674">
        <v>25060</v>
      </c>
      <c r="B674">
        <v>40</v>
      </c>
      <c r="C674" t="s">
        <v>26</v>
      </c>
      <c r="D674">
        <v>4461.42</v>
      </c>
      <c r="E674">
        <v>29736.62</v>
      </c>
      <c r="F674">
        <v>24</v>
      </c>
      <c r="G674">
        <v>20.97</v>
      </c>
      <c r="H674">
        <v>3</v>
      </c>
      <c r="I674">
        <v>8.6</v>
      </c>
      <c r="J674">
        <v>0</v>
      </c>
      <c r="K674" t="s">
        <v>24</v>
      </c>
      <c r="L674" t="s">
        <v>14</v>
      </c>
    </row>
    <row r="675" spans="1:12" x14ac:dyDescent="0.2">
      <c r="A675">
        <v>20006</v>
      </c>
      <c r="B675">
        <v>44</v>
      </c>
      <c r="C675" t="s">
        <v>17</v>
      </c>
      <c r="D675">
        <v>4121.55</v>
      </c>
      <c r="E675">
        <v>8987.86</v>
      </c>
      <c r="F675">
        <v>6</v>
      </c>
      <c r="G675">
        <v>16.309999999999999</v>
      </c>
      <c r="H675">
        <v>1</v>
      </c>
      <c r="I675">
        <v>12.2</v>
      </c>
      <c r="J675">
        <v>0</v>
      </c>
      <c r="K675" t="s">
        <v>15</v>
      </c>
      <c r="L675" t="s">
        <v>25</v>
      </c>
    </row>
    <row r="676" spans="1:12" x14ac:dyDescent="0.2">
      <c r="A676">
        <v>22945</v>
      </c>
      <c r="B676">
        <v>27</v>
      </c>
      <c r="C676" t="s">
        <v>23</v>
      </c>
      <c r="D676">
        <v>7132.37</v>
      </c>
      <c r="E676">
        <v>15709.42</v>
      </c>
      <c r="F676">
        <v>48</v>
      </c>
      <c r="G676">
        <v>18.190000000000001</v>
      </c>
      <c r="H676">
        <v>2</v>
      </c>
      <c r="I676">
        <v>9.3000000000000007</v>
      </c>
      <c r="J676">
        <v>90</v>
      </c>
      <c r="K676" t="s">
        <v>24</v>
      </c>
      <c r="L676" t="s">
        <v>16</v>
      </c>
    </row>
    <row r="677" spans="1:12" x14ac:dyDescent="0.2">
      <c r="A677">
        <v>25806</v>
      </c>
      <c r="B677">
        <v>37</v>
      </c>
      <c r="C677" t="s">
        <v>21</v>
      </c>
      <c r="D677">
        <v>3139.27</v>
      </c>
      <c r="E677">
        <v>16823.57</v>
      </c>
      <c r="F677">
        <v>36</v>
      </c>
      <c r="G677">
        <v>13.39</v>
      </c>
      <c r="H677">
        <v>0</v>
      </c>
      <c r="I677">
        <v>2.2999999999999998</v>
      </c>
      <c r="J677">
        <v>0</v>
      </c>
      <c r="K677" t="s">
        <v>13</v>
      </c>
      <c r="L677" t="s">
        <v>22</v>
      </c>
    </row>
    <row r="678" spans="1:12" x14ac:dyDescent="0.2">
      <c r="A678">
        <v>20274</v>
      </c>
      <c r="B678">
        <v>29</v>
      </c>
      <c r="C678" t="s">
        <v>23</v>
      </c>
      <c r="D678">
        <v>6788.66</v>
      </c>
      <c r="E678">
        <v>33421.93</v>
      </c>
      <c r="F678">
        <v>48</v>
      </c>
      <c r="G678">
        <v>12.81</v>
      </c>
      <c r="H678">
        <v>3</v>
      </c>
      <c r="I678">
        <v>7.3</v>
      </c>
      <c r="J678">
        <v>15</v>
      </c>
      <c r="K678" t="s">
        <v>13</v>
      </c>
      <c r="L678" t="s">
        <v>19</v>
      </c>
    </row>
    <row r="679" spans="1:12" x14ac:dyDescent="0.2">
      <c r="A679">
        <v>25963</v>
      </c>
      <c r="B679">
        <v>34</v>
      </c>
      <c r="C679" t="s">
        <v>17</v>
      </c>
      <c r="D679">
        <v>6522</v>
      </c>
      <c r="E679">
        <v>26877.21</v>
      </c>
      <c r="F679">
        <v>24</v>
      </c>
      <c r="G679">
        <v>22.03</v>
      </c>
      <c r="I679">
        <v>15.9</v>
      </c>
      <c r="K679" t="s">
        <v>20</v>
      </c>
      <c r="L679" t="s">
        <v>14</v>
      </c>
    </row>
    <row r="680" spans="1:12" x14ac:dyDescent="0.2">
      <c r="A680">
        <v>25784</v>
      </c>
      <c r="B680">
        <v>28</v>
      </c>
      <c r="C680" t="s">
        <v>12</v>
      </c>
      <c r="D680">
        <v>2425.48</v>
      </c>
      <c r="E680">
        <v>16304.23</v>
      </c>
      <c r="F680">
        <v>36</v>
      </c>
      <c r="G680">
        <v>23.7</v>
      </c>
      <c r="H680">
        <v>4</v>
      </c>
      <c r="I680">
        <v>5.9</v>
      </c>
      <c r="K680" t="s">
        <v>13</v>
      </c>
      <c r="L680" t="s">
        <v>16</v>
      </c>
    </row>
    <row r="681" spans="1:12" x14ac:dyDescent="0.2">
      <c r="A681">
        <v>24803</v>
      </c>
      <c r="B681">
        <v>61</v>
      </c>
      <c r="C681" t="s">
        <v>23</v>
      </c>
      <c r="D681">
        <v>296.3</v>
      </c>
      <c r="E681">
        <v>12214.97</v>
      </c>
      <c r="F681">
        <v>12</v>
      </c>
      <c r="G681">
        <v>16.89</v>
      </c>
      <c r="H681">
        <v>2</v>
      </c>
      <c r="I681">
        <v>7.1</v>
      </c>
      <c r="J681">
        <v>90</v>
      </c>
      <c r="K681" t="s">
        <v>24</v>
      </c>
      <c r="L681" t="s">
        <v>16</v>
      </c>
    </row>
    <row r="682" spans="1:12" x14ac:dyDescent="0.2">
      <c r="A682">
        <v>25079</v>
      </c>
      <c r="B682">
        <v>38</v>
      </c>
      <c r="C682" t="s">
        <v>26</v>
      </c>
      <c r="D682">
        <v>4746.32</v>
      </c>
      <c r="E682">
        <v>20119.18</v>
      </c>
      <c r="F682">
        <v>6</v>
      </c>
      <c r="G682">
        <v>24.06</v>
      </c>
      <c r="H682">
        <v>1</v>
      </c>
      <c r="I682">
        <v>9.3000000000000007</v>
      </c>
      <c r="K682" t="s">
        <v>20</v>
      </c>
      <c r="L682" t="s">
        <v>19</v>
      </c>
    </row>
    <row r="683" spans="1:12" x14ac:dyDescent="0.2">
      <c r="A683">
        <v>24941</v>
      </c>
      <c r="B683">
        <v>23</v>
      </c>
      <c r="C683" t="s">
        <v>26</v>
      </c>
      <c r="D683">
        <v>7198.46</v>
      </c>
      <c r="E683">
        <v>20630.810000000001</v>
      </c>
      <c r="F683">
        <v>60</v>
      </c>
      <c r="G683">
        <v>10.57</v>
      </c>
      <c r="H683">
        <v>3</v>
      </c>
      <c r="I683">
        <v>8</v>
      </c>
      <c r="J683">
        <v>0</v>
      </c>
      <c r="K683" t="s">
        <v>15</v>
      </c>
      <c r="L683" t="s">
        <v>22</v>
      </c>
    </row>
    <row r="684" spans="1:12" x14ac:dyDescent="0.2">
      <c r="A684">
        <v>23125</v>
      </c>
      <c r="B684">
        <v>21</v>
      </c>
      <c r="C684" t="s">
        <v>27</v>
      </c>
      <c r="D684">
        <v>8010.07</v>
      </c>
      <c r="E684">
        <v>-747.23</v>
      </c>
      <c r="F684">
        <v>24</v>
      </c>
      <c r="G684">
        <v>15.63</v>
      </c>
      <c r="H684">
        <v>3</v>
      </c>
      <c r="I684">
        <v>13.7</v>
      </c>
      <c r="J684">
        <v>0</v>
      </c>
      <c r="K684" t="s">
        <v>13</v>
      </c>
      <c r="L684" t="s">
        <v>25</v>
      </c>
    </row>
    <row r="685" spans="1:12" x14ac:dyDescent="0.2">
      <c r="A685">
        <v>21736</v>
      </c>
      <c r="B685">
        <v>26</v>
      </c>
      <c r="C685" t="s">
        <v>17</v>
      </c>
      <c r="D685">
        <v>3542.04</v>
      </c>
      <c r="E685">
        <v>25809.35</v>
      </c>
      <c r="F685">
        <v>6</v>
      </c>
      <c r="G685">
        <v>26.62</v>
      </c>
      <c r="H685">
        <v>2</v>
      </c>
      <c r="I685">
        <v>2</v>
      </c>
      <c r="J685">
        <v>30</v>
      </c>
      <c r="K685" t="s">
        <v>13</v>
      </c>
      <c r="L685" t="s">
        <v>14</v>
      </c>
    </row>
    <row r="686" spans="1:12" x14ac:dyDescent="0.2">
      <c r="A686">
        <v>22525</v>
      </c>
      <c r="B686">
        <v>30</v>
      </c>
      <c r="C686" t="s">
        <v>26</v>
      </c>
      <c r="D686">
        <v>3573.06</v>
      </c>
      <c r="E686">
        <v>21880.93</v>
      </c>
      <c r="F686">
        <v>36</v>
      </c>
      <c r="G686">
        <v>22.82</v>
      </c>
      <c r="H686">
        <v>0</v>
      </c>
      <c r="I686">
        <v>9.4</v>
      </c>
      <c r="J686">
        <v>15</v>
      </c>
      <c r="K686" t="s">
        <v>15</v>
      </c>
      <c r="L686" t="s">
        <v>14</v>
      </c>
    </row>
    <row r="687" spans="1:12" x14ac:dyDescent="0.2">
      <c r="A687">
        <v>25734</v>
      </c>
      <c r="B687">
        <v>57</v>
      </c>
      <c r="C687" t="s">
        <v>23</v>
      </c>
      <c r="D687">
        <v>4369.55</v>
      </c>
      <c r="E687">
        <v>34421.589999999997</v>
      </c>
      <c r="F687">
        <v>18</v>
      </c>
      <c r="G687">
        <v>13.39</v>
      </c>
      <c r="H687">
        <v>4</v>
      </c>
      <c r="I687">
        <v>3.9</v>
      </c>
      <c r="J687">
        <v>0</v>
      </c>
      <c r="K687" t="s">
        <v>24</v>
      </c>
      <c r="L687" t="s">
        <v>25</v>
      </c>
    </row>
    <row r="688" spans="1:12" x14ac:dyDescent="0.2">
      <c r="A688">
        <v>25704</v>
      </c>
      <c r="B688">
        <v>36</v>
      </c>
      <c r="C688" t="s">
        <v>26</v>
      </c>
      <c r="D688">
        <v>944.23</v>
      </c>
      <c r="E688">
        <v>16500.580000000002</v>
      </c>
      <c r="F688">
        <v>48</v>
      </c>
      <c r="G688">
        <v>23.7</v>
      </c>
      <c r="H688">
        <v>1</v>
      </c>
      <c r="I688">
        <v>6.2</v>
      </c>
      <c r="J688">
        <v>15</v>
      </c>
      <c r="K688" t="s">
        <v>20</v>
      </c>
      <c r="L688" t="s">
        <v>16</v>
      </c>
    </row>
    <row r="689" spans="1:12" x14ac:dyDescent="0.2">
      <c r="A689">
        <v>25309</v>
      </c>
      <c r="B689">
        <v>54</v>
      </c>
      <c r="C689" t="s">
        <v>26</v>
      </c>
      <c r="D689">
        <v>5097.2</v>
      </c>
      <c r="E689">
        <v>26973.89</v>
      </c>
      <c r="F689">
        <v>6</v>
      </c>
      <c r="G689">
        <v>18.21</v>
      </c>
      <c r="H689">
        <v>0</v>
      </c>
      <c r="I689">
        <v>9.4</v>
      </c>
      <c r="J689">
        <v>30</v>
      </c>
      <c r="K689" t="s">
        <v>13</v>
      </c>
      <c r="L689" t="s">
        <v>22</v>
      </c>
    </row>
    <row r="690" spans="1:12" x14ac:dyDescent="0.2">
      <c r="A690">
        <v>22794</v>
      </c>
      <c r="B690">
        <v>75</v>
      </c>
      <c r="C690" t="s">
        <v>23</v>
      </c>
      <c r="D690">
        <v>4286.24</v>
      </c>
      <c r="E690">
        <v>33263.21</v>
      </c>
      <c r="F690">
        <v>24</v>
      </c>
      <c r="G690">
        <v>21.34</v>
      </c>
      <c r="H690">
        <v>1</v>
      </c>
      <c r="I690">
        <v>0.2</v>
      </c>
      <c r="K690" t="s">
        <v>15</v>
      </c>
      <c r="L690" t="s">
        <v>14</v>
      </c>
    </row>
    <row r="691" spans="1:12" x14ac:dyDescent="0.2">
      <c r="A691">
        <v>22340</v>
      </c>
      <c r="B691">
        <v>120</v>
      </c>
      <c r="C691" t="s">
        <v>21</v>
      </c>
      <c r="D691">
        <v>4385.8100000000004</v>
      </c>
      <c r="E691">
        <v>16187.89</v>
      </c>
      <c r="F691">
        <v>60</v>
      </c>
      <c r="G691">
        <v>15.77</v>
      </c>
      <c r="H691">
        <v>4</v>
      </c>
      <c r="I691">
        <v>14.2</v>
      </c>
      <c r="J691">
        <v>0</v>
      </c>
      <c r="K691" t="s">
        <v>13</v>
      </c>
      <c r="L691" t="s">
        <v>16</v>
      </c>
    </row>
    <row r="692" spans="1:12" x14ac:dyDescent="0.2">
      <c r="A692">
        <v>23242</v>
      </c>
      <c r="B692">
        <v>18</v>
      </c>
      <c r="C692" t="s">
        <v>26</v>
      </c>
      <c r="D692">
        <v>1655.64</v>
      </c>
      <c r="E692">
        <v>20562.47</v>
      </c>
      <c r="F692">
        <v>12</v>
      </c>
      <c r="G692">
        <v>20.22</v>
      </c>
      <c r="H692">
        <v>3</v>
      </c>
      <c r="I692">
        <v>7.5</v>
      </c>
      <c r="K692" t="s">
        <v>15</v>
      </c>
      <c r="L692" t="s">
        <v>16</v>
      </c>
    </row>
    <row r="693" spans="1:12" x14ac:dyDescent="0.2">
      <c r="A693">
        <v>20725</v>
      </c>
      <c r="B693">
        <v>18</v>
      </c>
      <c r="C693" t="s">
        <v>23</v>
      </c>
      <c r="D693">
        <v>4708.43</v>
      </c>
      <c r="E693">
        <v>18480.919999999998</v>
      </c>
      <c r="F693">
        <v>24</v>
      </c>
      <c r="G693">
        <v>6.84</v>
      </c>
      <c r="H693">
        <v>0</v>
      </c>
      <c r="I693">
        <v>9.1999999999999993</v>
      </c>
      <c r="K693" t="s">
        <v>18</v>
      </c>
      <c r="L693" t="s">
        <v>14</v>
      </c>
    </row>
    <row r="694" spans="1:12" x14ac:dyDescent="0.2">
      <c r="A694">
        <v>24027</v>
      </c>
      <c r="B694">
        <v>36</v>
      </c>
      <c r="C694" t="s">
        <v>26</v>
      </c>
      <c r="D694">
        <v>3400.7</v>
      </c>
      <c r="E694">
        <v>6670.62</v>
      </c>
      <c r="F694">
        <v>18</v>
      </c>
      <c r="G694">
        <v>13.98</v>
      </c>
      <c r="H694">
        <v>4</v>
      </c>
      <c r="I694">
        <v>0.1</v>
      </c>
      <c r="K694" t="s">
        <v>20</v>
      </c>
      <c r="L694" t="s">
        <v>25</v>
      </c>
    </row>
    <row r="695" spans="1:12" x14ac:dyDescent="0.2">
      <c r="A695">
        <v>25940</v>
      </c>
      <c r="B695">
        <v>39</v>
      </c>
      <c r="C695" t="s">
        <v>17</v>
      </c>
      <c r="D695">
        <v>6383.46</v>
      </c>
      <c r="E695">
        <v>12307.91</v>
      </c>
      <c r="F695">
        <v>18</v>
      </c>
      <c r="G695">
        <v>22.29</v>
      </c>
      <c r="H695">
        <v>2</v>
      </c>
      <c r="I695">
        <v>7.2</v>
      </c>
      <c r="J695">
        <v>0</v>
      </c>
      <c r="K695" t="s">
        <v>18</v>
      </c>
      <c r="L695" t="s">
        <v>19</v>
      </c>
    </row>
    <row r="696" spans="1:12" x14ac:dyDescent="0.2">
      <c r="A696">
        <v>25382</v>
      </c>
      <c r="B696">
        <v>21</v>
      </c>
      <c r="C696" t="s">
        <v>21</v>
      </c>
      <c r="D696">
        <v>6200.98</v>
      </c>
      <c r="E696">
        <v>28074.6</v>
      </c>
      <c r="F696">
        <v>36</v>
      </c>
      <c r="G696">
        <v>17.600000000000001</v>
      </c>
      <c r="H696">
        <v>2</v>
      </c>
      <c r="I696">
        <v>11</v>
      </c>
      <c r="J696">
        <v>0</v>
      </c>
      <c r="K696" t="s">
        <v>20</v>
      </c>
      <c r="L696" t="s">
        <v>16</v>
      </c>
    </row>
    <row r="697" spans="1:12" x14ac:dyDescent="0.2">
      <c r="A697">
        <v>23965</v>
      </c>
      <c r="B697">
        <v>28</v>
      </c>
      <c r="C697" t="s">
        <v>17</v>
      </c>
      <c r="D697">
        <v>3330.99</v>
      </c>
      <c r="E697">
        <v>33795.68</v>
      </c>
      <c r="F697">
        <v>48</v>
      </c>
      <c r="G697">
        <v>16.63</v>
      </c>
      <c r="H697">
        <v>2</v>
      </c>
      <c r="I697">
        <v>11.4</v>
      </c>
      <c r="J697">
        <v>120</v>
      </c>
      <c r="K697" t="s">
        <v>20</v>
      </c>
      <c r="L697" t="s">
        <v>14</v>
      </c>
    </row>
    <row r="698" spans="1:12" x14ac:dyDescent="0.2">
      <c r="A698">
        <v>22816</v>
      </c>
      <c r="B698">
        <v>36</v>
      </c>
      <c r="C698" t="s">
        <v>27</v>
      </c>
      <c r="D698">
        <v>5688</v>
      </c>
      <c r="E698">
        <v>16253.4</v>
      </c>
      <c r="F698">
        <v>60</v>
      </c>
      <c r="G698">
        <v>10.76</v>
      </c>
      <c r="I698">
        <v>7</v>
      </c>
      <c r="K698" t="s">
        <v>24</v>
      </c>
      <c r="L698" t="s">
        <v>14</v>
      </c>
    </row>
    <row r="699" spans="1:12" x14ac:dyDescent="0.2">
      <c r="A699">
        <v>24688</v>
      </c>
      <c r="B699">
        <v>23</v>
      </c>
      <c r="C699" t="s">
        <v>12</v>
      </c>
      <c r="D699">
        <v>6424.31</v>
      </c>
      <c r="E699">
        <v>27291.03</v>
      </c>
      <c r="F699">
        <v>18</v>
      </c>
      <c r="G699">
        <v>15.32</v>
      </c>
      <c r="H699">
        <v>0</v>
      </c>
      <c r="I699">
        <v>6.9</v>
      </c>
      <c r="J699">
        <v>60</v>
      </c>
      <c r="K699" t="s">
        <v>18</v>
      </c>
      <c r="L699" t="s">
        <v>14</v>
      </c>
    </row>
    <row r="700" spans="1:12" x14ac:dyDescent="0.2">
      <c r="A700">
        <v>22345</v>
      </c>
      <c r="B700">
        <v>62</v>
      </c>
      <c r="C700" t="s">
        <v>17</v>
      </c>
      <c r="D700">
        <v>4612.8900000000003</v>
      </c>
      <c r="E700">
        <v>22866.89</v>
      </c>
      <c r="F700">
        <v>6</v>
      </c>
      <c r="G700">
        <v>22.52</v>
      </c>
      <c r="H700">
        <v>2</v>
      </c>
      <c r="I700">
        <v>8.9</v>
      </c>
      <c r="J700">
        <v>60</v>
      </c>
      <c r="K700" t="s">
        <v>15</v>
      </c>
      <c r="L700" t="s">
        <v>16</v>
      </c>
    </row>
    <row r="701" spans="1:12" x14ac:dyDescent="0.2">
      <c r="A701">
        <v>23333</v>
      </c>
      <c r="B701">
        <v>22</v>
      </c>
      <c r="C701" t="s">
        <v>17</v>
      </c>
      <c r="D701">
        <v>6867.49</v>
      </c>
      <c r="E701">
        <v>19448.650000000001</v>
      </c>
      <c r="F701">
        <v>36</v>
      </c>
      <c r="G701">
        <v>14.2</v>
      </c>
      <c r="H701">
        <v>4</v>
      </c>
      <c r="I701">
        <v>9.1</v>
      </c>
      <c r="J701">
        <v>120</v>
      </c>
      <c r="K701" t="s">
        <v>13</v>
      </c>
      <c r="L701" t="s">
        <v>16</v>
      </c>
    </row>
    <row r="702" spans="1:12" x14ac:dyDescent="0.2">
      <c r="A702">
        <v>23484</v>
      </c>
      <c r="B702">
        <v>41</v>
      </c>
      <c r="C702" t="s">
        <v>12</v>
      </c>
      <c r="D702">
        <v>4489.25</v>
      </c>
      <c r="E702">
        <v>17503.96</v>
      </c>
      <c r="F702">
        <v>12</v>
      </c>
      <c r="G702">
        <v>20.88</v>
      </c>
      <c r="H702">
        <v>3</v>
      </c>
      <c r="I702">
        <v>14.5</v>
      </c>
      <c r="J702">
        <v>120</v>
      </c>
      <c r="K702" t="s">
        <v>13</v>
      </c>
      <c r="L702" t="s">
        <v>16</v>
      </c>
    </row>
    <row r="703" spans="1:12" x14ac:dyDescent="0.2">
      <c r="A703">
        <v>24617</v>
      </c>
      <c r="B703">
        <v>35</v>
      </c>
      <c r="C703" t="s">
        <v>17</v>
      </c>
      <c r="D703">
        <v>-349.13</v>
      </c>
      <c r="E703">
        <v>11897.1</v>
      </c>
      <c r="F703">
        <v>36</v>
      </c>
      <c r="G703">
        <v>20.23</v>
      </c>
      <c r="H703">
        <v>4</v>
      </c>
      <c r="I703">
        <v>6.2</v>
      </c>
      <c r="J703">
        <v>60</v>
      </c>
      <c r="K703" t="s">
        <v>24</v>
      </c>
      <c r="L703" t="s">
        <v>19</v>
      </c>
    </row>
    <row r="704" spans="1:12" x14ac:dyDescent="0.2">
      <c r="A704">
        <v>22581</v>
      </c>
      <c r="B704">
        <v>59</v>
      </c>
      <c r="C704" t="s">
        <v>17</v>
      </c>
      <c r="D704">
        <v>7341.52</v>
      </c>
      <c r="E704">
        <v>10745.4</v>
      </c>
      <c r="F704">
        <v>6</v>
      </c>
      <c r="G704">
        <v>24.16</v>
      </c>
      <c r="I704">
        <v>2.6</v>
      </c>
      <c r="J704">
        <v>60</v>
      </c>
      <c r="K704" t="s">
        <v>24</v>
      </c>
      <c r="L704" t="s">
        <v>25</v>
      </c>
    </row>
    <row r="705" spans="1:12" x14ac:dyDescent="0.2">
      <c r="A705">
        <v>22735</v>
      </c>
      <c r="B705">
        <v>34</v>
      </c>
      <c r="C705" t="s">
        <v>26</v>
      </c>
      <c r="D705">
        <v>2132.7800000000002</v>
      </c>
      <c r="E705">
        <v>6494.86</v>
      </c>
      <c r="F705">
        <v>36</v>
      </c>
      <c r="G705">
        <v>14.22</v>
      </c>
      <c r="H705">
        <v>2</v>
      </c>
      <c r="I705">
        <v>12.3</v>
      </c>
      <c r="J705">
        <v>60</v>
      </c>
      <c r="K705" t="s">
        <v>13</v>
      </c>
      <c r="L705" t="s">
        <v>16</v>
      </c>
    </row>
    <row r="706" spans="1:12" x14ac:dyDescent="0.2">
      <c r="A706">
        <v>24588</v>
      </c>
      <c r="B706">
        <v>52</v>
      </c>
      <c r="C706" t="s">
        <v>26</v>
      </c>
      <c r="D706">
        <v>6420.68</v>
      </c>
      <c r="E706">
        <v>3042.35</v>
      </c>
      <c r="F706">
        <v>18</v>
      </c>
      <c r="G706">
        <v>17.059999999999999</v>
      </c>
      <c r="I706">
        <v>5.5</v>
      </c>
      <c r="J706">
        <v>0</v>
      </c>
      <c r="K706" t="s">
        <v>13</v>
      </c>
      <c r="L706" t="s">
        <v>25</v>
      </c>
    </row>
    <row r="707" spans="1:12" x14ac:dyDescent="0.2">
      <c r="A707">
        <v>24174</v>
      </c>
      <c r="B707">
        <v>50</v>
      </c>
      <c r="C707" t="s">
        <v>27</v>
      </c>
      <c r="D707">
        <v>4422.91</v>
      </c>
      <c r="E707">
        <v>40021.35</v>
      </c>
      <c r="F707">
        <v>24</v>
      </c>
      <c r="G707">
        <v>16.36</v>
      </c>
      <c r="H707">
        <v>0</v>
      </c>
      <c r="I707">
        <v>12.8</v>
      </c>
      <c r="J707">
        <v>120</v>
      </c>
      <c r="K707" t="s">
        <v>13</v>
      </c>
      <c r="L707" t="s">
        <v>16</v>
      </c>
    </row>
    <row r="708" spans="1:12" x14ac:dyDescent="0.2">
      <c r="A708">
        <v>20777</v>
      </c>
      <c r="B708">
        <v>47</v>
      </c>
      <c r="C708" t="s">
        <v>23</v>
      </c>
      <c r="D708">
        <v>7507.36</v>
      </c>
      <c r="E708">
        <v>23903.46</v>
      </c>
      <c r="F708">
        <v>48</v>
      </c>
      <c r="G708">
        <v>14.62</v>
      </c>
      <c r="H708">
        <v>4</v>
      </c>
      <c r="I708">
        <v>8.6</v>
      </c>
      <c r="J708">
        <v>90</v>
      </c>
      <c r="K708" t="s">
        <v>13</v>
      </c>
      <c r="L708" t="s">
        <v>22</v>
      </c>
    </row>
    <row r="709" spans="1:12" x14ac:dyDescent="0.2">
      <c r="A709">
        <v>23212</v>
      </c>
      <c r="B709">
        <v>64</v>
      </c>
      <c r="C709" t="s">
        <v>27</v>
      </c>
      <c r="D709">
        <v>7402.09</v>
      </c>
      <c r="E709">
        <v>25601.86</v>
      </c>
      <c r="F709">
        <v>12</v>
      </c>
      <c r="G709">
        <v>21.78</v>
      </c>
      <c r="H709">
        <v>2</v>
      </c>
      <c r="I709">
        <v>6.2</v>
      </c>
      <c r="J709">
        <v>15</v>
      </c>
      <c r="K709" t="s">
        <v>20</v>
      </c>
      <c r="L709" t="s">
        <v>14</v>
      </c>
    </row>
    <row r="710" spans="1:12" x14ac:dyDescent="0.2">
      <c r="A710">
        <v>20065</v>
      </c>
      <c r="B710">
        <v>75</v>
      </c>
      <c r="C710" t="s">
        <v>17</v>
      </c>
      <c r="D710">
        <v>3744.8</v>
      </c>
      <c r="E710">
        <v>31376.31</v>
      </c>
      <c r="F710">
        <v>18</v>
      </c>
      <c r="G710">
        <v>18.27</v>
      </c>
      <c r="H710">
        <v>2</v>
      </c>
      <c r="I710">
        <v>4.0999999999999996</v>
      </c>
      <c r="J710">
        <v>0</v>
      </c>
      <c r="K710" t="s">
        <v>24</v>
      </c>
      <c r="L710" t="s">
        <v>25</v>
      </c>
    </row>
    <row r="711" spans="1:12" x14ac:dyDescent="0.2">
      <c r="A711">
        <v>24107</v>
      </c>
      <c r="B711">
        <v>24</v>
      </c>
      <c r="C711" t="s">
        <v>21</v>
      </c>
      <c r="D711">
        <v>4917.1499999999996</v>
      </c>
      <c r="E711">
        <v>5426.41</v>
      </c>
      <c r="F711">
        <v>60</v>
      </c>
      <c r="G711">
        <v>27.41</v>
      </c>
      <c r="H711">
        <v>4</v>
      </c>
      <c r="I711">
        <v>6.4</v>
      </c>
      <c r="J711">
        <v>15</v>
      </c>
      <c r="K711" t="s">
        <v>24</v>
      </c>
      <c r="L711" t="s">
        <v>16</v>
      </c>
    </row>
    <row r="712" spans="1:12" x14ac:dyDescent="0.2">
      <c r="A712">
        <v>24970</v>
      </c>
      <c r="B712">
        <v>28</v>
      </c>
      <c r="C712" t="s">
        <v>26</v>
      </c>
      <c r="D712">
        <v>3333.14</v>
      </c>
      <c r="E712">
        <v>11304.53</v>
      </c>
      <c r="F712">
        <v>12</v>
      </c>
      <c r="G712">
        <v>19.53</v>
      </c>
      <c r="H712">
        <v>0</v>
      </c>
      <c r="I712">
        <v>14.1</v>
      </c>
      <c r="J712">
        <v>60</v>
      </c>
      <c r="K712" t="s">
        <v>13</v>
      </c>
      <c r="L712" t="s">
        <v>14</v>
      </c>
    </row>
    <row r="713" spans="1:12" x14ac:dyDescent="0.2">
      <c r="A713">
        <v>22930</v>
      </c>
      <c r="B713">
        <v>34</v>
      </c>
      <c r="C713" t="s">
        <v>27</v>
      </c>
      <c r="D713">
        <v>6884.5</v>
      </c>
      <c r="E713">
        <v>8222.2000000000007</v>
      </c>
      <c r="F713">
        <v>24</v>
      </c>
      <c r="G713">
        <v>27.75</v>
      </c>
      <c r="H713">
        <v>3</v>
      </c>
      <c r="I713">
        <v>9.8000000000000007</v>
      </c>
      <c r="J713">
        <v>90</v>
      </c>
      <c r="K713" t="s">
        <v>13</v>
      </c>
      <c r="L713" t="s">
        <v>19</v>
      </c>
    </row>
    <row r="714" spans="1:12" x14ac:dyDescent="0.2">
      <c r="A714">
        <v>22466</v>
      </c>
      <c r="B714">
        <v>39</v>
      </c>
      <c r="C714" t="s">
        <v>12</v>
      </c>
      <c r="D714">
        <v>2465.29</v>
      </c>
      <c r="E714">
        <v>19597.63</v>
      </c>
      <c r="F714">
        <v>18</v>
      </c>
      <c r="G714">
        <v>55</v>
      </c>
      <c r="H714">
        <v>3</v>
      </c>
      <c r="I714">
        <v>2.7</v>
      </c>
      <c r="J714">
        <v>120</v>
      </c>
      <c r="K714" t="s">
        <v>15</v>
      </c>
      <c r="L714" t="s">
        <v>22</v>
      </c>
    </row>
    <row r="715" spans="1:12" x14ac:dyDescent="0.2">
      <c r="A715">
        <v>23868</v>
      </c>
      <c r="B715">
        <v>43</v>
      </c>
      <c r="C715" t="s">
        <v>26</v>
      </c>
      <c r="D715">
        <v>4733.8999999999996</v>
      </c>
      <c r="E715">
        <v>21147.59</v>
      </c>
      <c r="F715">
        <v>6</v>
      </c>
      <c r="G715">
        <v>18.399999999999999</v>
      </c>
      <c r="H715">
        <v>3</v>
      </c>
      <c r="I715">
        <v>7.8</v>
      </c>
      <c r="J715">
        <v>0</v>
      </c>
      <c r="K715" t="s">
        <v>18</v>
      </c>
      <c r="L715" t="s">
        <v>25</v>
      </c>
    </row>
    <row r="716" spans="1:12" x14ac:dyDescent="0.2">
      <c r="A716">
        <v>24128</v>
      </c>
      <c r="B716">
        <v>55</v>
      </c>
      <c r="C716" t="s">
        <v>17</v>
      </c>
      <c r="D716">
        <v>4476.25</v>
      </c>
      <c r="E716">
        <v>2382.75</v>
      </c>
      <c r="F716">
        <v>6</v>
      </c>
      <c r="G716">
        <v>22.89</v>
      </c>
      <c r="H716">
        <v>4</v>
      </c>
      <c r="I716">
        <v>14.6</v>
      </c>
      <c r="J716">
        <v>0</v>
      </c>
      <c r="K716" t="s">
        <v>13</v>
      </c>
      <c r="L716" t="s">
        <v>14</v>
      </c>
    </row>
    <row r="717" spans="1:12" x14ac:dyDescent="0.2">
      <c r="A717">
        <v>25004</v>
      </c>
      <c r="B717">
        <v>59</v>
      </c>
      <c r="C717" t="s">
        <v>12</v>
      </c>
      <c r="D717">
        <v>4300.3100000000004</v>
      </c>
      <c r="E717">
        <v>19225.98</v>
      </c>
      <c r="F717">
        <v>48</v>
      </c>
      <c r="G717">
        <v>21.94</v>
      </c>
      <c r="I717">
        <v>10.8</v>
      </c>
      <c r="J717">
        <v>0</v>
      </c>
      <c r="K717" t="s">
        <v>15</v>
      </c>
      <c r="L717" t="s">
        <v>19</v>
      </c>
    </row>
    <row r="718" spans="1:12" x14ac:dyDescent="0.2">
      <c r="A718">
        <v>23104</v>
      </c>
      <c r="B718">
        <v>26</v>
      </c>
      <c r="C718" t="s">
        <v>26</v>
      </c>
      <c r="D718">
        <v>7879.9</v>
      </c>
      <c r="E718">
        <v>30611.42</v>
      </c>
      <c r="F718">
        <v>48</v>
      </c>
      <c r="G718">
        <v>15.63</v>
      </c>
      <c r="H718">
        <v>4</v>
      </c>
      <c r="I718">
        <v>6.3</v>
      </c>
      <c r="J718">
        <v>0</v>
      </c>
      <c r="K718" t="s">
        <v>13</v>
      </c>
      <c r="L718" t="s">
        <v>16</v>
      </c>
    </row>
    <row r="719" spans="1:12" x14ac:dyDescent="0.2">
      <c r="A719">
        <v>25093</v>
      </c>
      <c r="B719">
        <v>41</v>
      </c>
      <c r="C719" t="s">
        <v>27</v>
      </c>
      <c r="D719">
        <v>2871.05</v>
      </c>
      <c r="E719">
        <v>16580.23</v>
      </c>
      <c r="F719">
        <v>48</v>
      </c>
      <c r="G719">
        <v>18.989999999999998</v>
      </c>
      <c r="H719">
        <v>3</v>
      </c>
      <c r="I719">
        <v>8.4</v>
      </c>
      <c r="J719">
        <v>0</v>
      </c>
      <c r="K719" t="s">
        <v>24</v>
      </c>
      <c r="L719" t="s">
        <v>14</v>
      </c>
    </row>
    <row r="720" spans="1:12" x14ac:dyDescent="0.2">
      <c r="A720">
        <v>22850</v>
      </c>
      <c r="B720">
        <v>60</v>
      </c>
      <c r="C720" t="s">
        <v>17</v>
      </c>
      <c r="D720">
        <v>4487.79</v>
      </c>
      <c r="F720">
        <v>12</v>
      </c>
      <c r="G720">
        <v>27.74</v>
      </c>
      <c r="H720">
        <v>4</v>
      </c>
      <c r="I720">
        <v>8.6999999999999993</v>
      </c>
      <c r="J720">
        <v>30</v>
      </c>
      <c r="K720" t="s">
        <v>24</v>
      </c>
      <c r="L720" t="s">
        <v>19</v>
      </c>
    </row>
    <row r="721" spans="1:12" x14ac:dyDescent="0.2">
      <c r="A721">
        <v>22314</v>
      </c>
      <c r="B721">
        <v>24</v>
      </c>
      <c r="C721" t="s">
        <v>21</v>
      </c>
      <c r="D721">
        <v>4442.5600000000004</v>
      </c>
      <c r="E721">
        <v>14768.43</v>
      </c>
      <c r="F721">
        <v>6</v>
      </c>
      <c r="G721">
        <v>28.64</v>
      </c>
      <c r="H721">
        <v>0</v>
      </c>
      <c r="I721">
        <v>7.1</v>
      </c>
      <c r="J721">
        <v>15</v>
      </c>
      <c r="K721" t="s">
        <v>13</v>
      </c>
      <c r="L721" t="s">
        <v>19</v>
      </c>
    </row>
    <row r="722" spans="1:12" x14ac:dyDescent="0.2">
      <c r="A722">
        <v>24163</v>
      </c>
      <c r="B722">
        <v>34</v>
      </c>
      <c r="C722" t="s">
        <v>12</v>
      </c>
      <c r="D722">
        <v>4437.07</v>
      </c>
      <c r="E722">
        <v>18128.98</v>
      </c>
      <c r="F722">
        <v>24</v>
      </c>
      <c r="G722">
        <v>20.88</v>
      </c>
      <c r="H722">
        <v>4</v>
      </c>
      <c r="I722">
        <v>0.9</v>
      </c>
      <c r="J722">
        <v>0</v>
      </c>
      <c r="K722" t="s">
        <v>24</v>
      </c>
      <c r="L722" t="s">
        <v>16</v>
      </c>
    </row>
    <row r="723" spans="1:12" x14ac:dyDescent="0.2">
      <c r="A723">
        <v>22252</v>
      </c>
      <c r="B723">
        <v>35</v>
      </c>
      <c r="C723" t="s">
        <v>27</v>
      </c>
      <c r="D723">
        <v>-1500</v>
      </c>
      <c r="E723">
        <v>20165.39</v>
      </c>
      <c r="F723">
        <v>6</v>
      </c>
      <c r="G723">
        <v>23.12</v>
      </c>
      <c r="H723">
        <v>0</v>
      </c>
      <c r="I723">
        <v>1.6</v>
      </c>
      <c r="K723" t="s">
        <v>18</v>
      </c>
      <c r="L723" t="s">
        <v>19</v>
      </c>
    </row>
    <row r="724" spans="1:12" x14ac:dyDescent="0.2">
      <c r="A724">
        <v>25242</v>
      </c>
      <c r="B724">
        <v>40</v>
      </c>
      <c r="C724" t="s">
        <v>17</v>
      </c>
      <c r="D724">
        <v>7372.23</v>
      </c>
      <c r="E724">
        <v>29107.13</v>
      </c>
      <c r="F724">
        <v>18</v>
      </c>
      <c r="G724">
        <v>19.22</v>
      </c>
      <c r="H724">
        <v>0</v>
      </c>
      <c r="I724">
        <v>15.7</v>
      </c>
      <c r="J724">
        <v>60</v>
      </c>
      <c r="K724" t="s">
        <v>18</v>
      </c>
      <c r="L724" t="s">
        <v>19</v>
      </c>
    </row>
    <row r="725" spans="1:12" x14ac:dyDescent="0.2">
      <c r="A725">
        <v>23394</v>
      </c>
      <c r="B725">
        <v>60</v>
      </c>
      <c r="C725" t="s">
        <v>27</v>
      </c>
      <c r="D725">
        <v>2621.23</v>
      </c>
      <c r="E725">
        <v>14198.69</v>
      </c>
      <c r="F725">
        <v>18</v>
      </c>
      <c r="G725">
        <v>27.14</v>
      </c>
      <c r="I725">
        <v>3.5</v>
      </c>
      <c r="J725">
        <v>90</v>
      </c>
      <c r="K725" t="s">
        <v>24</v>
      </c>
      <c r="L725" t="s">
        <v>25</v>
      </c>
    </row>
    <row r="726" spans="1:12" x14ac:dyDescent="0.2">
      <c r="A726">
        <v>20483</v>
      </c>
      <c r="B726">
        <v>64</v>
      </c>
      <c r="C726" t="s">
        <v>12</v>
      </c>
      <c r="D726">
        <v>6226.78</v>
      </c>
      <c r="E726">
        <v>24877.43</v>
      </c>
      <c r="F726">
        <v>24</v>
      </c>
      <c r="G726">
        <v>20.65</v>
      </c>
      <c r="H726">
        <v>2</v>
      </c>
      <c r="I726">
        <v>7.6</v>
      </c>
      <c r="J726">
        <v>0</v>
      </c>
      <c r="K726" t="s">
        <v>15</v>
      </c>
      <c r="L726" t="s">
        <v>22</v>
      </c>
    </row>
    <row r="727" spans="1:12" x14ac:dyDescent="0.2">
      <c r="A727">
        <v>24800</v>
      </c>
      <c r="B727">
        <v>75</v>
      </c>
      <c r="C727" t="s">
        <v>21</v>
      </c>
      <c r="D727">
        <v>6546.23</v>
      </c>
      <c r="E727">
        <v>18286.8</v>
      </c>
      <c r="F727">
        <v>18</v>
      </c>
      <c r="G727">
        <v>28.08</v>
      </c>
      <c r="H727">
        <v>1</v>
      </c>
      <c r="I727">
        <v>6.3</v>
      </c>
      <c r="J727">
        <v>15</v>
      </c>
      <c r="K727" t="s">
        <v>20</v>
      </c>
      <c r="L727" t="s">
        <v>14</v>
      </c>
    </row>
    <row r="728" spans="1:12" x14ac:dyDescent="0.2">
      <c r="A728">
        <v>25202</v>
      </c>
      <c r="B728">
        <v>59</v>
      </c>
      <c r="C728" t="s">
        <v>12</v>
      </c>
      <c r="D728">
        <v>7933.06</v>
      </c>
      <c r="E728">
        <v>14358.75</v>
      </c>
      <c r="F728">
        <v>18</v>
      </c>
      <c r="G728">
        <v>24.18</v>
      </c>
      <c r="H728">
        <v>1</v>
      </c>
      <c r="I728">
        <v>1.9</v>
      </c>
      <c r="J728">
        <v>120</v>
      </c>
      <c r="K728" t="s">
        <v>13</v>
      </c>
      <c r="L728" t="s">
        <v>14</v>
      </c>
    </row>
    <row r="729" spans="1:12" x14ac:dyDescent="0.2">
      <c r="A729">
        <v>24230</v>
      </c>
      <c r="B729">
        <v>50</v>
      </c>
      <c r="C729" t="s">
        <v>12</v>
      </c>
      <c r="D729">
        <v>6550.17</v>
      </c>
      <c r="E729">
        <v>13333.49</v>
      </c>
      <c r="F729">
        <v>18</v>
      </c>
      <c r="G729">
        <v>17.39</v>
      </c>
      <c r="I729">
        <v>10.8</v>
      </c>
      <c r="K729" t="s">
        <v>20</v>
      </c>
      <c r="L729" t="s">
        <v>14</v>
      </c>
    </row>
    <row r="730" spans="1:12" x14ac:dyDescent="0.2">
      <c r="A730">
        <v>23696</v>
      </c>
      <c r="B730">
        <v>37</v>
      </c>
      <c r="C730" t="s">
        <v>17</v>
      </c>
      <c r="D730">
        <v>1136.78</v>
      </c>
      <c r="E730">
        <v>39268.92</v>
      </c>
      <c r="F730">
        <v>60</v>
      </c>
      <c r="G730">
        <v>11.26</v>
      </c>
      <c r="H730">
        <v>2</v>
      </c>
      <c r="I730">
        <v>4.8</v>
      </c>
      <c r="J730">
        <v>0</v>
      </c>
      <c r="K730" t="s">
        <v>13</v>
      </c>
      <c r="L730" t="s">
        <v>25</v>
      </c>
    </row>
    <row r="731" spans="1:12" x14ac:dyDescent="0.2">
      <c r="A731">
        <v>25799</v>
      </c>
      <c r="B731">
        <v>28</v>
      </c>
      <c r="C731" t="s">
        <v>26</v>
      </c>
      <c r="D731">
        <v>5731.42</v>
      </c>
      <c r="E731">
        <v>13303.12</v>
      </c>
      <c r="F731">
        <v>18</v>
      </c>
      <c r="G731">
        <v>30.83</v>
      </c>
      <c r="H731">
        <v>3</v>
      </c>
      <c r="I731">
        <v>2.5</v>
      </c>
      <c r="J731">
        <v>120</v>
      </c>
      <c r="K731" t="s">
        <v>18</v>
      </c>
      <c r="L731" t="s">
        <v>25</v>
      </c>
    </row>
    <row r="732" spans="1:12" x14ac:dyDescent="0.2">
      <c r="A732">
        <v>21888</v>
      </c>
      <c r="B732">
        <v>55</v>
      </c>
      <c r="C732" t="s">
        <v>12</v>
      </c>
      <c r="D732">
        <v>6825.11</v>
      </c>
      <c r="E732">
        <v>27607.439999999999</v>
      </c>
      <c r="F732">
        <v>60</v>
      </c>
      <c r="G732">
        <v>23.78</v>
      </c>
      <c r="H732">
        <v>2</v>
      </c>
      <c r="I732">
        <v>11.9</v>
      </c>
      <c r="J732">
        <v>90</v>
      </c>
      <c r="K732" t="s">
        <v>13</v>
      </c>
      <c r="L732" t="s">
        <v>25</v>
      </c>
    </row>
    <row r="733" spans="1:12" x14ac:dyDescent="0.2">
      <c r="A733">
        <v>20051</v>
      </c>
      <c r="B733">
        <v>36</v>
      </c>
      <c r="C733" t="s">
        <v>26</v>
      </c>
      <c r="D733">
        <v>-1500</v>
      </c>
      <c r="E733">
        <v>16058.5</v>
      </c>
      <c r="F733">
        <v>12</v>
      </c>
      <c r="G733">
        <v>22.07</v>
      </c>
      <c r="H733">
        <v>1</v>
      </c>
      <c r="I733">
        <v>10</v>
      </c>
      <c r="J733">
        <v>0</v>
      </c>
      <c r="K733" t="s">
        <v>13</v>
      </c>
      <c r="L733" t="s">
        <v>25</v>
      </c>
    </row>
    <row r="734" spans="1:12" x14ac:dyDescent="0.2">
      <c r="A734">
        <v>23575</v>
      </c>
      <c r="B734">
        <v>53</v>
      </c>
      <c r="C734" t="s">
        <v>23</v>
      </c>
      <c r="D734">
        <v>6724.09</v>
      </c>
      <c r="E734">
        <v>13445.32</v>
      </c>
      <c r="F734">
        <v>12</v>
      </c>
      <c r="G734">
        <v>22.6</v>
      </c>
      <c r="H734">
        <v>2</v>
      </c>
      <c r="I734">
        <v>1.5</v>
      </c>
      <c r="J734">
        <v>0</v>
      </c>
      <c r="K734" t="s">
        <v>15</v>
      </c>
      <c r="L734" t="s">
        <v>19</v>
      </c>
    </row>
    <row r="735" spans="1:12" x14ac:dyDescent="0.2">
      <c r="A735">
        <v>23794</v>
      </c>
      <c r="B735">
        <v>62</v>
      </c>
      <c r="C735" t="s">
        <v>17</v>
      </c>
      <c r="D735">
        <v>4557.1099999999997</v>
      </c>
      <c r="E735">
        <v>10942.37</v>
      </c>
      <c r="F735">
        <v>12</v>
      </c>
      <c r="G735">
        <v>26.42</v>
      </c>
      <c r="I735">
        <v>8.9</v>
      </c>
      <c r="J735">
        <v>120</v>
      </c>
      <c r="K735" t="s">
        <v>24</v>
      </c>
      <c r="L735" t="s">
        <v>14</v>
      </c>
    </row>
    <row r="736" spans="1:12" x14ac:dyDescent="0.2">
      <c r="A736">
        <v>23543</v>
      </c>
      <c r="B736">
        <v>41</v>
      </c>
      <c r="C736" t="s">
        <v>21</v>
      </c>
      <c r="D736">
        <v>6560.08</v>
      </c>
      <c r="E736">
        <v>26945.03</v>
      </c>
      <c r="F736">
        <v>48</v>
      </c>
      <c r="G736">
        <v>16.72</v>
      </c>
      <c r="H736">
        <v>4</v>
      </c>
      <c r="I736">
        <v>3.3</v>
      </c>
      <c r="J736">
        <v>30</v>
      </c>
      <c r="K736" t="s">
        <v>20</v>
      </c>
      <c r="L736" t="s">
        <v>16</v>
      </c>
    </row>
    <row r="737" spans="1:12" x14ac:dyDescent="0.2">
      <c r="A737">
        <v>21425</v>
      </c>
      <c r="B737">
        <v>32</v>
      </c>
      <c r="C737" t="s">
        <v>21</v>
      </c>
      <c r="D737">
        <v>8169.4</v>
      </c>
      <c r="E737">
        <v>16025.72</v>
      </c>
      <c r="F737">
        <v>36</v>
      </c>
      <c r="G737">
        <v>23.97</v>
      </c>
      <c r="H737">
        <v>1</v>
      </c>
      <c r="I737">
        <v>8</v>
      </c>
      <c r="K737" t="s">
        <v>18</v>
      </c>
      <c r="L737" t="s">
        <v>14</v>
      </c>
    </row>
    <row r="738" spans="1:12" x14ac:dyDescent="0.2">
      <c r="A738">
        <v>24977</v>
      </c>
      <c r="B738">
        <v>60</v>
      </c>
      <c r="C738" t="s">
        <v>17</v>
      </c>
      <c r="D738">
        <v>3703.9</v>
      </c>
      <c r="E738">
        <v>10291.64</v>
      </c>
      <c r="F738">
        <v>6</v>
      </c>
      <c r="G738">
        <v>21.14</v>
      </c>
      <c r="H738">
        <v>3</v>
      </c>
      <c r="I738">
        <v>5.5</v>
      </c>
      <c r="K738" t="s">
        <v>13</v>
      </c>
      <c r="L738" t="s">
        <v>22</v>
      </c>
    </row>
    <row r="739" spans="1:12" x14ac:dyDescent="0.2">
      <c r="A739">
        <v>22822</v>
      </c>
      <c r="B739">
        <v>53</v>
      </c>
      <c r="C739" t="s">
        <v>27</v>
      </c>
      <c r="D739">
        <v>5099.7700000000004</v>
      </c>
      <c r="E739">
        <v>22203.01</v>
      </c>
      <c r="F739">
        <v>24</v>
      </c>
      <c r="G739">
        <v>16.760000000000002</v>
      </c>
      <c r="H739">
        <v>3</v>
      </c>
      <c r="I739">
        <v>8.8000000000000007</v>
      </c>
      <c r="J739">
        <v>90</v>
      </c>
      <c r="K739" t="s">
        <v>18</v>
      </c>
      <c r="L739" t="s">
        <v>22</v>
      </c>
    </row>
    <row r="740" spans="1:12" x14ac:dyDescent="0.2">
      <c r="A740">
        <v>23496</v>
      </c>
      <c r="B740">
        <v>55</v>
      </c>
      <c r="C740" t="s">
        <v>21</v>
      </c>
      <c r="D740">
        <v>7731.54</v>
      </c>
      <c r="E740">
        <v>12500.85</v>
      </c>
      <c r="F740">
        <v>6</v>
      </c>
      <c r="G740">
        <v>10.65</v>
      </c>
      <c r="H740">
        <v>4</v>
      </c>
      <c r="I740">
        <v>9.4</v>
      </c>
      <c r="J740">
        <v>0</v>
      </c>
      <c r="K740" t="s">
        <v>18</v>
      </c>
      <c r="L740" t="s">
        <v>16</v>
      </c>
    </row>
    <row r="741" spans="1:12" x14ac:dyDescent="0.2">
      <c r="A741">
        <v>23971</v>
      </c>
      <c r="B741">
        <v>38</v>
      </c>
      <c r="C741" t="s">
        <v>21</v>
      </c>
      <c r="D741">
        <v>5499.89</v>
      </c>
      <c r="E741">
        <v>33320.910000000003</v>
      </c>
      <c r="F741">
        <v>24</v>
      </c>
      <c r="G741">
        <v>21.4</v>
      </c>
      <c r="H741">
        <v>4</v>
      </c>
      <c r="I741">
        <v>3.2</v>
      </c>
      <c r="J741">
        <v>0</v>
      </c>
      <c r="K741" t="s">
        <v>24</v>
      </c>
      <c r="L741" t="s">
        <v>14</v>
      </c>
    </row>
    <row r="742" spans="1:12" x14ac:dyDescent="0.2">
      <c r="A742">
        <v>22071</v>
      </c>
      <c r="B742">
        <v>25</v>
      </c>
      <c r="C742" t="s">
        <v>27</v>
      </c>
      <c r="D742">
        <v>5047.8500000000004</v>
      </c>
      <c r="E742">
        <v>22603.11</v>
      </c>
      <c r="F742">
        <v>48</v>
      </c>
      <c r="G742">
        <v>17.739999999999998</v>
      </c>
      <c r="H742">
        <v>0</v>
      </c>
      <c r="I742">
        <v>7.2</v>
      </c>
      <c r="J742">
        <v>0</v>
      </c>
      <c r="K742" t="s">
        <v>20</v>
      </c>
      <c r="L742" t="s">
        <v>22</v>
      </c>
    </row>
    <row r="743" spans="1:12" x14ac:dyDescent="0.2">
      <c r="A743">
        <v>20389</v>
      </c>
      <c r="B743">
        <v>30</v>
      </c>
      <c r="C743" t="s">
        <v>23</v>
      </c>
      <c r="D743">
        <v>5089.5</v>
      </c>
      <c r="E743">
        <v>10595.49</v>
      </c>
      <c r="F743">
        <v>60</v>
      </c>
      <c r="G743">
        <v>22.4</v>
      </c>
      <c r="H743">
        <v>4</v>
      </c>
      <c r="I743">
        <v>12.6</v>
      </c>
      <c r="J743">
        <v>120</v>
      </c>
      <c r="K743" t="s">
        <v>13</v>
      </c>
      <c r="L743" t="s">
        <v>22</v>
      </c>
    </row>
    <row r="744" spans="1:12" x14ac:dyDescent="0.2">
      <c r="A744">
        <v>25992</v>
      </c>
      <c r="B744">
        <v>120</v>
      </c>
      <c r="C744" t="s">
        <v>21</v>
      </c>
      <c r="D744">
        <v>4355.99</v>
      </c>
      <c r="E744">
        <v>4834.43</v>
      </c>
      <c r="F744">
        <v>18</v>
      </c>
      <c r="G744">
        <v>20.260000000000002</v>
      </c>
      <c r="I744">
        <v>6.2</v>
      </c>
      <c r="J744">
        <v>0</v>
      </c>
      <c r="K744" t="s">
        <v>15</v>
      </c>
      <c r="L744" t="s">
        <v>25</v>
      </c>
    </row>
    <row r="745" spans="1:12" x14ac:dyDescent="0.2">
      <c r="A745">
        <v>22612</v>
      </c>
      <c r="B745">
        <v>62</v>
      </c>
      <c r="C745" t="s">
        <v>23</v>
      </c>
      <c r="D745">
        <v>3665.9</v>
      </c>
      <c r="E745">
        <v>14703.5</v>
      </c>
      <c r="F745">
        <v>6</v>
      </c>
      <c r="G745">
        <v>18.510000000000002</v>
      </c>
      <c r="H745">
        <v>4</v>
      </c>
      <c r="I745">
        <v>7.7</v>
      </c>
      <c r="J745">
        <v>15</v>
      </c>
      <c r="K745" t="s">
        <v>18</v>
      </c>
      <c r="L745" t="s">
        <v>16</v>
      </c>
    </row>
    <row r="746" spans="1:12" x14ac:dyDescent="0.2">
      <c r="A746">
        <v>23425</v>
      </c>
      <c r="B746">
        <v>35</v>
      </c>
      <c r="C746" t="s">
        <v>17</v>
      </c>
      <c r="D746">
        <v>2758.36</v>
      </c>
      <c r="E746">
        <v>20644.38</v>
      </c>
      <c r="F746">
        <v>12</v>
      </c>
      <c r="G746">
        <v>55</v>
      </c>
      <c r="H746">
        <v>3</v>
      </c>
      <c r="I746">
        <v>7.3</v>
      </c>
      <c r="J746">
        <v>15</v>
      </c>
      <c r="K746" t="s">
        <v>13</v>
      </c>
      <c r="L746" t="s">
        <v>14</v>
      </c>
    </row>
    <row r="747" spans="1:12" x14ac:dyDescent="0.2">
      <c r="A747">
        <v>21714</v>
      </c>
      <c r="B747">
        <v>33</v>
      </c>
      <c r="C747" t="s">
        <v>17</v>
      </c>
      <c r="D747">
        <v>4936.91</v>
      </c>
      <c r="E747">
        <v>20891.060000000001</v>
      </c>
      <c r="F747">
        <v>24</v>
      </c>
      <c r="G747">
        <v>21.86</v>
      </c>
      <c r="H747">
        <v>0</v>
      </c>
      <c r="I747">
        <v>14.9</v>
      </c>
      <c r="J747">
        <v>0</v>
      </c>
      <c r="K747" t="s">
        <v>15</v>
      </c>
      <c r="L747" t="s">
        <v>16</v>
      </c>
    </row>
    <row r="748" spans="1:12" x14ac:dyDescent="0.2">
      <c r="A748">
        <v>25003</v>
      </c>
      <c r="B748">
        <v>21</v>
      </c>
      <c r="C748" t="s">
        <v>23</v>
      </c>
      <c r="D748">
        <v>4256.25</v>
      </c>
      <c r="E748">
        <v>33868.94</v>
      </c>
      <c r="F748">
        <v>18</v>
      </c>
      <c r="G748">
        <v>24.09</v>
      </c>
      <c r="H748">
        <v>0</v>
      </c>
      <c r="I748">
        <v>6.5</v>
      </c>
      <c r="J748">
        <v>0</v>
      </c>
      <c r="K748" t="s">
        <v>18</v>
      </c>
      <c r="L748" t="s">
        <v>16</v>
      </c>
    </row>
    <row r="749" spans="1:12" x14ac:dyDescent="0.2">
      <c r="A749">
        <v>25546</v>
      </c>
      <c r="B749">
        <v>53</v>
      </c>
      <c r="C749" t="s">
        <v>27</v>
      </c>
      <c r="D749">
        <v>4157.6400000000003</v>
      </c>
      <c r="E749">
        <v>20526.439999999999</v>
      </c>
      <c r="F749">
        <v>6</v>
      </c>
      <c r="G749">
        <v>23.08</v>
      </c>
      <c r="H749">
        <v>2</v>
      </c>
      <c r="I749">
        <v>8.1999999999999993</v>
      </c>
      <c r="K749" t="s">
        <v>15</v>
      </c>
      <c r="L749" t="s">
        <v>19</v>
      </c>
    </row>
    <row r="750" spans="1:12" x14ac:dyDescent="0.2">
      <c r="A750">
        <v>24577</v>
      </c>
      <c r="B750">
        <v>59</v>
      </c>
      <c r="C750" t="s">
        <v>26</v>
      </c>
      <c r="D750">
        <v>6700.75</v>
      </c>
      <c r="E750">
        <v>14443.61</v>
      </c>
      <c r="F750">
        <v>18</v>
      </c>
      <c r="G750">
        <v>12.72</v>
      </c>
      <c r="H750">
        <v>4</v>
      </c>
      <c r="I750">
        <v>11.6</v>
      </c>
      <c r="J750">
        <v>120</v>
      </c>
      <c r="K750" t="s">
        <v>24</v>
      </c>
      <c r="L750" t="s">
        <v>22</v>
      </c>
    </row>
    <row r="751" spans="1:12" x14ac:dyDescent="0.2">
      <c r="A751">
        <v>25496</v>
      </c>
      <c r="B751">
        <v>31</v>
      </c>
      <c r="C751" t="s">
        <v>27</v>
      </c>
      <c r="D751">
        <v>-1500</v>
      </c>
      <c r="E751">
        <v>30122.79</v>
      </c>
      <c r="F751">
        <v>12</v>
      </c>
      <c r="G751">
        <v>16.28</v>
      </c>
      <c r="H751">
        <v>2</v>
      </c>
      <c r="I751">
        <v>13.4</v>
      </c>
      <c r="J751">
        <v>120</v>
      </c>
      <c r="K751" t="s">
        <v>13</v>
      </c>
      <c r="L751" t="s">
        <v>14</v>
      </c>
    </row>
    <row r="752" spans="1:12" x14ac:dyDescent="0.2">
      <c r="A752">
        <v>25420</v>
      </c>
      <c r="B752">
        <v>59</v>
      </c>
      <c r="C752" t="s">
        <v>17</v>
      </c>
      <c r="D752">
        <v>3632.74</v>
      </c>
      <c r="E752">
        <v>8429.44</v>
      </c>
      <c r="F752">
        <v>60</v>
      </c>
      <c r="G752">
        <v>14.22</v>
      </c>
      <c r="H752">
        <v>2</v>
      </c>
      <c r="I752">
        <v>8.5</v>
      </c>
      <c r="J752">
        <v>30</v>
      </c>
      <c r="K752" t="s">
        <v>15</v>
      </c>
      <c r="L752" t="s">
        <v>14</v>
      </c>
    </row>
    <row r="753" spans="1:12" x14ac:dyDescent="0.2">
      <c r="A753">
        <v>21467</v>
      </c>
      <c r="B753">
        <v>58</v>
      </c>
      <c r="C753" t="s">
        <v>21</v>
      </c>
      <c r="D753">
        <v>5719.4</v>
      </c>
      <c r="E753">
        <v>11665.55</v>
      </c>
      <c r="F753">
        <v>48</v>
      </c>
      <c r="G753">
        <v>17.71</v>
      </c>
      <c r="H753">
        <v>2</v>
      </c>
      <c r="I753">
        <v>7.9</v>
      </c>
      <c r="J753">
        <v>90</v>
      </c>
      <c r="K753" t="s">
        <v>18</v>
      </c>
      <c r="L753" t="s">
        <v>19</v>
      </c>
    </row>
    <row r="754" spans="1:12" x14ac:dyDescent="0.2">
      <c r="A754">
        <v>22835</v>
      </c>
      <c r="B754">
        <v>48</v>
      </c>
      <c r="C754" t="s">
        <v>27</v>
      </c>
      <c r="D754">
        <v>2095.16</v>
      </c>
      <c r="E754">
        <v>9916.9500000000007</v>
      </c>
      <c r="F754">
        <v>18</v>
      </c>
      <c r="G754">
        <v>22.11</v>
      </c>
      <c r="H754">
        <v>0</v>
      </c>
      <c r="I754">
        <v>8.1</v>
      </c>
      <c r="J754">
        <v>15</v>
      </c>
      <c r="K754" t="s">
        <v>15</v>
      </c>
      <c r="L754" t="s">
        <v>14</v>
      </c>
    </row>
    <row r="755" spans="1:12" x14ac:dyDescent="0.2">
      <c r="A755">
        <v>25037</v>
      </c>
      <c r="B755">
        <v>31</v>
      </c>
      <c r="C755" t="s">
        <v>12</v>
      </c>
      <c r="D755">
        <v>5316.93</v>
      </c>
      <c r="E755">
        <v>29565.98</v>
      </c>
      <c r="F755">
        <v>24</v>
      </c>
      <c r="G755">
        <v>19.12</v>
      </c>
      <c r="H755">
        <v>0</v>
      </c>
      <c r="I755">
        <v>12.7</v>
      </c>
      <c r="K755" t="s">
        <v>20</v>
      </c>
      <c r="L755" t="s">
        <v>14</v>
      </c>
    </row>
    <row r="756" spans="1:12" x14ac:dyDescent="0.2">
      <c r="A756">
        <v>25562</v>
      </c>
      <c r="B756">
        <v>54</v>
      </c>
      <c r="C756" t="s">
        <v>26</v>
      </c>
      <c r="D756">
        <v>7633.77</v>
      </c>
      <c r="E756">
        <v>14257.96</v>
      </c>
      <c r="F756">
        <v>24</v>
      </c>
      <c r="G756">
        <v>20.18</v>
      </c>
      <c r="H756">
        <v>4</v>
      </c>
      <c r="I756">
        <v>2.2000000000000002</v>
      </c>
      <c r="K756" t="s">
        <v>18</v>
      </c>
      <c r="L756" t="s">
        <v>19</v>
      </c>
    </row>
    <row r="757" spans="1:12" x14ac:dyDescent="0.2">
      <c r="A757">
        <v>21025</v>
      </c>
      <c r="B757">
        <v>48</v>
      </c>
      <c r="C757" t="s">
        <v>26</v>
      </c>
      <c r="D757">
        <v>5668.62</v>
      </c>
      <c r="E757">
        <v>29792.36</v>
      </c>
      <c r="F757">
        <v>24</v>
      </c>
      <c r="G757">
        <v>23.67</v>
      </c>
      <c r="I757">
        <v>3.6</v>
      </c>
      <c r="J757">
        <v>60</v>
      </c>
      <c r="K757" t="s">
        <v>13</v>
      </c>
      <c r="L757" t="s">
        <v>14</v>
      </c>
    </row>
    <row r="758" spans="1:12" x14ac:dyDescent="0.2">
      <c r="A758">
        <v>21549</v>
      </c>
      <c r="B758">
        <v>34</v>
      </c>
      <c r="C758" t="s">
        <v>21</v>
      </c>
      <c r="D758">
        <v>611.16999999999996</v>
      </c>
      <c r="E758">
        <v>13470.39</v>
      </c>
      <c r="F758">
        <v>6</v>
      </c>
      <c r="G758">
        <v>24.39</v>
      </c>
      <c r="I758">
        <v>8.4</v>
      </c>
      <c r="K758" t="s">
        <v>13</v>
      </c>
      <c r="L758" t="s">
        <v>22</v>
      </c>
    </row>
    <row r="759" spans="1:12" x14ac:dyDescent="0.2">
      <c r="A759">
        <v>21070</v>
      </c>
      <c r="B759">
        <v>61</v>
      </c>
      <c r="C759" t="s">
        <v>21</v>
      </c>
      <c r="D759">
        <v>7604.24</v>
      </c>
      <c r="E759">
        <v>23215.95</v>
      </c>
      <c r="F759">
        <v>36</v>
      </c>
      <c r="G759">
        <v>27.97</v>
      </c>
      <c r="H759">
        <v>2</v>
      </c>
      <c r="I759">
        <v>7.2</v>
      </c>
      <c r="J759">
        <v>60</v>
      </c>
      <c r="K759" t="s">
        <v>13</v>
      </c>
      <c r="L759" t="s">
        <v>14</v>
      </c>
    </row>
    <row r="760" spans="1:12" x14ac:dyDescent="0.2">
      <c r="A760">
        <v>20278</v>
      </c>
      <c r="B760">
        <v>30</v>
      </c>
      <c r="C760" t="s">
        <v>23</v>
      </c>
      <c r="D760">
        <v>5016.79</v>
      </c>
      <c r="E760">
        <v>11543.31</v>
      </c>
      <c r="F760">
        <v>18</v>
      </c>
      <c r="G760">
        <v>14.4</v>
      </c>
      <c r="H760">
        <v>1</v>
      </c>
      <c r="I760">
        <v>11.7</v>
      </c>
      <c r="J760">
        <v>120</v>
      </c>
      <c r="K760" t="s">
        <v>13</v>
      </c>
      <c r="L760" t="s">
        <v>19</v>
      </c>
    </row>
    <row r="761" spans="1:12" x14ac:dyDescent="0.2">
      <c r="A761">
        <v>24881</v>
      </c>
      <c r="B761">
        <v>58</v>
      </c>
      <c r="C761" t="s">
        <v>27</v>
      </c>
      <c r="D761">
        <v>6461.82</v>
      </c>
      <c r="E761">
        <v>22826.62</v>
      </c>
      <c r="F761">
        <v>60</v>
      </c>
      <c r="G761">
        <v>22.57</v>
      </c>
      <c r="H761">
        <v>1</v>
      </c>
      <c r="I761">
        <v>4.5999999999999996</v>
      </c>
      <c r="J761">
        <v>90</v>
      </c>
      <c r="K761" t="s">
        <v>18</v>
      </c>
      <c r="L761" t="s">
        <v>25</v>
      </c>
    </row>
    <row r="762" spans="1:12" x14ac:dyDescent="0.2">
      <c r="A762">
        <v>20175</v>
      </c>
      <c r="B762">
        <v>46</v>
      </c>
      <c r="C762" t="s">
        <v>21</v>
      </c>
      <c r="D762">
        <v>3703.17</v>
      </c>
      <c r="E762">
        <v>19657.5</v>
      </c>
      <c r="F762">
        <v>6</v>
      </c>
      <c r="G762">
        <v>15.79</v>
      </c>
      <c r="H762">
        <v>2</v>
      </c>
      <c r="I762">
        <v>12.8</v>
      </c>
      <c r="K762" t="s">
        <v>20</v>
      </c>
      <c r="L762" t="s">
        <v>22</v>
      </c>
    </row>
    <row r="763" spans="1:12" x14ac:dyDescent="0.2">
      <c r="A763">
        <v>25596</v>
      </c>
      <c r="B763">
        <v>51</v>
      </c>
      <c r="C763" t="s">
        <v>17</v>
      </c>
      <c r="D763">
        <v>4203.08</v>
      </c>
      <c r="E763">
        <v>19573.990000000002</v>
      </c>
      <c r="F763">
        <v>6</v>
      </c>
      <c r="G763">
        <v>17.170000000000002</v>
      </c>
      <c r="I763">
        <v>9</v>
      </c>
      <c r="J763">
        <v>15</v>
      </c>
      <c r="K763" t="s">
        <v>18</v>
      </c>
      <c r="L763" t="s">
        <v>25</v>
      </c>
    </row>
    <row r="764" spans="1:12" x14ac:dyDescent="0.2">
      <c r="A764">
        <v>24029</v>
      </c>
      <c r="B764">
        <v>42</v>
      </c>
      <c r="C764" t="s">
        <v>21</v>
      </c>
      <c r="D764">
        <v>3751.95</v>
      </c>
      <c r="E764">
        <v>9914.94</v>
      </c>
      <c r="F764">
        <v>18</v>
      </c>
      <c r="G764">
        <v>13.23</v>
      </c>
      <c r="H764">
        <v>0</v>
      </c>
      <c r="I764">
        <v>8.9</v>
      </c>
      <c r="J764">
        <v>60</v>
      </c>
      <c r="K764" t="s">
        <v>20</v>
      </c>
      <c r="L764" t="s">
        <v>14</v>
      </c>
    </row>
    <row r="765" spans="1:12" x14ac:dyDescent="0.2">
      <c r="A765">
        <v>20467</v>
      </c>
      <c r="B765">
        <v>51</v>
      </c>
      <c r="C765" t="s">
        <v>26</v>
      </c>
      <c r="D765">
        <v>7842.26</v>
      </c>
      <c r="E765">
        <v>21572.42</v>
      </c>
      <c r="F765">
        <v>24</v>
      </c>
      <c r="G765">
        <v>18.52</v>
      </c>
      <c r="I765">
        <v>4.7</v>
      </c>
      <c r="J765">
        <v>30</v>
      </c>
      <c r="K765" t="s">
        <v>18</v>
      </c>
      <c r="L765" t="s">
        <v>19</v>
      </c>
    </row>
    <row r="766" spans="1:12" x14ac:dyDescent="0.2">
      <c r="A766">
        <v>21296</v>
      </c>
      <c r="B766">
        <v>47</v>
      </c>
      <c r="C766" t="s">
        <v>23</v>
      </c>
      <c r="D766">
        <v>6303.9</v>
      </c>
      <c r="E766">
        <v>23695.61</v>
      </c>
      <c r="F766">
        <v>36</v>
      </c>
      <c r="G766">
        <v>28.43</v>
      </c>
      <c r="H766">
        <v>3</v>
      </c>
      <c r="I766">
        <v>6.2</v>
      </c>
      <c r="J766">
        <v>90</v>
      </c>
      <c r="K766" t="s">
        <v>13</v>
      </c>
      <c r="L766" t="s">
        <v>14</v>
      </c>
    </row>
    <row r="767" spans="1:12" x14ac:dyDescent="0.2">
      <c r="A767">
        <v>25483</v>
      </c>
      <c r="B767">
        <v>45</v>
      </c>
      <c r="C767" t="s">
        <v>21</v>
      </c>
      <c r="D767">
        <v>5881.31</v>
      </c>
      <c r="E767">
        <v>32699.17</v>
      </c>
      <c r="F767">
        <v>36</v>
      </c>
      <c r="G767">
        <v>15.14</v>
      </c>
      <c r="H767">
        <v>0</v>
      </c>
      <c r="I767">
        <v>9.1</v>
      </c>
      <c r="J767">
        <v>60</v>
      </c>
      <c r="K767" t="s">
        <v>24</v>
      </c>
      <c r="L767" t="s">
        <v>25</v>
      </c>
    </row>
    <row r="768" spans="1:12" x14ac:dyDescent="0.2">
      <c r="A768">
        <v>23323</v>
      </c>
      <c r="B768">
        <v>64</v>
      </c>
      <c r="C768" t="s">
        <v>21</v>
      </c>
      <c r="D768">
        <v>1590.76</v>
      </c>
      <c r="E768">
        <v>31226.26</v>
      </c>
      <c r="F768">
        <v>6</v>
      </c>
      <c r="G768">
        <v>23.81</v>
      </c>
      <c r="I768">
        <v>6.3</v>
      </c>
      <c r="J768">
        <v>120</v>
      </c>
      <c r="K768" t="s">
        <v>15</v>
      </c>
      <c r="L768" t="s">
        <v>22</v>
      </c>
    </row>
    <row r="769" spans="1:12" x14ac:dyDescent="0.2">
      <c r="A769">
        <v>21428</v>
      </c>
      <c r="B769">
        <v>44</v>
      </c>
      <c r="C769" t="s">
        <v>27</v>
      </c>
      <c r="D769">
        <v>8833.2000000000007</v>
      </c>
      <c r="E769">
        <v>20272.13</v>
      </c>
      <c r="F769">
        <v>48</v>
      </c>
      <c r="G769">
        <v>18.510000000000002</v>
      </c>
      <c r="H769">
        <v>2</v>
      </c>
      <c r="I769">
        <v>9.1999999999999993</v>
      </c>
      <c r="J769">
        <v>30</v>
      </c>
      <c r="K769" t="s">
        <v>15</v>
      </c>
      <c r="L769" t="s">
        <v>22</v>
      </c>
    </row>
    <row r="770" spans="1:12" x14ac:dyDescent="0.2">
      <c r="A770">
        <v>25835</v>
      </c>
      <c r="B770">
        <v>37</v>
      </c>
      <c r="C770" t="s">
        <v>26</v>
      </c>
      <c r="D770">
        <v>3068.27</v>
      </c>
      <c r="E770">
        <v>23102.94</v>
      </c>
      <c r="F770">
        <v>24</v>
      </c>
      <c r="G770">
        <v>17.61</v>
      </c>
      <c r="H770">
        <v>0</v>
      </c>
      <c r="I770">
        <v>0.9</v>
      </c>
      <c r="K770" t="s">
        <v>24</v>
      </c>
      <c r="L770" t="s">
        <v>19</v>
      </c>
    </row>
    <row r="771" spans="1:12" x14ac:dyDescent="0.2">
      <c r="A771">
        <v>21014</v>
      </c>
      <c r="B771">
        <v>26</v>
      </c>
      <c r="C771" t="s">
        <v>23</v>
      </c>
      <c r="D771">
        <v>4666.53</v>
      </c>
      <c r="E771">
        <v>19955.41</v>
      </c>
      <c r="F771">
        <v>36</v>
      </c>
      <c r="G771">
        <v>13.91</v>
      </c>
      <c r="H771">
        <v>3</v>
      </c>
      <c r="I771">
        <v>8.1999999999999993</v>
      </c>
      <c r="J771">
        <v>0</v>
      </c>
      <c r="K771" t="s">
        <v>20</v>
      </c>
      <c r="L771" t="s">
        <v>14</v>
      </c>
    </row>
    <row r="772" spans="1:12" x14ac:dyDescent="0.2">
      <c r="A772">
        <v>21965</v>
      </c>
      <c r="B772">
        <v>120</v>
      </c>
      <c r="C772" t="s">
        <v>27</v>
      </c>
      <c r="D772">
        <v>5152.76</v>
      </c>
      <c r="E772">
        <v>25335.43</v>
      </c>
      <c r="F772">
        <v>18</v>
      </c>
      <c r="G772">
        <v>26.91</v>
      </c>
      <c r="I772">
        <v>11.3</v>
      </c>
      <c r="J772">
        <v>0</v>
      </c>
      <c r="K772" t="s">
        <v>15</v>
      </c>
      <c r="L772" t="s">
        <v>19</v>
      </c>
    </row>
    <row r="773" spans="1:12" x14ac:dyDescent="0.2">
      <c r="A773">
        <v>23564</v>
      </c>
      <c r="B773">
        <v>36</v>
      </c>
      <c r="C773" t="s">
        <v>17</v>
      </c>
      <c r="D773">
        <v>8026.16</v>
      </c>
      <c r="E773">
        <v>32634.9</v>
      </c>
      <c r="F773">
        <v>12</v>
      </c>
      <c r="G773">
        <v>30.06</v>
      </c>
      <c r="H773">
        <v>2</v>
      </c>
      <c r="I773">
        <v>10.1</v>
      </c>
      <c r="K773" t="s">
        <v>20</v>
      </c>
      <c r="L773" t="s">
        <v>14</v>
      </c>
    </row>
    <row r="774" spans="1:12" x14ac:dyDescent="0.2">
      <c r="A774">
        <v>24698</v>
      </c>
      <c r="B774">
        <v>53</v>
      </c>
      <c r="C774" t="s">
        <v>26</v>
      </c>
      <c r="D774">
        <v>708.56</v>
      </c>
      <c r="E774">
        <v>22980.19</v>
      </c>
      <c r="F774">
        <v>48</v>
      </c>
      <c r="G774">
        <v>20.82</v>
      </c>
      <c r="H774">
        <v>4</v>
      </c>
      <c r="I774">
        <v>11</v>
      </c>
      <c r="J774">
        <v>60</v>
      </c>
      <c r="K774" t="s">
        <v>18</v>
      </c>
      <c r="L774" t="s">
        <v>16</v>
      </c>
    </row>
    <row r="775" spans="1:12" x14ac:dyDescent="0.2">
      <c r="A775">
        <v>21857</v>
      </c>
      <c r="B775">
        <v>33</v>
      </c>
      <c r="C775" t="s">
        <v>12</v>
      </c>
      <c r="D775">
        <v>4684.5600000000004</v>
      </c>
      <c r="E775">
        <v>35134.58</v>
      </c>
      <c r="F775">
        <v>24</v>
      </c>
      <c r="G775">
        <v>15.57</v>
      </c>
      <c r="H775">
        <v>4</v>
      </c>
      <c r="I775">
        <v>11.1</v>
      </c>
      <c r="J775">
        <v>30</v>
      </c>
      <c r="K775" t="s">
        <v>20</v>
      </c>
      <c r="L775" t="s">
        <v>25</v>
      </c>
    </row>
    <row r="776" spans="1:12" x14ac:dyDescent="0.2">
      <c r="A776">
        <v>22649</v>
      </c>
      <c r="B776">
        <v>62</v>
      </c>
      <c r="C776" t="s">
        <v>17</v>
      </c>
      <c r="D776">
        <v>5845.23</v>
      </c>
      <c r="E776">
        <v>9749.5400000000009</v>
      </c>
      <c r="F776">
        <v>18</v>
      </c>
      <c r="G776">
        <v>16.149999999999999</v>
      </c>
      <c r="H776">
        <v>2</v>
      </c>
      <c r="I776">
        <v>10.8</v>
      </c>
      <c r="J776">
        <v>30</v>
      </c>
      <c r="K776" t="s">
        <v>15</v>
      </c>
      <c r="L776" t="s">
        <v>22</v>
      </c>
    </row>
    <row r="777" spans="1:12" x14ac:dyDescent="0.2">
      <c r="A777">
        <v>24648</v>
      </c>
      <c r="B777">
        <v>30</v>
      </c>
      <c r="C777" t="s">
        <v>17</v>
      </c>
      <c r="D777">
        <v>3445.93</v>
      </c>
      <c r="E777">
        <v>26949.360000000001</v>
      </c>
      <c r="F777">
        <v>60</v>
      </c>
      <c r="G777">
        <v>26.84</v>
      </c>
      <c r="H777">
        <v>4</v>
      </c>
      <c r="I777">
        <v>4.9000000000000004</v>
      </c>
      <c r="J777">
        <v>120</v>
      </c>
      <c r="K777" t="s">
        <v>15</v>
      </c>
      <c r="L777" t="s">
        <v>25</v>
      </c>
    </row>
    <row r="778" spans="1:12" x14ac:dyDescent="0.2">
      <c r="A778">
        <v>25809</v>
      </c>
      <c r="B778">
        <v>41</v>
      </c>
      <c r="C778" t="s">
        <v>27</v>
      </c>
      <c r="D778">
        <v>3399.41</v>
      </c>
      <c r="E778">
        <v>15699.25</v>
      </c>
      <c r="F778">
        <v>48</v>
      </c>
      <c r="G778">
        <v>23.7</v>
      </c>
      <c r="H778">
        <v>2</v>
      </c>
      <c r="I778">
        <v>11.4</v>
      </c>
      <c r="J778">
        <v>0</v>
      </c>
      <c r="K778" t="s">
        <v>15</v>
      </c>
      <c r="L778" t="s">
        <v>22</v>
      </c>
    </row>
    <row r="779" spans="1:12" x14ac:dyDescent="0.2">
      <c r="A779">
        <v>23023</v>
      </c>
      <c r="B779">
        <v>59</v>
      </c>
      <c r="C779" t="s">
        <v>26</v>
      </c>
      <c r="D779">
        <v>6385.07</v>
      </c>
      <c r="E779">
        <v>30837.200000000001</v>
      </c>
      <c r="F779">
        <v>18</v>
      </c>
      <c r="G779">
        <v>16.100000000000001</v>
      </c>
      <c r="H779">
        <v>4</v>
      </c>
      <c r="I779">
        <v>8.3000000000000007</v>
      </c>
      <c r="J779">
        <v>0</v>
      </c>
      <c r="K779" t="s">
        <v>24</v>
      </c>
      <c r="L779" t="s">
        <v>14</v>
      </c>
    </row>
    <row r="780" spans="1:12" x14ac:dyDescent="0.2">
      <c r="A780">
        <v>23494</v>
      </c>
      <c r="B780">
        <v>22</v>
      </c>
      <c r="C780" t="s">
        <v>27</v>
      </c>
      <c r="D780">
        <v>4360.75</v>
      </c>
      <c r="E780">
        <v>37467.71</v>
      </c>
      <c r="F780">
        <v>6</v>
      </c>
      <c r="G780">
        <v>19.739999999999998</v>
      </c>
      <c r="H780">
        <v>0</v>
      </c>
      <c r="I780">
        <v>7.6</v>
      </c>
      <c r="J780">
        <v>120</v>
      </c>
      <c r="K780" t="s">
        <v>15</v>
      </c>
      <c r="L780" t="s">
        <v>22</v>
      </c>
    </row>
    <row r="781" spans="1:12" x14ac:dyDescent="0.2">
      <c r="A781">
        <v>21659</v>
      </c>
      <c r="B781">
        <v>64</v>
      </c>
      <c r="C781" t="s">
        <v>12</v>
      </c>
      <c r="D781">
        <v>2993.17</v>
      </c>
      <c r="E781">
        <v>13889.81</v>
      </c>
      <c r="F781">
        <v>18</v>
      </c>
      <c r="G781">
        <v>26.15</v>
      </c>
      <c r="H781">
        <v>2</v>
      </c>
      <c r="I781">
        <v>9.1</v>
      </c>
      <c r="J781">
        <v>90</v>
      </c>
      <c r="K781" t="s">
        <v>15</v>
      </c>
      <c r="L781" t="s">
        <v>14</v>
      </c>
    </row>
    <row r="782" spans="1:12" x14ac:dyDescent="0.2">
      <c r="A782">
        <v>21935</v>
      </c>
      <c r="B782">
        <v>31</v>
      </c>
      <c r="C782" t="s">
        <v>17</v>
      </c>
      <c r="D782">
        <v>9232.5300000000007</v>
      </c>
      <c r="E782">
        <v>21678.89</v>
      </c>
      <c r="F782">
        <v>60</v>
      </c>
      <c r="G782">
        <v>23.49</v>
      </c>
      <c r="H782">
        <v>3</v>
      </c>
      <c r="I782">
        <v>4.3</v>
      </c>
      <c r="J782">
        <v>0</v>
      </c>
      <c r="K782" t="s">
        <v>18</v>
      </c>
      <c r="L782" t="s">
        <v>14</v>
      </c>
    </row>
    <row r="783" spans="1:12" x14ac:dyDescent="0.2">
      <c r="A783">
        <v>21564</v>
      </c>
      <c r="B783">
        <v>34</v>
      </c>
      <c r="C783" t="s">
        <v>26</v>
      </c>
      <c r="D783">
        <v>6245.17</v>
      </c>
      <c r="E783">
        <v>26567.18</v>
      </c>
      <c r="F783">
        <v>48</v>
      </c>
      <c r="G783">
        <v>17.649999999999999</v>
      </c>
      <c r="H783">
        <v>0</v>
      </c>
      <c r="I783">
        <v>10.4</v>
      </c>
      <c r="J783">
        <v>60</v>
      </c>
      <c r="K783" t="s">
        <v>13</v>
      </c>
      <c r="L783" t="s">
        <v>14</v>
      </c>
    </row>
    <row r="784" spans="1:12" x14ac:dyDescent="0.2">
      <c r="A784">
        <v>24532</v>
      </c>
      <c r="B784">
        <v>22</v>
      </c>
      <c r="C784" t="s">
        <v>17</v>
      </c>
      <c r="D784">
        <v>9203.98</v>
      </c>
      <c r="E784">
        <v>20546.919999999998</v>
      </c>
      <c r="F784">
        <v>24</v>
      </c>
      <c r="G784">
        <v>19.95</v>
      </c>
      <c r="H784">
        <v>0</v>
      </c>
      <c r="I784">
        <v>9.1</v>
      </c>
      <c r="J784">
        <v>0</v>
      </c>
      <c r="K784" t="s">
        <v>13</v>
      </c>
      <c r="L784" t="s">
        <v>19</v>
      </c>
    </row>
    <row r="785" spans="1:12" x14ac:dyDescent="0.2">
      <c r="A785">
        <v>20754</v>
      </c>
      <c r="B785">
        <v>33</v>
      </c>
      <c r="C785" t="s">
        <v>27</v>
      </c>
      <c r="D785">
        <v>9607.27</v>
      </c>
      <c r="E785">
        <v>14722.23</v>
      </c>
      <c r="F785">
        <v>60</v>
      </c>
      <c r="G785">
        <v>22.24</v>
      </c>
      <c r="H785">
        <v>3</v>
      </c>
      <c r="I785">
        <v>4.5999999999999996</v>
      </c>
      <c r="J785">
        <v>0</v>
      </c>
      <c r="K785" t="s">
        <v>13</v>
      </c>
      <c r="L785" t="s">
        <v>22</v>
      </c>
    </row>
    <row r="786" spans="1:12" x14ac:dyDescent="0.2">
      <c r="A786">
        <v>23825</v>
      </c>
      <c r="B786">
        <v>31</v>
      </c>
      <c r="C786" t="s">
        <v>12</v>
      </c>
      <c r="D786">
        <v>7733.68</v>
      </c>
      <c r="E786">
        <v>6671.66</v>
      </c>
      <c r="F786">
        <v>48</v>
      </c>
      <c r="G786">
        <v>18.53</v>
      </c>
      <c r="H786">
        <v>1</v>
      </c>
      <c r="I786">
        <v>4.7</v>
      </c>
      <c r="J786">
        <v>0</v>
      </c>
      <c r="K786" t="s">
        <v>24</v>
      </c>
      <c r="L786" t="s">
        <v>19</v>
      </c>
    </row>
    <row r="787" spans="1:12" x14ac:dyDescent="0.2">
      <c r="A787">
        <v>22819</v>
      </c>
      <c r="B787">
        <v>31</v>
      </c>
      <c r="C787" t="s">
        <v>21</v>
      </c>
      <c r="D787">
        <v>-1500</v>
      </c>
      <c r="E787">
        <v>25474.39</v>
      </c>
      <c r="F787">
        <v>24</v>
      </c>
      <c r="G787">
        <v>22.76</v>
      </c>
      <c r="H787">
        <v>4</v>
      </c>
      <c r="I787">
        <v>7.5</v>
      </c>
      <c r="J787">
        <v>30</v>
      </c>
      <c r="K787" t="s">
        <v>18</v>
      </c>
      <c r="L787" t="s">
        <v>22</v>
      </c>
    </row>
    <row r="788" spans="1:12" x14ac:dyDescent="0.2">
      <c r="A788">
        <v>22258</v>
      </c>
      <c r="B788">
        <v>31</v>
      </c>
      <c r="C788" t="s">
        <v>27</v>
      </c>
      <c r="D788">
        <v>3572.39</v>
      </c>
      <c r="E788">
        <v>26691.71</v>
      </c>
      <c r="F788">
        <v>24</v>
      </c>
      <c r="G788">
        <v>11.78</v>
      </c>
      <c r="H788">
        <v>3</v>
      </c>
      <c r="I788">
        <v>9.5</v>
      </c>
      <c r="K788" t="s">
        <v>24</v>
      </c>
      <c r="L788" t="s">
        <v>16</v>
      </c>
    </row>
    <row r="789" spans="1:12" x14ac:dyDescent="0.2">
      <c r="A789">
        <v>24793</v>
      </c>
      <c r="B789">
        <v>18</v>
      </c>
      <c r="C789" t="s">
        <v>12</v>
      </c>
      <c r="D789">
        <v>4653.26</v>
      </c>
      <c r="E789">
        <v>26737.03</v>
      </c>
      <c r="F789">
        <v>24</v>
      </c>
      <c r="G789">
        <v>25.75</v>
      </c>
      <c r="H789">
        <v>3</v>
      </c>
      <c r="I789">
        <v>8.9</v>
      </c>
      <c r="J789">
        <v>60</v>
      </c>
      <c r="K789" t="s">
        <v>18</v>
      </c>
      <c r="L789" t="s">
        <v>16</v>
      </c>
    </row>
    <row r="790" spans="1:12" x14ac:dyDescent="0.2">
      <c r="A790">
        <v>24738</v>
      </c>
      <c r="B790">
        <v>60</v>
      </c>
      <c r="C790" t="s">
        <v>27</v>
      </c>
      <c r="D790">
        <v>1405.57</v>
      </c>
      <c r="E790">
        <v>21137.93</v>
      </c>
      <c r="F790">
        <v>6</v>
      </c>
      <c r="G790">
        <v>22.54</v>
      </c>
      <c r="H790">
        <v>1</v>
      </c>
      <c r="I790">
        <v>8.8000000000000007</v>
      </c>
      <c r="J790">
        <v>90</v>
      </c>
      <c r="K790" t="s">
        <v>24</v>
      </c>
      <c r="L790" t="s">
        <v>14</v>
      </c>
    </row>
    <row r="791" spans="1:12" x14ac:dyDescent="0.2">
      <c r="A791">
        <v>22543</v>
      </c>
      <c r="B791">
        <v>62</v>
      </c>
      <c r="C791" t="s">
        <v>21</v>
      </c>
      <c r="D791">
        <v>5034.62</v>
      </c>
      <c r="E791">
        <v>20021.099999999999</v>
      </c>
      <c r="F791">
        <v>48</v>
      </c>
      <c r="G791">
        <v>20.43</v>
      </c>
      <c r="H791">
        <v>1</v>
      </c>
      <c r="I791">
        <v>4.7</v>
      </c>
      <c r="K791" t="s">
        <v>24</v>
      </c>
      <c r="L791" t="s">
        <v>22</v>
      </c>
    </row>
    <row r="792" spans="1:12" x14ac:dyDescent="0.2">
      <c r="A792">
        <v>20243</v>
      </c>
      <c r="B792">
        <v>62</v>
      </c>
      <c r="C792" t="s">
        <v>23</v>
      </c>
      <c r="D792">
        <v>5797.42</v>
      </c>
      <c r="E792">
        <v>24649.29</v>
      </c>
      <c r="F792">
        <v>48</v>
      </c>
      <c r="G792">
        <v>7.56</v>
      </c>
      <c r="I792">
        <v>5.3</v>
      </c>
      <c r="J792">
        <v>30</v>
      </c>
      <c r="K792" t="s">
        <v>15</v>
      </c>
      <c r="L792" t="s">
        <v>19</v>
      </c>
    </row>
    <row r="793" spans="1:12" x14ac:dyDescent="0.2">
      <c r="A793">
        <v>23103</v>
      </c>
      <c r="B793">
        <v>24</v>
      </c>
      <c r="C793" t="s">
        <v>21</v>
      </c>
      <c r="D793">
        <v>4688.07</v>
      </c>
      <c r="E793">
        <v>283.97000000000003</v>
      </c>
      <c r="F793">
        <v>60</v>
      </c>
      <c r="G793">
        <v>27.57</v>
      </c>
      <c r="H793">
        <v>1</v>
      </c>
      <c r="I793">
        <v>7.3</v>
      </c>
      <c r="J793">
        <v>60</v>
      </c>
      <c r="K793" t="s">
        <v>18</v>
      </c>
      <c r="L793" t="s">
        <v>16</v>
      </c>
    </row>
    <row r="794" spans="1:12" x14ac:dyDescent="0.2">
      <c r="A794">
        <v>20330</v>
      </c>
      <c r="B794">
        <v>64</v>
      </c>
      <c r="C794" t="s">
        <v>21</v>
      </c>
      <c r="D794">
        <v>7704.39</v>
      </c>
      <c r="E794">
        <v>21967.87</v>
      </c>
      <c r="F794">
        <v>48</v>
      </c>
      <c r="G794">
        <v>14.09</v>
      </c>
      <c r="H794">
        <v>1</v>
      </c>
      <c r="I794">
        <v>-3.5</v>
      </c>
      <c r="J794">
        <v>120</v>
      </c>
      <c r="K794" t="s">
        <v>13</v>
      </c>
      <c r="L794" t="s">
        <v>22</v>
      </c>
    </row>
    <row r="795" spans="1:12" x14ac:dyDescent="0.2">
      <c r="A795">
        <v>21240</v>
      </c>
      <c r="B795">
        <v>30</v>
      </c>
      <c r="C795" t="s">
        <v>17</v>
      </c>
      <c r="D795">
        <v>5449.63</v>
      </c>
      <c r="E795">
        <v>13439.48</v>
      </c>
      <c r="F795">
        <v>6</v>
      </c>
      <c r="G795">
        <v>23.91</v>
      </c>
      <c r="I795">
        <v>8.1</v>
      </c>
      <c r="K795" t="s">
        <v>15</v>
      </c>
      <c r="L795" t="s">
        <v>14</v>
      </c>
    </row>
    <row r="796" spans="1:12" x14ac:dyDescent="0.2">
      <c r="A796">
        <v>22801</v>
      </c>
      <c r="B796">
        <v>45</v>
      </c>
      <c r="C796" t="s">
        <v>12</v>
      </c>
      <c r="D796">
        <v>4154.72</v>
      </c>
      <c r="E796">
        <v>28345.33</v>
      </c>
      <c r="F796">
        <v>18</v>
      </c>
      <c r="G796">
        <v>27.19</v>
      </c>
      <c r="H796">
        <v>1</v>
      </c>
      <c r="I796">
        <v>14.3</v>
      </c>
      <c r="J796">
        <v>0</v>
      </c>
      <c r="K796" t="s">
        <v>15</v>
      </c>
      <c r="L796" t="s">
        <v>16</v>
      </c>
    </row>
    <row r="797" spans="1:12" x14ac:dyDescent="0.2">
      <c r="A797">
        <v>22885</v>
      </c>
      <c r="B797">
        <v>58</v>
      </c>
      <c r="C797" t="s">
        <v>27</v>
      </c>
      <c r="D797">
        <v>7711.12</v>
      </c>
      <c r="E797">
        <v>40216.01</v>
      </c>
      <c r="F797">
        <v>48</v>
      </c>
      <c r="G797">
        <v>28.36</v>
      </c>
      <c r="H797">
        <v>4</v>
      </c>
      <c r="I797">
        <v>4.8</v>
      </c>
      <c r="J797">
        <v>30</v>
      </c>
      <c r="K797" t="s">
        <v>24</v>
      </c>
      <c r="L797" t="s">
        <v>25</v>
      </c>
    </row>
    <row r="798" spans="1:12" x14ac:dyDescent="0.2">
      <c r="A798">
        <v>22350</v>
      </c>
      <c r="B798">
        <v>35</v>
      </c>
      <c r="C798" t="s">
        <v>12</v>
      </c>
      <c r="D798">
        <v>9114.7800000000007</v>
      </c>
      <c r="E798">
        <v>13850.52</v>
      </c>
      <c r="F798">
        <v>48</v>
      </c>
      <c r="G798">
        <v>17.350000000000001</v>
      </c>
      <c r="I798">
        <v>8.5</v>
      </c>
      <c r="J798">
        <v>60</v>
      </c>
      <c r="K798" t="s">
        <v>24</v>
      </c>
      <c r="L798" t="s">
        <v>22</v>
      </c>
    </row>
    <row r="799" spans="1:12" x14ac:dyDescent="0.2">
      <c r="A799">
        <v>23885</v>
      </c>
      <c r="B799">
        <v>55</v>
      </c>
      <c r="C799" t="s">
        <v>27</v>
      </c>
      <c r="D799">
        <v>4468.1499999999996</v>
      </c>
      <c r="E799">
        <v>22611.35</v>
      </c>
      <c r="F799">
        <v>12</v>
      </c>
      <c r="G799">
        <v>18.04</v>
      </c>
      <c r="I799">
        <v>-0.3</v>
      </c>
      <c r="K799" t="s">
        <v>15</v>
      </c>
      <c r="L799" t="s">
        <v>22</v>
      </c>
    </row>
    <row r="800" spans="1:12" x14ac:dyDescent="0.2">
      <c r="A800">
        <v>21951</v>
      </c>
      <c r="B800">
        <v>52</v>
      </c>
      <c r="C800" t="s">
        <v>17</v>
      </c>
      <c r="D800">
        <v>4445.8500000000004</v>
      </c>
      <c r="E800">
        <v>8700.93</v>
      </c>
      <c r="F800">
        <v>18</v>
      </c>
      <c r="G800">
        <v>20.41</v>
      </c>
      <c r="H800">
        <v>3</v>
      </c>
      <c r="I800">
        <v>9.1999999999999993</v>
      </c>
      <c r="J800">
        <v>0</v>
      </c>
      <c r="K800" t="s">
        <v>13</v>
      </c>
      <c r="L800" t="s">
        <v>14</v>
      </c>
    </row>
    <row r="801" spans="1:12" x14ac:dyDescent="0.2">
      <c r="A801">
        <v>24177</v>
      </c>
      <c r="B801">
        <v>31</v>
      </c>
      <c r="C801" t="s">
        <v>26</v>
      </c>
      <c r="D801">
        <v>2873.79</v>
      </c>
      <c r="E801">
        <v>37892.019999999997</v>
      </c>
      <c r="F801">
        <v>60</v>
      </c>
      <c r="G801">
        <v>14.02</v>
      </c>
      <c r="I801">
        <v>0.2</v>
      </c>
      <c r="J801">
        <v>15</v>
      </c>
      <c r="K801" t="s">
        <v>24</v>
      </c>
      <c r="L801" t="s">
        <v>14</v>
      </c>
    </row>
    <row r="802" spans="1:12" x14ac:dyDescent="0.2">
      <c r="A802">
        <v>21094</v>
      </c>
      <c r="B802">
        <v>55</v>
      </c>
      <c r="C802" t="s">
        <v>23</v>
      </c>
      <c r="D802">
        <v>1766.85</v>
      </c>
      <c r="E802">
        <v>24088.14</v>
      </c>
      <c r="F802">
        <v>60</v>
      </c>
      <c r="G802">
        <v>12.81</v>
      </c>
      <c r="H802">
        <v>0</v>
      </c>
      <c r="I802">
        <v>5.4</v>
      </c>
      <c r="J802">
        <v>120</v>
      </c>
      <c r="K802" t="s">
        <v>13</v>
      </c>
      <c r="L802" t="s">
        <v>14</v>
      </c>
    </row>
    <row r="803" spans="1:12" x14ac:dyDescent="0.2">
      <c r="A803">
        <v>21717</v>
      </c>
      <c r="B803">
        <v>120</v>
      </c>
      <c r="C803" t="s">
        <v>23</v>
      </c>
      <c r="D803">
        <v>5832.05</v>
      </c>
      <c r="E803">
        <v>27376.95</v>
      </c>
      <c r="F803">
        <v>60</v>
      </c>
      <c r="G803">
        <v>30.89</v>
      </c>
      <c r="H803">
        <v>3</v>
      </c>
      <c r="I803">
        <v>10.9</v>
      </c>
      <c r="J803">
        <v>0</v>
      </c>
      <c r="K803" t="s">
        <v>15</v>
      </c>
      <c r="L803" t="s">
        <v>19</v>
      </c>
    </row>
    <row r="804" spans="1:12" x14ac:dyDescent="0.2">
      <c r="A804">
        <v>24776</v>
      </c>
      <c r="B804">
        <v>37</v>
      </c>
      <c r="C804" t="s">
        <v>21</v>
      </c>
      <c r="D804">
        <v>4181.24</v>
      </c>
      <c r="E804">
        <v>11278.64</v>
      </c>
      <c r="F804">
        <v>48</v>
      </c>
      <c r="G804">
        <v>21.08</v>
      </c>
      <c r="H804">
        <v>3</v>
      </c>
      <c r="I804">
        <v>10.7</v>
      </c>
      <c r="J804">
        <v>120</v>
      </c>
      <c r="K804" t="s">
        <v>15</v>
      </c>
      <c r="L804" t="s">
        <v>25</v>
      </c>
    </row>
    <row r="805" spans="1:12" x14ac:dyDescent="0.2">
      <c r="A805">
        <v>21774</v>
      </c>
      <c r="B805">
        <v>28</v>
      </c>
      <c r="C805" t="s">
        <v>23</v>
      </c>
      <c r="D805">
        <v>6258.79</v>
      </c>
      <c r="E805">
        <v>4667.78</v>
      </c>
      <c r="F805">
        <v>18</v>
      </c>
      <c r="G805">
        <v>20.09</v>
      </c>
      <c r="H805">
        <v>2</v>
      </c>
      <c r="I805">
        <v>-0.6</v>
      </c>
      <c r="J805">
        <v>0</v>
      </c>
      <c r="K805" t="s">
        <v>18</v>
      </c>
      <c r="L805" t="s">
        <v>25</v>
      </c>
    </row>
    <row r="806" spans="1:12" x14ac:dyDescent="0.2">
      <c r="A806">
        <v>21474</v>
      </c>
      <c r="B806">
        <v>56</v>
      </c>
      <c r="C806" t="s">
        <v>23</v>
      </c>
      <c r="D806">
        <v>5996.19</v>
      </c>
      <c r="E806">
        <v>4978.79</v>
      </c>
      <c r="F806">
        <v>36</v>
      </c>
      <c r="G806">
        <v>14.32</v>
      </c>
      <c r="H806">
        <v>3</v>
      </c>
      <c r="I806">
        <v>5.6</v>
      </c>
      <c r="J806">
        <v>120</v>
      </c>
      <c r="K806" t="s">
        <v>13</v>
      </c>
      <c r="L806" t="s">
        <v>19</v>
      </c>
    </row>
    <row r="807" spans="1:12" x14ac:dyDescent="0.2">
      <c r="A807">
        <v>22267</v>
      </c>
      <c r="B807">
        <v>41</v>
      </c>
      <c r="C807" t="s">
        <v>26</v>
      </c>
      <c r="D807">
        <v>3936.89</v>
      </c>
      <c r="E807">
        <v>9278.35</v>
      </c>
      <c r="F807">
        <v>12</v>
      </c>
      <c r="G807">
        <v>23.58</v>
      </c>
      <c r="H807">
        <v>1</v>
      </c>
      <c r="I807">
        <v>7.2</v>
      </c>
      <c r="J807">
        <v>0</v>
      </c>
      <c r="K807" t="s">
        <v>13</v>
      </c>
      <c r="L807" t="s">
        <v>25</v>
      </c>
    </row>
    <row r="808" spans="1:12" x14ac:dyDescent="0.2">
      <c r="A808">
        <v>22401</v>
      </c>
      <c r="B808">
        <v>56</v>
      </c>
      <c r="C808" t="s">
        <v>12</v>
      </c>
      <c r="D808">
        <v>1156.23</v>
      </c>
      <c r="E808">
        <v>21434.53</v>
      </c>
      <c r="F808">
        <v>12</v>
      </c>
      <c r="G808">
        <v>19.420000000000002</v>
      </c>
      <c r="H808">
        <v>3</v>
      </c>
      <c r="I808">
        <v>11.7</v>
      </c>
      <c r="J808">
        <v>15</v>
      </c>
      <c r="K808" t="s">
        <v>15</v>
      </c>
      <c r="L808" t="s">
        <v>16</v>
      </c>
    </row>
    <row r="809" spans="1:12" x14ac:dyDescent="0.2">
      <c r="A809">
        <v>20816</v>
      </c>
      <c r="B809">
        <v>43</v>
      </c>
      <c r="C809" t="s">
        <v>27</v>
      </c>
      <c r="D809">
        <v>2770.93</v>
      </c>
      <c r="E809">
        <v>6263.01</v>
      </c>
      <c r="F809">
        <v>36</v>
      </c>
      <c r="G809">
        <v>17.829999999999998</v>
      </c>
      <c r="H809">
        <v>3</v>
      </c>
      <c r="I809">
        <v>8.3000000000000007</v>
      </c>
      <c r="J809">
        <v>120</v>
      </c>
      <c r="K809" t="s">
        <v>20</v>
      </c>
      <c r="L809" t="s">
        <v>14</v>
      </c>
    </row>
    <row r="810" spans="1:12" x14ac:dyDescent="0.2">
      <c r="A810">
        <v>21664</v>
      </c>
      <c r="B810">
        <v>21</v>
      </c>
      <c r="C810" t="s">
        <v>27</v>
      </c>
      <c r="D810">
        <v>4456.68</v>
      </c>
      <c r="E810">
        <v>26664.83</v>
      </c>
      <c r="F810">
        <v>36</v>
      </c>
      <c r="G810">
        <v>19.29</v>
      </c>
      <c r="H810">
        <v>1</v>
      </c>
      <c r="I810">
        <v>9.4</v>
      </c>
      <c r="J810">
        <v>60</v>
      </c>
      <c r="K810" t="s">
        <v>20</v>
      </c>
      <c r="L810" t="s">
        <v>16</v>
      </c>
    </row>
    <row r="811" spans="1:12" x14ac:dyDescent="0.2">
      <c r="A811">
        <v>23532</v>
      </c>
      <c r="B811">
        <v>43</v>
      </c>
      <c r="C811" t="s">
        <v>12</v>
      </c>
      <c r="D811">
        <v>4125</v>
      </c>
      <c r="E811">
        <v>10245.91</v>
      </c>
      <c r="F811">
        <v>6</v>
      </c>
      <c r="G811">
        <v>15.11</v>
      </c>
      <c r="H811">
        <v>0</v>
      </c>
      <c r="I811">
        <v>4.9000000000000004</v>
      </c>
      <c r="J811">
        <v>60</v>
      </c>
      <c r="K811" t="s">
        <v>18</v>
      </c>
      <c r="L811" t="s">
        <v>25</v>
      </c>
    </row>
    <row r="812" spans="1:12" x14ac:dyDescent="0.2">
      <c r="A812">
        <v>21320</v>
      </c>
      <c r="B812">
        <v>39</v>
      </c>
      <c r="C812" t="s">
        <v>23</v>
      </c>
      <c r="D812">
        <v>6294.2</v>
      </c>
      <c r="E812">
        <v>7982.85</v>
      </c>
      <c r="F812">
        <v>24</v>
      </c>
      <c r="G812">
        <v>25.71</v>
      </c>
      <c r="H812">
        <v>1</v>
      </c>
      <c r="I812">
        <v>3.8</v>
      </c>
      <c r="J812">
        <v>30</v>
      </c>
      <c r="K812" t="s">
        <v>18</v>
      </c>
      <c r="L812" t="s">
        <v>19</v>
      </c>
    </row>
    <row r="813" spans="1:12" x14ac:dyDescent="0.2">
      <c r="A813">
        <v>20311</v>
      </c>
      <c r="B813">
        <v>49</v>
      </c>
      <c r="C813" t="s">
        <v>17</v>
      </c>
      <c r="D813">
        <v>4984.38</v>
      </c>
      <c r="E813">
        <v>31751.58</v>
      </c>
      <c r="F813">
        <v>12</v>
      </c>
      <c r="G813">
        <v>11.71</v>
      </c>
      <c r="H813">
        <v>3</v>
      </c>
      <c r="I813">
        <v>6</v>
      </c>
      <c r="J813">
        <v>30</v>
      </c>
      <c r="K813" t="s">
        <v>24</v>
      </c>
      <c r="L813" t="s">
        <v>19</v>
      </c>
    </row>
    <row r="814" spans="1:12" x14ac:dyDescent="0.2">
      <c r="A814">
        <v>21625</v>
      </c>
      <c r="B814">
        <v>38</v>
      </c>
      <c r="C814" t="s">
        <v>21</v>
      </c>
      <c r="D814">
        <v>7738.5</v>
      </c>
      <c r="E814">
        <v>17031.61</v>
      </c>
      <c r="F814">
        <v>18</v>
      </c>
      <c r="G814">
        <v>19.600000000000001</v>
      </c>
      <c r="H814">
        <v>2</v>
      </c>
      <c r="I814">
        <v>12.1</v>
      </c>
      <c r="J814">
        <v>120</v>
      </c>
      <c r="K814" t="s">
        <v>13</v>
      </c>
      <c r="L814" t="s">
        <v>25</v>
      </c>
    </row>
    <row r="815" spans="1:12" x14ac:dyDescent="0.2">
      <c r="A815">
        <v>20923</v>
      </c>
      <c r="B815">
        <v>36</v>
      </c>
      <c r="C815" t="s">
        <v>12</v>
      </c>
      <c r="D815">
        <v>6550.56</v>
      </c>
      <c r="E815">
        <v>12245.25</v>
      </c>
      <c r="F815">
        <v>24</v>
      </c>
      <c r="G815">
        <v>25.52</v>
      </c>
      <c r="H815">
        <v>2</v>
      </c>
      <c r="I815">
        <v>14.2</v>
      </c>
      <c r="J815">
        <v>15</v>
      </c>
      <c r="K815" t="s">
        <v>13</v>
      </c>
      <c r="L815" t="s">
        <v>19</v>
      </c>
    </row>
    <row r="816" spans="1:12" x14ac:dyDescent="0.2">
      <c r="A816">
        <v>21953</v>
      </c>
      <c r="B816">
        <v>52</v>
      </c>
      <c r="C816" t="s">
        <v>23</v>
      </c>
      <c r="D816">
        <v>3670.93</v>
      </c>
      <c r="E816">
        <v>20717.650000000001</v>
      </c>
      <c r="F816">
        <v>18</v>
      </c>
      <c r="G816">
        <v>25.5</v>
      </c>
      <c r="H816">
        <v>3</v>
      </c>
      <c r="I816">
        <v>9.1</v>
      </c>
      <c r="J816">
        <v>0</v>
      </c>
      <c r="K816" t="s">
        <v>15</v>
      </c>
      <c r="L816" t="s">
        <v>25</v>
      </c>
    </row>
    <row r="817" spans="1:12" x14ac:dyDescent="0.2">
      <c r="A817">
        <v>21447</v>
      </c>
      <c r="B817">
        <v>56</v>
      </c>
      <c r="C817" t="s">
        <v>23</v>
      </c>
      <c r="D817">
        <v>-493.57</v>
      </c>
      <c r="E817">
        <v>17254.07</v>
      </c>
      <c r="F817">
        <v>60</v>
      </c>
      <c r="G817">
        <v>21.46</v>
      </c>
      <c r="I817">
        <v>8.1</v>
      </c>
      <c r="J817">
        <v>120</v>
      </c>
      <c r="K817" t="s">
        <v>18</v>
      </c>
      <c r="L817" t="s">
        <v>25</v>
      </c>
    </row>
    <row r="818" spans="1:12" x14ac:dyDescent="0.2">
      <c r="A818">
        <v>23194</v>
      </c>
      <c r="B818">
        <v>48</v>
      </c>
      <c r="C818" t="s">
        <v>17</v>
      </c>
      <c r="D818">
        <v>7451.04</v>
      </c>
      <c r="E818">
        <v>17259.21</v>
      </c>
      <c r="F818">
        <v>48</v>
      </c>
      <c r="G818">
        <v>24.56</v>
      </c>
      <c r="H818">
        <v>0</v>
      </c>
      <c r="I818">
        <v>5.5</v>
      </c>
      <c r="J818">
        <v>0</v>
      </c>
      <c r="K818" t="s">
        <v>18</v>
      </c>
      <c r="L818" t="s">
        <v>14</v>
      </c>
    </row>
    <row r="819" spans="1:12" x14ac:dyDescent="0.2">
      <c r="A819">
        <v>23380</v>
      </c>
      <c r="B819">
        <v>38</v>
      </c>
      <c r="C819" t="s">
        <v>23</v>
      </c>
      <c r="D819">
        <v>2084.1799999999998</v>
      </c>
      <c r="E819">
        <v>31816.6</v>
      </c>
      <c r="F819">
        <v>48</v>
      </c>
      <c r="G819">
        <v>11.78</v>
      </c>
      <c r="H819">
        <v>0</v>
      </c>
      <c r="I819">
        <v>12.8</v>
      </c>
      <c r="J819">
        <v>30</v>
      </c>
      <c r="K819" t="s">
        <v>18</v>
      </c>
      <c r="L819" t="s">
        <v>19</v>
      </c>
    </row>
    <row r="820" spans="1:12" x14ac:dyDescent="0.2">
      <c r="A820">
        <v>20851</v>
      </c>
      <c r="B820">
        <v>30</v>
      </c>
      <c r="C820" t="s">
        <v>12</v>
      </c>
      <c r="D820">
        <v>2046.76</v>
      </c>
      <c r="E820">
        <v>6146.2</v>
      </c>
      <c r="F820">
        <v>18</v>
      </c>
      <c r="G820">
        <v>17.98</v>
      </c>
      <c r="H820">
        <v>2</v>
      </c>
      <c r="I820">
        <v>3.7</v>
      </c>
      <c r="J820">
        <v>120</v>
      </c>
      <c r="K820" t="s">
        <v>15</v>
      </c>
      <c r="L820" t="s">
        <v>16</v>
      </c>
    </row>
    <row r="821" spans="1:12" x14ac:dyDescent="0.2">
      <c r="A821">
        <v>24209</v>
      </c>
      <c r="B821">
        <v>23</v>
      </c>
      <c r="C821" t="s">
        <v>21</v>
      </c>
      <c r="D821">
        <v>4855.33</v>
      </c>
      <c r="E821">
        <v>12864.51</v>
      </c>
      <c r="F821">
        <v>36</v>
      </c>
      <c r="G821">
        <v>16.64</v>
      </c>
      <c r="H821">
        <v>4</v>
      </c>
      <c r="I821">
        <v>6.9</v>
      </c>
      <c r="J821">
        <v>90</v>
      </c>
      <c r="K821" t="s">
        <v>15</v>
      </c>
      <c r="L821" t="s">
        <v>25</v>
      </c>
    </row>
    <row r="822" spans="1:12" x14ac:dyDescent="0.2">
      <c r="A822">
        <v>22690</v>
      </c>
      <c r="B822">
        <v>30</v>
      </c>
      <c r="C822" t="s">
        <v>27</v>
      </c>
      <c r="D822">
        <v>6570.26</v>
      </c>
      <c r="E822">
        <v>23596.35</v>
      </c>
      <c r="F822">
        <v>36</v>
      </c>
      <c r="G822">
        <v>21.9</v>
      </c>
      <c r="I822">
        <v>8.4</v>
      </c>
      <c r="J822">
        <v>0</v>
      </c>
      <c r="K822" t="s">
        <v>20</v>
      </c>
      <c r="L822" t="s">
        <v>14</v>
      </c>
    </row>
    <row r="823" spans="1:12" x14ac:dyDescent="0.2">
      <c r="A823">
        <v>23501</v>
      </c>
      <c r="B823">
        <v>23</v>
      </c>
      <c r="C823" t="s">
        <v>27</v>
      </c>
      <c r="D823">
        <v>5305.26</v>
      </c>
      <c r="E823">
        <v>12671.84</v>
      </c>
      <c r="F823">
        <v>24</v>
      </c>
      <c r="G823">
        <v>18.86</v>
      </c>
      <c r="H823">
        <v>4</v>
      </c>
      <c r="I823">
        <v>0.2</v>
      </c>
      <c r="J823">
        <v>30</v>
      </c>
      <c r="K823" t="s">
        <v>20</v>
      </c>
      <c r="L823" t="s">
        <v>19</v>
      </c>
    </row>
    <row r="824" spans="1:12" x14ac:dyDescent="0.2">
      <c r="A824">
        <v>22891</v>
      </c>
      <c r="B824">
        <v>49</v>
      </c>
      <c r="C824" t="s">
        <v>23</v>
      </c>
      <c r="D824">
        <v>6309.24</v>
      </c>
      <c r="E824">
        <v>8776.6200000000008</v>
      </c>
      <c r="F824">
        <v>24</v>
      </c>
      <c r="G824">
        <v>21.6</v>
      </c>
      <c r="H824">
        <v>0</v>
      </c>
      <c r="I824">
        <v>11.6</v>
      </c>
      <c r="J824">
        <v>15</v>
      </c>
      <c r="K824" t="s">
        <v>18</v>
      </c>
      <c r="L824" t="s">
        <v>16</v>
      </c>
    </row>
    <row r="825" spans="1:12" x14ac:dyDescent="0.2">
      <c r="A825">
        <v>22251</v>
      </c>
      <c r="B825">
        <v>27</v>
      </c>
      <c r="C825" t="s">
        <v>21</v>
      </c>
      <c r="D825">
        <v>3685.4</v>
      </c>
      <c r="E825">
        <v>7783.74</v>
      </c>
      <c r="F825">
        <v>12</v>
      </c>
      <c r="G825">
        <v>15.51</v>
      </c>
      <c r="H825">
        <v>2</v>
      </c>
      <c r="I825">
        <v>11.5</v>
      </c>
      <c r="K825" t="s">
        <v>13</v>
      </c>
      <c r="L825" t="s">
        <v>16</v>
      </c>
    </row>
    <row r="826" spans="1:12" x14ac:dyDescent="0.2">
      <c r="A826">
        <v>20561</v>
      </c>
      <c r="B826">
        <v>61</v>
      </c>
      <c r="C826" t="s">
        <v>27</v>
      </c>
      <c r="D826">
        <v>7973.86</v>
      </c>
      <c r="E826">
        <v>17225.71</v>
      </c>
      <c r="F826">
        <v>48</v>
      </c>
      <c r="G826">
        <v>18.239999999999998</v>
      </c>
      <c r="H826">
        <v>3</v>
      </c>
      <c r="I826">
        <v>3.5</v>
      </c>
      <c r="J826">
        <v>15</v>
      </c>
      <c r="K826" t="s">
        <v>13</v>
      </c>
      <c r="L826" t="s">
        <v>25</v>
      </c>
    </row>
    <row r="827" spans="1:12" x14ac:dyDescent="0.2">
      <c r="A827">
        <v>25123</v>
      </c>
      <c r="B827">
        <v>55</v>
      </c>
      <c r="C827" t="s">
        <v>17</v>
      </c>
      <c r="D827">
        <v>5318.29</v>
      </c>
      <c r="E827">
        <v>16199.56</v>
      </c>
      <c r="F827">
        <v>12</v>
      </c>
      <c r="G827">
        <v>26.78</v>
      </c>
      <c r="H827">
        <v>0</v>
      </c>
      <c r="I827">
        <v>4.5999999999999996</v>
      </c>
      <c r="J827">
        <v>15</v>
      </c>
      <c r="K827" t="s">
        <v>15</v>
      </c>
      <c r="L827" t="s">
        <v>22</v>
      </c>
    </row>
    <row r="828" spans="1:12" x14ac:dyDescent="0.2">
      <c r="A828">
        <v>23872</v>
      </c>
      <c r="B828">
        <v>22</v>
      </c>
      <c r="C828" t="s">
        <v>17</v>
      </c>
      <c r="D828">
        <v>3008.08</v>
      </c>
      <c r="E828">
        <v>21157.09</v>
      </c>
      <c r="F828">
        <v>24</v>
      </c>
      <c r="G828">
        <v>17.309999999999999</v>
      </c>
      <c r="H828">
        <v>4</v>
      </c>
      <c r="I828">
        <v>11.1</v>
      </c>
      <c r="J828">
        <v>0</v>
      </c>
      <c r="K828" t="s">
        <v>15</v>
      </c>
      <c r="L828" t="s">
        <v>16</v>
      </c>
    </row>
    <row r="829" spans="1:12" x14ac:dyDescent="0.2">
      <c r="A829">
        <v>25096</v>
      </c>
      <c r="B829">
        <v>49</v>
      </c>
      <c r="C829" t="s">
        <v>23</v>
      </c>
      <c r="D829">
        <v>5336.36</v>
      </c>
      <c r="E829">
        <v>21243.32</v>
      </c>
      <c r="F829">
        <v>36</v>
      </c>
      <c r="G829">
        <v>17.09</v>
      </c>
      <c r="H829">
        <v>4</v>
      </c>
      <c r="I829">
        <v>2.8</v>
      </c>
      <c r="J829">
        <v>30</v>
      </c>
      <c r="K829" t="s">
        <v>13</v>
      </c>
      <c r="L829" t="s">
        <v>22</v>
      </c>
    </row>
    <row r="830" spans="1:12" x14ac:dyDescent="0.2">
      <c r="A830">
        <v>24256</v>
      </c>
      <c r="B830">
        <v>18</v>
      </c>
      <c r="C830" t="s">
        <v>26</v>
      </c>
      <c r="D830">
        <v>7181.13</v>
      </c>
      <c r="E830">
        <v>17490.12</v>
      </c>
      <c r="F830">
        <v>36</v>
      </c>
      <c r="G830">
        <v>23.56</v>
      </c>
      <c r="H830">
        <v>2</v>
      </c>
      <c r="I830">
        <v>5.2</v>
      </c>
      <c r="J830">
        <v>0</v>
      </c>
      <c r="K830" t="s">
        <v>20</v>
      </c>
      <c r="L830" t="s">
        <v>16</v>
      </c>
    </row>
    <row r="831" spans="1:12" x14ac:dyDescent="0.2">
      <c r="A831">
        <v>21552</v>
      </c>
      <c r="B831">
        <v>45</v>
      </c>
      <c r="C831" t="s">
        <v>23</v>
      </c>
      <c r="D831">
        <v>3580.97</v>
      </c>
      <c r="E831">
        <v>9869.7199999999993</v>
      </c>
      <c r="F831">
        <v>12</v>
      </c>
      <c r="G831">
        <v>11.44</v>
      </c>
      <c r="H831">
        <v>1</v>
      </c>
      <c r="I831">
        <v>12.4</v>
      </c>
      <c r="J831">
        <v>0</v>
      </c>
      <c r="K831" t="s">
        <v>18</v>
      </c>
      <c r="L831" t="s">
        <v>22</v>
      </c>
    </row>
    <row r="832" spans="1:12" x14ac:dyDescent="0.2">
      <c r="A832">
        <v>20686</v>
      </c>
      <c r="B832">
        <v>54</v>
      </c>
      <c r="C832" t="s">
        <v>23</v>
      </c>
      <c r="D832">
        <v>10567.91</v>
      </c>
      <c r="E832">
        <v>17549.189999999999</v>
      </c>
      <c r="F832">
        <v>48</v>
      </c>
      <c r="G832">
        <v>22.46</v>
      </c>
      <c r="H832">
        <v>4</v>
      </c>
      <c r="I832">
        <v>15.5</v>
      </c>
      <c r="K832" t="s">
        <v>20</v>
      </c>
      <c r="L832" t="s">
        <v>16</v>
      </c>
    </row>
    <row r="833" spans="1:12" x14ac:dyDescent="0.2">
      <c r="A833">
        <v>22810</v>
      </c>
      <c r="B833">
        <v>64</v>
      </c>
      <c r="C833" t="s">
        <v>17</v>
      </c>
      <c r="D833">
        <v>5536.76</v>
      </c>
      <c r="E833">
        <v>22478.41</v>
      </c>
      <c r="F833">
        <v>24</v>
      </c>
      <c r="G833">
        <v>12.69</v>
      </c>
      <c r="H833">
        <v>3</v>
      </c>
      <c r="I833">
        <v>8.3000000000000007</v>
      </c>
      <c r="J833">
        <v>0</v>
      </c>
      <c r="K833" t="s">
        <v>15</v>
      </c>
      <c r="L833" t="s">
        <v>25</v>
      </c>
    </row>
    <row r="834" spans="1:12" x14ac:dyDescent="0.2">
      <c r="A834">
        <v>24999</v>
      </c>
      <c r="B834">
        <v>43</v>
      </c>
      <c r="C834" t="s">
        <v>21</v>
      </c>
      <c r="D834">
        <v>7166.38</v>
      </c>
      <c r="E834">
        <v>32120.07</v>
      </c>
      <c r="F834">
        <v>6</v>
      </c>
      <c r="G834">
        <v>16.079999999999998</v>
      </c>
      <c r="H834">
        <v>1</v>
      </c>
      <c r="I834">
        <v>0.5</v>
      </c>
      <c r="J834">
        <v>60</v>
      </c>
      <c r="K834" t="s">
        <v>24</v>
      </c>
      <c r="L834" t="s">
        <v>14</v>
      </c>
    </row>
    <row r="835" spans="1:12" x14ac:dyDescent="0.2">
      <c r="A835">
        <v>21530</v>
      </c>
      <c r="B835">
        <v>22</v>
      </c>
      <c r="C835" t="s">
        <v>26</v>
      </c>
      <c r="D835">
        <v>1903.63</v>
      </c>
      <c r="E835">
        <v>13832.48</v>
      </c>
      <c r="F835">
        <v>18</v>
      </c>
      <c r="G835">
        <v>21.34</v>
      </c>
      <c r="H835">
        <v>1</v>
      </c>
      <c r="I835">
        <v>10</v>
      </c>
      <c r="J835">
        <v>15</v>
      </c>
      <c r="K835" t="s">
        <v>15</v>
      </c>
      <c r="L835" t="s">
        <v>25</v>
      </c>
    </row>
    <row r="836" spans="1:12" x14ac:dyDescent="0.2">
      <c r="A836">
        <v>25717</v>
      </c>
      <c r="B836">
        <v>50</v>
      </c>
      <c r="C836" t="s">
        <v>23</v>
      </c>
      <c r="D836">
        <v>4442.16</v>
      </c>
      <c r="E836">
        <v>14635.57</v>
      </c>
      <c r="F836">
        <v>18</v>
      </c>
      <c r="G836">
        <v>19.77</v>
      </c>
      <c r="H836">
        <v>4</v>
      </c>
      <c r="I836">
        <v>3.3</v>
      </c>
      <c r="J836">
        <v>0</v>
      </c>
      <c r="K836" t="s">
        <v>20</v>
      </c>
      <c r="L836" t="s">
        <v>16</v>
      </c>
    </row>
    <row r="837" spans="1:12" x14ac:dyDescent="0.2">
      <c r="A837">
        <v>22711</v>
      </c>
      <c r="B837">
        <v>63</v>
      </c>
      <c r="C837" t="s">
        <v>27</v>
      </c>
      <c r="D837">
        <v>962.63</v>
      </c>
      <c r="E837">
        <v>8842.7000000000007</v>
      </c>
      <c r="F837">
        <v>18</v>
      </c>
      <c r="G837">
        <v>24.31</v>
      </c>
      <c r="H837">
        <v>3</v>
      </c>
      <c r="I837">
        <v>5.0999999999999996</v>
      </c>
      <c r="J837">
        <v>120</v>
      </c>
      <c r="K837" t="s">
        <v>13</v>
      </c>
      <c r="L837" t="s">
        <v>22</v>
      </c>
    </row>
    <row r="838" spans="1:12" x14ac:dyDescent="0.2">
      <c r="A838">
        <v>22592</v>
      </c>
      <c r="B838">
        <v>27</v>
      </c>
      <c r="C838" t="s">
        <v>26</v>
      </c>
      <c r="D838">
        <v>6520.06</v>
      </c>
      <c r="E838">
        <v>24937.56</v>
      </c>
      <c r="F838">
        <v>18</v>
      </c>
      <c r="G838">
        <v>12.64</v>
      </c>
      <c r="H838">
        <v>4</v>
      </c>
      <c r="I838">
        <v>8.6999999999999993</v>
      </c>
      <c r="J838">
        <v>0</v>
      </c>
      <c r="K838" t="s">
        <v>13</v>
      </c>
      <c r="L838" t="s">
        <v>25</v>
      </c>
    </row>
    <row r="839" spans="1:12" x14ac:dyDescent="0.2">
      <c r="A839">
        <v>25576</v>
      </c>
      <c r="B839">
        <v>55</v>
      </c>
      <c r="C839" t="s">
        <v>12</v>
      </c>
      <c r="D839">
        <v>1888.34</v>
      </c>
      <c r="E839">
        <v>28827.34</v>
      </c>
      <c r="F839">
        <v>12</v>
      </c>
      <c r="G839">
        <v>22.06</v>
      </c>
      <c r="H839">
        <v>1</v>
      </c>
      <c r="I839">
        <v>1.9</v>
      </c>
      <c r="J839">
        <v>0</v>
      </c>
      <c r="K839" t="s">
        <v>13</v>
      </c>
      <c r="L839" t="s">
        <v>14</v>
      </c>
    </row>
    <row r="840" spans="1:12" x14ac:dyDescent="0.2">
      <c r="A840">
        <v>23371</v>
      </c>
      <c r="B840">
        <v>55</v>
      </c>
      <c r="C840" t="s">
        <v>12</v>
      </c>
      <c r="D840">
        <v>7303.21</v>
      </c>
      <c r="E840">
        <v>14348.48</v>
      </c>
      <c r="F840">
        <v>6</v>
      </c>
      <c r="G840">
        <v>19.239999999999998</v>
      </c>
      <c r="H840">
        <v>4</v>
      </c>
      <c r="I840">
        <v>2.2000000000000002</v>
      </c>
      <c r="J840">
        <v>0</v>
      </c>
      <c r="K840" t="s">
        <v>18</v>
      </c>
      <c r="L840" t="s">
        <v>14</v>
      </c>
    </row>
    <row r="841" spans="1:12" x14ac:dyDescent="0.2">
      <c r="A841">
        <v>21866</v>
      </c>
      <c r="B841">
        <v>59</v>
      </c>
      <c r="C841" t="s">
        <v>23</v>
      </c>
      <c r="D841">
        <v>2142.1799999999998</v>
      </c>
      <c r="E841">
        <v>22920.04</v>
      </c>
      <c r="F841">
        <v>48</v>
      </c>
      <c r="G841">
        <v>19.87</v>
      </c>
      <c r="H841">
        <v>3</v>
      </c>
      <c r="I841">
        <v>8.1</v>
      </c>
      <c r="J841">
        <v>15</v>
      </c>
      <c r="K841" t="s">
        <v>24</v>
      </c>
      <c r="L841" t="s">
        <v>25</v>
      </c>
    </row>
    <row r="842" spans="1:12" x14ac:dyDescent="0.2">
      <c r="A842">
        <v>25980</v>
      </c>
      <c r="B842">
        <v>51</v>
      </c>
      <c r="C842" t="s">
        <v>27</v>
      </c>
      <c r="D842">
        <v>7496.69</v>
      </c>
      <c r="E842">
        <v>8935.01</v>
      </c>
      <c r="F842">
        <v>24</v>
      </c>
      <c r="G842">
        <v>22.48</v>
      </c>
      <c r="H842">
        <v>4</v>
      </c>
      <c r="I842">
        <v>6.6</v>
      </c>
      <c r="J842">
        <v>0</v>
      </c>
      <c r="K842" t="s">
        <v>18</v>
      </c>
      <c r="L842" t="s">
        <v>16</v>
      </c>
    </row>
    <row r="843" spans="1:12" x14ac:dyDescent="0.2">
      <c r="A843">
        <v>23430</v>
      </c>
      <c r="B843">
        <v>75</v>
      </c>
      <c r="C843" t="s">
        <v>17</v>
      </c>
      <c r="D843">
        <v>5847.11</v>
      </c>
      <c r="E843">
        <v>16398.740000000002</v>
      </c>
      <c r="F843">
        <v>18</v>
      </c>
      <c r="G843">
        <v>19.11</v>
      </c>
      <c r="I843">
        <v>0</v>
      </c>
      <c r="J843">
        <v>120</v>
      </c>
      <c r="K843" t="s">
        <v>24</v>
      </c>
      <c r="L843" t="s">
        <v>22</v>
      </c>
    </row>
    <row r="844" spans="1:12" x14ac:dyDescent="0.2">
      <c r="A844">
        <v>23070</v>
      </c>
      <c r="B844">
        <v>46</v>
      </c>
      <c r="C844" t="s">
        <v>23</v>
      </c>
      <c r="D844">
        <v>7287.43</v>
      </c>
      <c r="E844">
        <v>-1636.18</v>
      </c>
      <c r="F844">
        <v>24</v>
      </c>
      <c r="G844">
        <v>14.71</v>
      </c>
      <c r="H844">
        <v>1</v>
      </c>
      <c r="I844">
        <v>7.4</v>
      </c>
      <c r="J844">
        <v>90</v>
      </c>
      <c r="K844" t="s">
        <v>13</v>
      </c>
      <c r="L844" t="s">
        <v>22</v>
      </c>
    </row>
    <row r="845" spans="1:12" x14ac:dyDescent="0.2">
      <c r="A845">
        <v>22363</v>
      </c>
      <c r="B845">
        <v>44</v>
      </c>
      <c r="C845" t="s">
        <v>26</v>
      </c>
      <c r="D845">
        <v>6320.71</v>
      </c>
      <c r="E845">
        <v>12575.26</v>
      </c>
      <c r="F845">
        <v>6</v>
      </c>
      <c r="G845">
        <v>22.44</v>
      </c>
      <c r="H845">
        <v>1</v>
      </c>
      <c r="I845">
        <v>5.7</v>
      </c>
      <c r="K845" t="s">
        <v>15</v>
      </c>
      <c r="L845" t="s">
        <v>25</v>
      </c>
    </row>
    <row r="846" spans="1:12" x14ac:dyDescent="0.2">
      <c r="A846">
        <v>23913</v>
      </c>
      <c r="B846">
        <v>58</v>
      </c>
      <c r="C846" t="s">
        <v>27</v>
      </c>
      <c r="D846">
        <v>-1500</v>
      </c>
      <c r="E846">
        <v>24980.09</v>
      </c>
      <c r="F846">
        <v>18</v>
      </c>
      <c r="G846">
        <v>24.99</v>
      </c>
      <c r="H846">
        <v>4</v>
      </c>
      <c r="I846">
        <v>6.7</v>
      </c>
      <c r="J846">
        <v>90</v>
      </c>
      <c r="K846" t="s">
        <v>15</v>
      </c>
      <c r="L846" t="s">
        <v>16</v>
      </c>
    </row>
    <row r="847" spans="1:12" x14ac:dyDescent="0.2">
      <c r="A847">
        <v>24519</v>
      </c>
      <c r="B847">
        <v>60</v>
      </c>
      <c r="C847" t="s">
        <v>21</v>
      </c>
      <c r="D847">
        <v>7416.62</v>
      </c>
      <c r="E847">
        <v>22717.45</v>
      </c>
      <c r="F847">
        <v>60</v>
      </c>
      <c r="G847">
        <v>27.96</v>
      </c>
      <c r="H847">
        <v>1</v>
      </c>
      <c r="I847">
        <v>5.7</v>
      </c>
      <c r="K847" t="s">
        <v>24</v>
      </c>
      <c r="L847" t="s">
        <v>22</v>
      </c>
    </row>
    <row r="848" spans="1:12" x14ac:dyDescent="0.2">
      <c r="A848">
        <v>21202</v>
      </c>
      <c r="B848">
        <v>55</v>
      </c>
      <c r="C848" t="s">
        <v>26</v>
      </c>
      <c r="D848">
        <v>4583.42</v>
      </c>
      <c r="E848">
        <v>27497.88</v>
      </c>
      <c r="F848">
        <v>24</v>
      </c>
      <c r="G848">
        <v>17.11</v>
      </c>
      <c r="H848">
        <v>4</v>
      </c>
      <c r="I848">
        <v>-2.8</v>
      </c>
      <c r="J848">
        <v>90</v>
      </c>
      <c r="K848" t="s">
        <v>20</v>
      </c>
      <c r="L848" t="s">
        <v>19</v>
      </c>
    </row>
    <row r="849" spans="1:12" x14ac:dyDescent="0.2">
      <c r="A849">
        <v>24896</v>
      </c>
      <c r="B849">
        <v>29</v>
      </c>
      <c r="C849" t="s">
        <v>27</v>
      </c>
      <c r="D849">
        <v>2375.12</v>
      </c>
      <c r="E849">
        <v>27347.93</v>
      </c>
      <c r="F849">
        <v>60</v>
      </c>
      <c r="G849">
        <v>20.81</v>
      </c>
      <c r="H849">
        <v>3</v>
      </c>
      <c r="I849">
        <v>9.5</v>
      </c>
      <c r="J849">
        <v>90</v>
      </c>
      <c r="K849" t="s">
        <v>13</v>
      </c>
      <c r="L849" t="s">
        <v>19</v>
      </c>
    </row>
    <row r="850" spans="1:12" x14ac:dyDescent="0.2">
      <c r="A850">
        <v>20792</v>
      </c>
      <c r="B850">
        <v>29</v>
      </c>
      <c r="C850" t="s">
        <v>12</v>
      </c>
      <c r="D850">
        <v>9762.86</v>
      </c>
      <c r="E850">
        <v>17759</v>
      </c>
      <c r="F850">
        <v>24</v>
      </c>
      <c r="G850">
        <v>10.3</v>
      </c>
      <c r="H850">
        <v>4</v>
      </c>
      <c r="I850">
        <v>7.8</v>
      </c>
      <c r="J850">
        <v>90</v>
      </c>
      <c r="K850" t="s">
        <v>20</v>
      </c>
      <c r="L850" t="s">
        <v>19</v>
      </c>
    </row>
    <row r="851" spans="1:12" x14ac:dyDescent="0.2">
      <c r="A851">
        <v>23681</v>
      </c>
      <c r="B851">
        <v>56</v>
      </c>
      <c r="C851" t="s">
        <v>12</v>
      </c>
      <c r="D851">
        <v>4682.17</v>
      </c>
      <c r="E851">
        <v>32497.23</v>
      </c>
      <c r="F851">
        <v>36</v>
      </c>
      <c r="G851">
        <v>14.54</v>
      </c>
      <c r="H851">
        <v>0</v>
      </c>
      <c r="I851">
        <v>7.9</v>
      </c>
      <c r="J851">
        <v>0</v>
      </c>
      <c r="K851" t="s">
        <v>24</v>
      </c>
      <c r="L851" t="s">
        <v>25</v>
      </c>
    </row>
    <row r="852" spans="1:12" x14ac:dyDescent="0.2">
      <c r="A852">
        <v>25128</v>
      </c>
      <c r="B852">
        <v>32</v>
      </c>
      <c r="C852" t="s">
        <v>23</v>
      </c>
      <c r="D852">
        <v>7582.2</v>
      </c>
      <c r="E852">
        <v>10695.34</v>
      </c>
      <c r="F852">
        <v>12</v>
      </c>
      <c r="G852">
        <v>10.78</v>
      </c>
      <c r="I852">
        <v>14.5</v>
      </c>
      <c r="J852">
        <v>0</v>
      </c>
      <c r="K852" t="s">
        <v>15</v>
      </c>
      <c r="L852" t="s">
        <v>14</v>
      </c>
    </row>
    <row r="853" spans="1:12" x14ac:dyDescent="0.2">
      <c r="A853">
        <v>21281</v>
      </c>
      <c r="B853">
        <v>64</v>
      </c>
      <c r="C853" t="s">
        <v>26</v>
      </c>
      <c r="D853">
        <v>6428.58</v>
      </c>
      <c r="E853">
        <v>8744.9699999999993</v>
      </c>
      <c r="F853">
        <v>36</v>
      </c>
      <c r="G853">
        <v>20.149999999999999</v>
      </c>
      <c r="H853">
        <v>2</v>
      </c>
      <c r="I853">
        <v>6.2</v>
      </c>
      <c r="K853" t="s">
        <v>15</v>
      </c>
      <c r="L853" t="s">
        <v>14</v>
      </c>
    </row>
    <row r="854" spans="1:12" x14ac:dyDescent="0.2">
      <c r="A854">
        <v>25436</v>
      </c>
      <c r="B854">
        <v>31</v>
      </c>
      <c r="C854" t="s">
        <v>17</v>
      </c>
      <c r="D854">
        <v>5037.1899999999996</v>
      </c>
      <c r="E854">
        <v>26453.81</v>
      </c>
      <c r="F854">
        <v>6</v>
      </c>
      <c r="G854">
        <v>18.89</v>
      </c>
      <c r="H854">
        <v>4</v>
      </c>
      <c r="I854">
        <v>10.5</v>
      </c>
      <c r="J854">
        <v>30</v>
      </c>
      <c r="K854" t="s">
        <v>24</v>
      </c>
      <c r="L854" t="s">
        <v>25</v>
      </c>
    </row>
    <row r="855" spans="1:12" x14ac:dyDescent="0.2">
      <c r="A855">
        <v>25279</v>
      </c>
      <c r="B855">
        <v>42</v>
      </c>
      <c r="C855" t="s">
        <v>23</v>
      </c>
      <c r="D855">
        <v>5743.87</v>
      </c>
      <c r="E855">
        <v>17518.240000000002</v>
      </c>
      <c r="F855">
        <v>18</v>
      </c>
      <c r="G855">
        <v>25.23</v>
      </c>
      <c r="H855">
        <v>4</v>
      </c>
      <c r="I855">
        <v>7.5</v>
      </c>
      <c r="J855">
        <v>60</v>
      </c>
      <c r="K855" t="s">
        <v>15</v>
      </c>
      <c r="L855" t="s">
        <v>25</v>
      </c>
    </row>
    <row r="856" spans="1:12" x14ac:dyDescent="0.2">
      <c r="A856">
        <v>20484</v>
      </c>
      <c r="B856">
        <v>46</v>
      </c>
      <c r="C856" t="s">
        <v>23</v>
      </c>
      <c r="D856">
        <v>5449.85</v>
      </c>
      <c r="E856">
        <v>21592.77</v>
      </c>
      <c r="F856">
        <v>36</v>
      </c>
      <c r="G856">
        <v>16.190000000000001</v>
      </c>
      <c r="H856">
        <v>0</v>
      </c>
      <c r="I856">
        <v>9</v>
      </c>
      <c r="J856">
        <v>60</v>
      </c>
      <c r="K856" t="s">
        <v>15</v>
      </c>
      <c r="L856" t="s">
        <v>14</v>
      </c>
    </row>
    <row r="857" spans="1:12" x14ac:dyDescent="0.2">
      <c r="A857">
        <v>22299</v>
      </c>
      <c r="B857">
        <v>61</v>
      </c>
      <c r="C857" t="s">
        <v>26</v>
      </c>
      <c r="D857">
        <v>5853.39</v>
      </c>
      <c r="E857">
        <v>20914.48</v>
      </c>
      <c r="F857">
        <v>18</v>
      </c>
      <c r="G857">
        <v>19.600000000000001</v>
      </c>
      <c r="H857">
        <v>4</v>
      </c>
      <c r="I857">
        <v>8.9</v>
      </c>
      <c r="J857">
        <v>0</v>
      </c>
      <c r="K857" t="s">
        <v>24</v>
      </c>
      <c r="L857" t="s">
        <v>19</v>
      </c>
    </row>
    <row r="858" spans="1:12" x14ac:dyDescent="0.2">
      <c r="A858">
        <v>25041</v>
      </c>
      <c r="B858">
        <v>75</v>
      </c>
      <c r="C858" t="s">
        <v>12</v>
      </c>
      <c r="D858">
        <v>3538.3</v>
      </c>
      <c r="E858">
        <v>12625.1</v>
      </c>
      <c r="F858">
        <v>24</v>
      </c>
      <c r="G858">
        <v>18.059999999999999</v>
      </c>
      <c r="H858">
        <v>4</v>
      </c>
      <c r="I858">
        <v>4.2</v>
      </c>
      <c r="J858">
        <v>15</v>
      </c>
      <c r="K858" t="s">
        <v>13</v>
      </c>
      <c r="L858" t="s">
        <v>16</v>
      </c>
    </row>
    <row r="859" spans="1:12" x14ac:dyDescent="0.2">
      <c r="A859">
        <v>24501</v>
      </c>
      <c r="B859">
        <v>30</v>
      </c>
      <c r="C859" t="s">
        <v>26</v>
      </c>
      <c r="D859">
        <v>3528.79</v>
      </c>
      <c r="E859">
        <v>23671.27</v>
      </c>
      <c r="F859">
        <v>12</v>
      </c>
      <c r="G859">
        <v>23.08</v>
      </c>
      <c r="I859">
        <v>12.3</v>
      </c>
      <c r="K859" t="s">
        <v>24</v>
      </c>
      <c r="L859" t="s">
        <v>19</v>
      </c>
    </row>
    <row r="860" spans="1:12" x14ac:dyDescent="0.2">
      <c r="A860">
        <v>22241</v>
      </c>
      <c r="B860">
        <v>53</v>
      </c>
      <c r="C860" t="s">
        <v>17</v>
      </c>
      <c r="D860">
        <v>1571.47</v>
      </c>
      <c r="E860">
        <v>8871.58</v>
      </c>
      <c r="F860">
        <v>18</v>
      </c>
      <c r="G860">
        <v>14.39</v>
      </c>
      <c r="I860">
        <v>7.7</v>
      </c>
      <c r="J860">
        <v>0</v>
      </c>
      <c r="K860" t="s">
        <v>15</v>
      </c>
      <c r="L860" t="s">
        <v>22</v>
      </c>
    </row>
    <row r="861" spans="1:12" x14ac:dyDescent="0.2">
      <c r="A861">
        <v>22876</v>
      </c>
      <c r="B861">
        <v>32</v>
      </c>
      <c r="C861" t="s">
        <v>26</v>
      </c>
      <c r="D861">
        <v>6577.19</v>
      </c>
      <c r="E861">
        <v>9557.49</v>
      </c>
      <c r="F861">
        <v>48</v>
      </c>
      <c r="G861">
        <v>55</v>
      </c>
      <c r="H861">
        <v>2</v>
      </c>
      <c r="I861">
        <v>8.1</v>
      </c>
      <c r="J861">
        <v>60</v>
      </c>
      <c r="K861" t="s">
        <v>13</v>
      </c>
      <c r="L861" t="s">
        <v>22</v>
      </c>
    </row>
    <row r="862" spans="1:12" x14ac:dyDescent="0.2">
      <c r="A862">
        <v>21769</v>
      </c>
      <c r="B862">
        <v>63</v>
      </c>
      <c r="C862" t="s">
        <v>23</v>
      </c>
      <c r="D862">
        <v>-1500</v>
      </c>
      <c r="E862">
        <v>21730.67</v>
      </c>
      <c r="F862">
        <v>60</v>
      </c>
      <c r="G862">
        <v>26.14</v>
      </c>
      <c r="H862">
        <v>2</v>
      </c>
      <c r="I862">
        <v>7.8</v>
      </c>
      <c r="J862">
        <v>60</v>
      </c>
      <c r="K862" t="s">
        <v>24</v>
      </c>
      <c r="L862" t="s">
        <v>19</v>
      </c>
    </row>
    <row r="863" spans="1:12" x14ac:dyDescent="0.2">
      <c r="A863">
        <v>23575</v>
      </c>
      <c r="B863">
        <v>59</v>
      </c>
      <c r="C863" t="s">
        <v>27</v>
      </c>
      <c r="D863">
        <v>1691.67</v>
      </c>
      <c r="E863">
        <v>22409.040000000001</v>
      </c>
      <c r="F863">
        <v>6</v>
      </c>
      <c r="G863">
        <v>19.079999999999998</v>
      </c>
      <c r="H863">
        <v>0</v>
      </c>
      <c r="I863">
        <v>6.4</v>
      </c>
      <c r="K863" t="s">
        <v>24</v>
      </c>
      <c r="L863" t="s">
        <v>16</v>
      </c>
    </row>
    <row r="864" spans="1:12" x14ac:dyDescent="0.2">
      <c r="A864">
        <v>23843</v>
      </c>
      <c r="B864">
        <v>53</v>
      </c>
      <c r="C864" t="s">
        <v>23</v>
      </c>
      <c r="D864">
        <v>-71.03</v>
      </c>
      <c r="E864">
        <v>3756.11</v>
      </c>
      <c r="F864">
        <v>24</v>
      </c>
      <c r="G864">
        <v>12.93</v>
      </c>
      <c r="H864">
        <v>1</v>
      </c>
      <c r="I864">
        <v>10.199999999999999</v>
      </c>
      <c r="J864">
        <v>30</v>
      </c>
      <c r="K864" t="s">
        <v>20</v>
      </c>
      <c r="L864" t="s">
        <v>16</v>
      </c>
    </row>
    <row r="865" spans="1:12" x14ac:dyDescent="0.2">
      <c r="A865">
        <v>24295</v>
      </c>
      <c r="B865">
        <v>61</v>
      </c>
      <c r="C865" t="s">
        <v>23</v>
      </c>
      <c r="D865">
        <v>608.54999999999995</v>
      </c>
      <c r="E865">
        <v>23950.23</v>
      </c>
      <c r="F865">
        <v>60</v>
      </c>
      <c r="G865">
        <v>13.24</v>
      </c>
      <c r="H865">
        <v>4</v>
      </c>
      <c r="I865">
        <v>3.4</v>
      </c>
      <c r="J865">
        <v>0</v>
      </c>
      <c r="K865" t="s">
        <v>18</v>
      </c>
      <c r="L865" t="s">
        <v>25</v>
      </c>
    </row>
    <row r="866" spans="1:12" x14ac:dyDescent="0.2">
      <c r="A866">
        <v>22211</v>
      </c>
      <c r="B866">
        <v>31</v>
      </c>
      <c r="C866" t="s">
        <v>21</v>
      </c>
      <c r="D866">
        <v>3173.04</v>
      </c>
      <c r="E866">
        <v>15305.11</v>
      </c>
      <c r="F866">
        <v>12</v>
      </c>
      <c r="G866">
        <v>13.47</v>
      </c>
      <c r="H866">
        <v>0</v>
      </c>
      <c r="I866">
        <v>13.1</v>
      </c>
      <c r="J866">
        <v>15</v>
      </c>
      <c r="K866" t="s">
        <v>24</v>
      </c>
      <c r="L866" t="s">
        <v>14</v>
      </c>
    </row>
    <row r="867" spans="1:12" x14ac:dyDescent="0.2">
      <c r="A867">
        <v>21905</v>
      </c>
      <c r="B867">
        <v>52</v>
      </c>
      <c r="C867" t="s">
        <v>17</v>
      </c>
      <c r="D867">
        <v>2499.85</v>
      </c>
      <c r="E867">
        <v>522.58000000000004</v>
      </c>
      <c r="F867">
        <v>36</v>
      </c>
      <c r="G867">
        <v>21.79</v>
      </c>
      <c r="I867">
        <v>11.8</v>
      </c>
      <c r="J867">
        <v>30</v>
      </c>
      <c r="K867" t="s">
        <v>18</v>
      </c>
      <c r="L867" t="s">
        <v>19</v>
      </c>
    </row>
    <row r="868" spans="1:12" x14ac:dyDescent="0.2">
      <c r="A868">
        <v>25810</v>
      </c>
      <c r="B868">
        <v>30</v>
      </c>
      <c r="C868" t="s">
        <v>27</v>
      </c>
      <c r="D868">
        <v>4341.95</v>
      </c>
      <c r="E868">
        <v>17915.11</v>
      </c>
      <c r="F868">
        <v>36</v>
      </c>
      <c r="G868">
        <v>25.57</v>
      </c>
      <c r="H868">
        <v>3</v>
      </c>
      <c r="I868">
        <v>10.6</v>
      </c>
      <c r="J868">
        <v>0</v>
      </c>
      <c r="K868" t="s">
        <v>13</v>
      </c>
      <c r="L868" t="s">
        <v>16</v>
      </c>
    </row>
    <row r="869" spans="1:12" x14ac:dyDescent="0.2">
      <c r="A869">
        <v>22638</v>
      </c>
      <c r="B869">
        <v>31</v>
      </c>
      <c r="C869" t="s">
        <v>12</v>
      </c>
      <c r="D869">
        <v>1209.6300000000001</v>
      </c>
      <c r="E869">
        <v>15342.34</v>
      </c>
      <c r="F869">
        <v>6</v>
      </c>
      <c r="G869">
        <v>29.19</v>
      </c>
      <c r="H869">
        <v>4</v>
      </c>
      <c r="I869">
        <v>6.4</v>
      </c>
      <c r="J869">
        <v>15</v>
      </c>
      <c r="K869" t="s">
        <v>20</v>
      </c>
      <c r="L869" t="s">
        <v>14</v>
      </c>
    </row>
    <row r="870" spans="1:12" x14ac:dyDescent="0.2">
      <c r="A870">
        <v>21271</v>
      </c>
      <c r="B870">
        <v>25</v>
      </c>
      <c r="C870" t="s">
        <v>27</v>
      </c>
      <c r="D870">
        <v>6127.56</v>
      </c>
      <c r="E870">
        <v>3525.13</v>
      </c>
      <c r="F870">
        <v>60</v>
      </c>
      <c r="G870">
        <v>17.32</v>
      </c>
      <c r="H870">
        <v>0</v>
      </c>
      <c r="I870">
        <v>3.9</v>
      </c>
      <c r="J870">
        <v>0</v>
      </c>
      <c r="K870" t="s">
        <v>24</v>
      </c>
      <c r="L870" t="s">
        <v>19</v>
      </c>
    </row>
    <row r="871" spans="1:12" x14ac:dyDescent="0.2">
      <c r="A871">
        <v>25149</v>
      </c>
      <c r="B871">
        <v>43</v>
      </c>
      <c r="C871" t="s">
        <v>17</v>
      </c>
      <c r="D871">
        <v>3755.31</v>
      </c>
      <c r="E871">
        <v>12321.44</v>
      </c>
      <c r="F871">
        <v>12</v>
      </c>
      <c r="G871">
        <v>22.22</v>
      </c>
      <c r="H871">
        <v>0</v>
      </c>
      <c r="I871">
        <v>3.1</v>
      </c>
      <c r="J871">
        <v>0</v>
      </c>
      <c r="K871" t="s">
        <v>24</v>
      </c>
      <c r="L871" t="s">
        <v>14</v>
      </c>
    </row>
    <row r="872" spans="1:12" x14ac:dyDescent="0.2">
      <c r="A872">
        <v>21925</v>
      </c>
      <c r="B872">
        <v>41</v>
      </c>
      <c r="C872" t="s">
        <v>23</v>
      </c>
      <c r="D872">
        <v>7443.6</v>
      </c>
      <c r="E872">
        <v>5961.95</v>
      </c>
      <c r="F872">
        <v>48</v>
      </c>
      <c r="G872">
        <v>17.75</v>
      </c>
      <c r="I872">
        <v>7.3</v>
      </c>
      <c r="J872">
        <v>0</v>
      </c>
      <c r="K872" t="s">
        <v>13</v>
      </c>
      <c r="L872" t="s">
        <v>25</v>
      </c>
    </row>
    <row r="873" spans="1:12" x14ac:dyDescent="0.2">
      <c r="A873">
        <v>25114</v>
      </c>
      <c r="B873">
        <v>62</v>
      </c>
      <c r="C873" t="s">
        <v>27</v>
      </c>
      <c r="D873">
        <v>6345.9</v>
      </c>
      <c r="E873">
        <v>10910.05</v>
      </c>
      <c r="F873">
        <v>36</v>
      </c>
      <c r="G873">
        <v>12.71</v>
      </c>
      <c r="H873">
        <v>3</v>
      </c>
      <c r="I873">
        <v>12.1</v>
      </c>
      <c r="J873">
        <v>0</v>
      </c>
      <c r="K873" t="s">
        <v>18</v>
      </c>
      <c r="L873" t="s">
        <v>25</v>
      </c>
    </row>
    <row r="874" spans="1:12" x14ac:dyDescent="0.2">
      <c r="A874">
        <v>20304</v>
      </c>
      <c r="B874">
        <v>38</v>
      </c>
      <c r="C874" t="s">
        <v>17</v>
      </c>
      <c r="D874">
        <v>10953.67</v>
      </c>
      <c r="E874">
        <v>35963.14</v>
      </c>
      <c r="F874">
        <v>60</v>
      </c>
      <c r="G874">
        <v>13.75</v>
      </c>
      <c r="H874">
        <v>2</v>
      </c>
      <c r="I874">
        <v>13.4</v>
      </c>
      <c r="J874">
        <v>15</v>
      </c>
      <c r="K874" t="s">
        <v>20</v>
      </c>
      <c r="L874" t="s">
        <v>25</v>
      </c>
    </row>
    <row r="875" spans="1:12" x14ac:dyDescent="0.2">
      <c r="A875">
        <v>20149</v>
      </c>
      <c r="B875">
        <v>45</v>
      </c>
      <c r="C875" t="s">
        <v>26</v>
      </c>
      <c r="D875">
        <v>8011.85</v>
      </c>
      <c r="E875">
        <v>19273.099999999999</v>
      </c>
      <c r="F875">
        <v>48</v>
      </c>
      <c r="G875">
        <v>19.940000000000001</v>
      </c>
      <c r="H875">
        <v>1</v>
      </c>
      <c r="I875">
        <v>6.2</v>
      </c>
      <c r="K875" t="s">
        <v>24</v>
      </c>
      <c r="L875" t="s">
        <v>19</v>
      </c>
    </row>
    <row r="876" spans="1:12" x14ac:dyDescent="0.2">
      <c r="A876">
        <v>23730</v>
      </c>
      <c r="B876">
        <v>40</v>
      </c>
      <c r="C876" t="s">
        <v>12</v>
      </c>
      <c r="D876">
        <v>4597.6899999999996</v>
      </c>
      <c r="E876">
        <v>12531.35</v>
      </c>
      <c r="F876">
        <v>18</v>
      </c>
      <c r="G876">
        <v>11.15</v>
      </c>
      <c r="H876">
        <v>4</v>
      </c>
      <c r="I876">
        <v>5</v>
      </c>
      <c r="J876">
        <v>90</v>
      </c>
      <c r="K876" t="s">
        <v>24</v>
      </c>
      <c r="L876" t="s">
        <v>19</v>
      </c>
    </row>
    <row r="877" spans="1:12" x14ac:dyDescent="0.2">
      <c r="A877">
        <v>23368</v>
      </c>
      <c r="B877">
        <v>50</v>
      </c>
      <c r="C877" t="s">
        <v>21</v>
      </c>
      <c r="D877">
        <v>7279.15</v>
      </c>
      <c r="E877">
        <v>1004.5</v>
      </c>
      <c r="F877">
        <v>36</v>
      </c>
      <c r="G877">
        <v>15.05</v>
      </c>
      <c r="H877">
        <v>1</v>
      </c>
      <c r="I877">
        <v>1</v>
      </c>
      <c r="K877" t="s">
        <v>18</v>
      </c>
      <c r="L877" t="s">
        <v>22</v>
      </c>
    </row>
    <row r="878" spans="1:12" x14ac:dyDescent="0.2">
      <c r="A878">
        <v>25079</v>
      </c>
      <c r="B878">
        <v>61</v>
      </c>
      <c r="C878" t="s">
        <v>26</v>
      </c>
      <c r="D878">
        <v>5458.04</v>
      </c>
      <c r="E878">
        <v>30520.68</v>
      </c>
      <c r="F878">
        <v>24</v>
      </c>
      <c r="G878">
        <v>12.2</v>
      </c>
      <c r="H878">
        <v>2</v>
      </c>
      <c r="I878">
        <v>5</v>
      </c>
      <c r="J878">
        <v>60</v>
      </c>
      <c r="K878" t="s">
        <v>15</v>
      </c>
      <c r="L878" t="s">
        <v>19</v>
      </c>
    </row>
    <row r="879" spans="1:12" x14ac:dyDescent="0.2">
      <c r="A879">
        <v>25459</v>
      </c>
      <c r="B879">
        <v>62</v>
      </c>
      <c r="C879" t="s">
        <v>27</v>
      </c>
      <c r="D879">
        <v>2485.1999999999998</v>
      </c>
      <c r="E879">
        <v>24809.67</v>
      </c>
      <c r="F879">
        <v>24</v>
      </c>
      <c r="G879">
        <v>11.75</v>
      </c>
      <c r="H879">
        <v>2</v>
      </c>
      <c r="I879">
        <v>6.1</v>
      </c>
      <c r="J879">
        <v>90</v>
      </c>
      <c r="K879" t="s">
        <v>15</v>
      </c>
      <c r="L879" t="s">
        <v>22</v>
      </c>
    </row>
    <row r="880" spans="1:12" x14ac:dyDescent="0.2">
      <c r="A880">
        <v>21504</v>
      </c>
      <c r="B880">
        <v>33</v>
      </c>
      <c r="C880" t="s">
        <v>27</v>
      </c>
      <c r="D880">
        <v>5481.32</v>
      </c>
      <c r="E880">
        <v>6445.16</v>
      </c>
      <c r="F880">
        <v>6</v>
      </c>
      <c r="G880">
        <v>14.92</v>
      </c>
      <c r="H880">
        <v>0</v>
      </c>
      <c r="I880">
        <v>12.3</v>
      </c>
      <c r="K880" t="s">
        <v>13</v>
      </c>
      <c r="L880" t="s">
        <v>25</v>
      </c>
    </row>
    <row r="881" spans="1:12" x14ac:dyDescent="0.2">
      <c r="A881">
        <v>22136</v>
      </c>
      <c r="B881">
        <v>44</v>
      </c>
      <c r="C881" t="s">
        <v>17</v>
      </c>
      <c r="D881">
        <v>3371.14</v>
      </c>
      <c r="E881">
        <v>26292.799999999999</v>
      </c>
      <c r="F881">
        <v>36</v>
      </c>
      <c r="G881">
        <v>12.5</v>
      </c>
      <c r="I881">
        <v>5.7</v>
      </c>
      <c r="J881">
        <v>60</v>
      </c>
      <c r="K881" t="s">
        <v>24</v>
      </c>
      <c r="L881" t="s">
        <v>22</v>
      </c>
    </row>
    <row r="882" spans="1:12" x14ac:dyDescent="0.2">
      <c r="A882">
        <v>22575</v>
      </c>
      <c r="B882">
        <v>18</v>
      </c>
      <c r="C882" t="s">
        <v>23</v>
      </c>
      <c r="D882">
        <v>6314.62</v>
      </c>
      <c r="E882">
        <v>159.87</v>
      </c>
      <c r="F882">
        <v>12</v>
      </c>
      <c r="G882">
        <v>21.58</v>
      </c>
      <c r="H882">
        <v>0</v>
      </c>
      <c r="I882">
        <v>11.1</v>
      </c>
      <c r="J882">
        <v>90</v>
      </c>
      <c r="K882" t="s">
        <v>18</v>
      </c>
      <c r="L882" t="s">
        <v>19</v>
      </c>
    </row>
    <row r="883" spans="1:12" x14ac:dyDescent="0.2">
      <c r="A883">
        <v>25266</v>
      </c>
      <c r="B883">
        <v>55</v>
      </c>
      <c r="C883" t="s">
        <v>26</v>
      </c>
      <c r="D883">
        <v>6053.47</v>
      </c>
      <c r="E883">
        <v>23646.12</v>
      </c>
      <c r="F883">
        <v>36</v>
      </c>
      <c r="G883">
        <v>23.93</v>
      </c>
      <c r="H883">
        <v>3</v>
      </c>
      <c r="I883">
        <v>9.3000000000000007</v>
      </c>
      <c r="J883">
        <v>0</v>
      </c>
      <c r="K883" t="s">
        <v>18</v>
      </c>
      <c r="L883" t="s">
        <v>19</v>
      </c>
    </row>
    <row r="884" spans="1:12" x14ac:dyDescent="0.2">
      <c r="A884">
        <v>24232</v>
      </c>
      <c r="B884">
        <v>61</v>
      </c>
      <c r="C884" t="s">
        <v>27</v>
      </c>
      <c r="D884">
        <v>5209.45</v>
      </c>
      <c r="F884">
        <v>24</v>
      </c>
      <c r="G884">
        <v>27.77</v>
      </c>
      <c r="H884">
        <v>3</v>
      </c>
      <c r="I884">
        <v>6.1</v>
      </c>
      <c r="J884">
        <v>30</v>
      </c>
      <c r="K884" t="s">
        <v>18</v>
      </c>
      <c r="L884" t="s">
        <v>16</v>
      </c>
    </row>
    <row r="885" spans="1:12" x14ac:dyDescent="0.2">
      <c r="A885">
        <v>21267</v>
      </c>
      <c r="B885">
        <v>61</v>
      </c>
      <c r="C885" t="s">
        <v>17</v>
      </c>
      <c r="D885">
        <v>2532.64</v>
      </c>
      <c r="E885">
        <v>11326.1</v>
      </c>
      <c r="F885">
        <v>6</v>
      </c>
      <c r="G885">
        <v>28.73</v>
      </c>
      <c r="I885">
        <v>12.6</v>
      </c>
      <c r="J885">
        <v>0</v>
      </c>
      <c r="K885" t="s">
        <v>24</v>
      </c>
      <c r="L885" t="s">
        <v>25</v>
      </c>
    </row>
    <row r="886" spans="1:12" x14ac:dyDescent="0.2">
      <c r="A886">
        <v>22084</v>
      </c>
      <c r="B886">
        <v>43</v>
      </c>
      <c r="C886" t="s">
        <v>12</v>
      </c>
      <c r="D886">
        <v>6942.94</v>
      </c>
      <c r="E886">
        <v>17252.27</v>
      </c>
      <c r="F886">
        <v>12</v>
      </c>
      <c r="G886">
        <v>30.09</v>
      </c>
      <c r="H886">
        <v>0</v>
      </c>
      <c r="I886">
        <v>10.4</v>
      </c>
      <c r="J886">
        <v>15</v>
      </c>
      <c r="K886" t="s">
        <v>24</v>
      </c>
      <c r="L886" t="s">
        <v>14</v>
      </c>
    </row>
    <row r="887" spans="1:12" x14ac:dyDescent="0.2">
      <c r="A887">
        <v>21393</v>
      </c>
      <c r="B887">
        <v>27</v>
      </c>
      <c r="C887" t="s">
        <v>23</v>
      </c>
      <c r="D887">
        <v>5784.08</v>
      </c>
      <c r="E887">
        <v>11608.67</v>
      </c>
      <c r="F887">
        <v>36</v>
      </c>
      <c r="G887">
        <v>22.82</v>
      </c>
      <c r="H887">
        <v>2</v>
      </c>
      <c r="I887">
        <v>12.2</v>
      </c>
      <c r="J887">
        <v>120</v>
      </c>
      <c r="K887" t="s">
        <v>18</v>
      </c>
      <c r="L887" t="s">
        <v>19</v>
      </c>
    </row>
    <row r="888" spans="1:12" x14ac:dyDescent="0.2">
      <c r="A888">
        <v>21886</v>
      </c>
      <c r="B888">
        <v>49</v>
      </c>
      <c r="C888" t="s">
        <v>21</v>
      </c>
      <c r="D888">
        <v>3349.3</v>
      </c>
      <c r="E888">
        <v>22362.02</v>
      </c>
      <c r="F888">
        <v>60</v>
      </c>
      <c r="G888">
        <v>10.52</v>
      </c>
      <c r="H888">
        <v>0</v>
      </c>
      <c r="I888">
        <v>1.9</v>
      </c>
      <c r="J888">
        <v>120</v>
      </c>
      <c r="K888" t="s">
        <v>15</v>
      </c>
      <c r="L888" t="s">
        <v>22</v>
      </c>
    </row>
    <row r="889" spans="1:12" x14ac:dyDescent="0.2">
      <c r="A889">
        <v>25279</v>
      </c>
      <c r="B889">
        <v>42</v>
      </c>
      <c r="C889" t="s">
        <v>27</v>
      </c>
      <c r="D889">
        <v>8076.48</v>
      </c>
      <c r="E889">
        <v>28254.36</v>
      </c>
      <c r="F889">
        <v>24</v>
      </c>
      <c r="G889">
        <v>16.739999999999998</v>
      </c>
      <c r="H889">
        <v>4</v>
      </c>
      <c r="I889">
        <v>10.4</v>
      </c>
      <c r="J889">
        <v>0</v>
      </c>
      <c r="K889" t="s">
        <v>24</v>
      </c>
      <c r="L889" t="s">
        <v>25</v>
      </c>
    </row>
    <row r="890" spans="1:12" x14ac:dyDescent="0.2">
      <c r="A890">
        <v>21098</v>
      </c>
      <c r="B890">
        <v>23</v>
      </c>
      <c r="C890" t="s">
        <v>27</v>
      </c>
      <c r="D890">
        <v>5316.81</v>
      </c>
      <c r="E890">
        <v>23290.52</v>
      </c>
      <c r="F890">
        <v>36</v>
      </c>
      <c r="G890">
        <v>23.06</v>
      </c>
      <c r="H890">
        <v>2</v>
      </c>
      <c r="I890">
        <v>11.9</v>
      </c>
      <c r="J890">
        <v>0</v>
      </c>
      <c r="K890" t="s">
        <v>13</v>
      </c>
      <c r="L890" t="s">
        <v>14</v>
      </c>
    </row>
    <row r="891" spans="1:12" x14ac:dyDescent="0.2">
      <c r="A891">
        <v>24794</v>
      </c>
      <c r="B891">
        <v>39</v>
      </c>
      <c r="C891" t="s">
        <v>27</v>
      </c>
      <c r="D891">
        <v>4416.5200000000004</v>
      </c>
      <c r="E891">
        <v>20893.72</v>
      </c>
      <c r="F891">
        <v>18</v>
      </c>
      <c r="G891">
        <v>18.010000000000002</v>
      </c>
      <c r="H891">
        <v>1</v>
      </c>
      <c r="I891">
        <v>3.4</v>
      </c>
      <c r="J891">
        <v>0</v>
      </c>
      <c r="K891" t="s">
        <v>13</v>
      </c>
      <c r="L891" t="s">
        <v>16</v>
      </c>
    </row>
    <row r="892" spans="1:12" x14ac:dyDescent="0.2">
      <c r="A892">
        <v>21582</v>
      </c>
      <c r="B892">
        <v>25</v>
      </c>
      <c r="C892" t="s">
        <v>17</v>
      </c>
      <c r="D892">
        <v>7193.72</v>
      </c>
      <c r="E892">
        <v>24811.89</v>
      </c>
      <c r="F892">
        <v>60</v>
      </c>
      <c r="G892">
        <v>14.8</v>
      </c>
      <c r="H892">
        <v>3</v>
      </c>
      <c r="I892">
        <v>8.9</v>
      </c>
      <c r="J892">
        <v>90</v>
      </c>
      <c r="K892" t="s">
        <v>24</v>
      </c>
      <c r="L892" t="s">
        <v>25</v>
      </c>
    </row>
    <row r="893" spans="1:12" x14ac:dyDescent="0.2">
      <c r="A893">
        <v>21977</v>
      </c>
      <c r="B893">
        <v>44</v>
      </c>
      <c r="C893" t="s">
        <v>26</v>
      </c>
      <c r="D893">
        <v>6113.75</v>
      </c>
      <c r="E893">
        <v>40505.93</v>
      </c>
      <c r="F893">
        <v>36</v>
      </c>
      <c r="G893">
        <v>17.59</v>
      </c>
      <c r="I893">
        <v>12.6</v>
      </c>
      <c r="J893">
        <v>30</v>
      </c>
      <c r="K893" t="s">
        <v>13</v>
      </c>
      <c r="L893" t="s">
        <v>16</v>
      </c>
    </row>
    <row r="894" spans="1:12" x14ac:dyDescent="0.2">
      <c r="A894">
        <v>20881</v>
      </c>
      <c r="B894">
        <v>29</v>
      </c>
      <c r="C894" t="s">
        <v>17</v>
      </c>
      <c r="D894">
        <v>-1115.73</v>
      </c>
      <c r="E894">
        <v>22344.48</v>
      </c>
      <c r="F894">
        <v>36</v>
      </c>
      <c r="G894">
        <v>21.25</v>
      </c>
      <c r="H894">
        <v>0</v>
      </c>
      <c r="I894">
        <v>11.5</v>
      </c>
      <c r="J894">
        <v>15</v>
      </c>
      <c r="K894" t="s">
        <v>18</v>
      </c>
      <c r="L894" t="s">
        <v>22</v>
      </c>
    </row>
    <row r="895" spans="1:12" x14ac:dyDescent="0.2">
      <c r="A895">
        <v>20138</v>
      </c>
      <c r="B895">
        <v>34</v>
      </c>
      <c r="C895" t="s">
        <v>12</v>
      </c>
      <c r="D895">
        <v>3005.69</v>
      </c>
      <c r="E895">
        <v>31416.33</v>
      </c>
      <c r="F895">
        <v>60</v>
      </c>
      <c r="G895">
        <v>20.149999999999999</v>
      </c>
      <c r="H895">
        <v>0</v>
      </c>
      <c r="I895">
        <v>3.7</v>
      </c>
      <c r="K895" t="s">
        <v>20</v>
      </c>
      <c r="L895" t="s">
        <v>25</v>
      </c>
    </row>
    <row r="896" spans="1:12" x14ac:dyDescent="0.2">
      <c r="A896">
        <v>20642</v>
      </c>
      <c r="B896">
        <v>50</v>
      </c>
      <c r="C896" t="s">
        <v>17</v>
      </c>
      <c r="D896">
        <v>1606.79</v>
      </c>
      <c r="E896">
        <v>18344.59</v>
      </c>
      <c r="F896">
        <v>36</v>
      </c>
      <c r="G896">
        <v>20.170000000000002</v>
      </c>
      <c r="H896">
        <v>1</v>
      </c>
      <c r="I896">
        <v>5.9</v>
      </c>
      <c r="J896">
        <v>90</v>
      </c>
      <c r="K896" t="s">
        <v>15</v>
      </c>
      <c r="L896" t="s">
        <v>14</v>
      </c>
    </row>
    <row r="897" spans="1:12" x14ac:dyDescent="0.2">
      <c r="A897">
        <v>22965</v>
      </c>
      <c r="B897">
        <v>47</v>
      </c>
      <c r="C897" t="s">
        <v>27</v>
      </c>
      <c r="D897">
        <v>2212.19</v>
      </c>
      <c r="E897">
        <v>35610.01</v>
      </c>
      <c r="F897">
        <v>6</v>
      </c>
      <c r="G897">
        <v>13.98</v>
      </c>
      <c r="H897">
        <v>0</v>
      </c>
      <c r="I897">
        <v>4.7</v>
      </c>
      <c r="J897">
        <v>0</v>
      </c>
      <c r="K897" t="s">
        <v>20</v>
      </c>
      <c r="L897" t="s">
        <v>25</v>
      </c>
    </row>
    <row r="898" spans="1:12" x14ac:dyDescent="0.2">
      <c r="A898">
        <v>22065</v>
      </c>
      <c r="B898">
        <v>35</v>
      </c>
      <c r="C898" t="s">
        <v>17</v>
      </c>
      <c r="D898">
        <v>7395.64</v>
      </c>
      <c r="E898">
        <v>599.57000000000005</v>
      </c>
      <c r="F898">
        <v>12</v>
      </c>
      <c r="G898">
        <v>8.4499999999999993</v>
      </c>
      <c r="I898">
        <v>0.9</v>
      </c>
      <c r="J898">
        <v>0</v>
      </c>
      <c r="K898" t="s">
        <v>13</v>
      </c>
      <c r="L898" t="s">
        <v>19</v>
      </c>
    </row>
    <row r="899" spans="1:12" x14ac:dyDescent="0.2">
      <c r="A899">
        <v>24752</v>
      </c>
      <c r="B899">
        <v>18</v>
      </c>
      <c r="C899" t="s">
        <v>17</v>
      </c>
      <c r="D899">
        <v>4735.18</v>
      </c>
      <c r="E899">
        <v>22434</v>
      </c>
      <c r="F899">
        <v>24</v>
      </c>
      <c r="G899">
        <v>18.329999999999998</v>
      </c>
      <c r="H899">
        <v>4</v>
      </c>
      <c r="I899">
        <v>6.9</v>
      </c>
      <c r="J899">
        <v>15</v>
      </c>
      <c r="K899" t="s">
        <v>20</v>
      </c>
      <c r="L899" t="s">
        <v>22</v>
      </c>
    </row>
    <row r="900" spans="1:12" x14ac:dyDescent="0.2">
      <c r="A900">
        <v>24591</v>
      </c>
      <c r="B900">
        <v>58</v>
      </c>
      <c r="C900" t="s">
        <v>23</v>
      </c>
      <c r="D900">
        <v>3991.38</v>
      </c>
      <c r="E900">
        <v>26620.799999999999</v>
      </c>
      <c r="F900">
        <v>18</v>
      </c>
      <c r="G900">
        <v>13.37</v>
      </c>
      <c r="I900">
        <v>8.1999999999999993</v>
      </c>
      <c r="J900">
        <v>60</v>
      </c>
      <c r="K900" t="s">
        <v>13</v>
      </c>
      <c r="L900" t="s">
        <v>22</v>
      </c>
    </row>
    <row r="901" spans="1:12" x14ac:dyDescent="0.2">
      <c r="A901">
        <v>23291</v>
      </c>
      <c r="B901">
        <v>59</v>
      </c>
      <c r="C901" t="s">
        <v>27</v>
      </c>
      <c r="D901">
        <v>3315.92</v>
      </c>
      <c r="E901">
        <v>8685.73</v>
      </c>
      <c r="F901">
        <v>6</v>
      </c>
      <c r="G901">
        <v>12.78</v>
      </c>
      <c r="H901">
        <v>2</v>
      </c>
      <c r="I901">
        <v>7.7</v>
      </c>
      <c r="J901">
        <v>0</v>
      </c>
      <c r="K901" t="s">
        <v>15</v>
      </c>
      <c r="L901" t="s">
        <v>16</v>
      </c>
    </row>
    <row r="902" spans="1:12" x14ac:dyDescent="0.2">
      <c r="A902">
        <v>25156</v>
      </c>
      <c r="B902">
        <v>48</v>
      </c>
      <c r="C902" t="s">
        <v>12</v>
      </c>
      <c r="D902">
        <v>3111.21</v>
      </c>
      <c r="E902">
        <v>19030.88</v>
      </c>
      <c r="F902">
        <v>12</v>
      </c>
      <c r="G902">
        <v>16.309999999999999</v>
      </c>
      <c r="I902">
        <v>4.2</v>
      </c>
      <c r="J902">
        <v>30</v>
      </c>
      <c r="K902" t="s">
        <v>20</v>
      </c>
      <c r="L902" t="s">
        <v>16</v>
      </c>
    </row>
    <row r="903" spans="1:12" x14ac:dyDescent="0.2">
      <c r="A903">
        <v>23011</v>
      </c>
      <c r="B903">
        <v>39</v>
      </c>
      <c r="C903" t="s">
        <v>23</v>
      </c>
      <c r="D903">
        <v>4151.8500000000004</v>
      </c>
      <c r="E903">
        <v>42630.879999999997</v>
      </c>
      <c r="F903">
        <v>48</v>
      </c>
      <c r="G903">
        <v>55</v>
      </c>
      <c r="H903">
        <v>4</v>
      </c>
      <c r="I903">
        <v>-1.1000000000000001</v>
      </c>
      <c r="J903">
        <v>15</v>
      </c>
      <c r="K903" t="s">
        <v>18</v>
      </c>
      <c r="L903" t="s">
        <v>14</v>
      </c>
    </row>
    <row r="904" spans="1:12" x14ac:dyDescent="0.2">
      <c r="A904">
        <v>21044</v>
      </c>
      <c r="B904">
        <v>29</v>
      </c>
      <c r="C904" t="s">
        <v>27</v>
      </c>
      <c r="D904">
        <v>5704.94</v>
      </c>
      <c r="E904">
        <v>29328.53</v>
      </c>
      <c r="F904">
        <v>6</v>
      </c>
      <c r="G904">
        <v>16.73</v>
      </c>
      <c r="I904">
        <v>3.5</v>
      </c>
      <c r="J904">
        <v>60</v>
      </c>
      <c r="K904" t="s">
        <v>18</v>
      </c>
      <c r="L904" t="s">
        <v>16</v>
      </c>
    </row>
    <row r="905" spans="1:12" x14ac:dyDescent="0.2">
      <c r="A905">
        <v>25190</v>
      </c>
      <c r="B905">
        <v>75</v>
      </c>
      <c r="C905" t="s">
        <v>23</v>
      </c>
      <c r="D905">
        <v>7153.75</v>
      </c>
      <c r="E905">
        <v>17089.32</v>
      </c>
      <c r="F905">
        <v>60</v>
      </c>
      <c r="G905">
        <v>14.13</v>
      </c>
      <c r="I905">
        <v>10.199999999999999</v>
      </c>
      <c r="J905">
        <v>120</v>
      </c>
      <c r="K905" t="s">
        <v>20</v>
      </c>
      <c r="L905" t="s">
        <v>25</v>
      </c>
    </row>
    <row r="906" spans="1:12" x14ac:dyDescent="0.2">
      <c r="A906">
        <v>23918</v>
      </c>
      <c r="B906">
        <v>33</v>
      </c>
      <c r="C906" t="s">
        <v>21</v>
      </c>
      <c r="D906">
        <v>2449.61</v>
      </c>
      <c r="E906">
        <v>16140.81</v>
      </c>
      <c r="F906">
        <v>12</v>
      </c>
      <c r="G906">
        <v>20.51</v>
      </c>
      <c r="H906">
        <v>2</v>
      </c>
      <c r="I906">
        <v>11.5</v>
      </c>
      <c r="K906" t="s">
        <v>13</v>
      </c>
      <c r="L906" t="s">
        <v>14</v>
      </c>
    </row>
    <row r="907" spans="1:12" x14ac:dyDescent="0.2">
      <c r="A907">
        <v>25601</v>
      </c>
      <c r="B907">
        <v>39</v>
      </c>
      <c r="C907" t="s">
        <v>23</v>
      </c>
      <c r="D907">
        <v>3387.32</v>
      </c>
      <c r="E907">
        <v>12938.19</v>
      </c>
      <c r="F907">
        <v>6</v>
      </c>
      <c r="G907">
        <v>21.55</v>
      </c>
      <c r="H907">
        <v>3</v>
      </c>
      <c r="I907">
        <v>6.6</v>
      </c>
      <c r="J907">
        <v>0</v>
      </c>
      <c r="K907" t="s">
        <v>20</v>
      </c>
      <c r="L907" t="s">
        <v>14</v>
      </c>
    </row>
    <row r="908" spans="1:12" x14ac:dyDescent="0.2">
      <c r="A908">
        <v>25865</v>
      </c>
      <c r="B908">
        <v>75</v>
      </c>
      <c r="C908" t="s">
        <v>26</v>
      </c>
      <c r="D908">
        <v>9027.33</v>
      </c>
      <c r="E908">
        <v>15789.23</v>
      </c>
      <c r="F908">
        <v>18</v>
      </c>
      <c r="G908">
        <v>25.57</v>
      </c>
      <c r="H908">
        <v>0</v>
      </c>
      <c r="I908">
        <v>6.8</v>
      </c>
      <c r="J908">
        <v>0</v>
      </c>
      <c r="K908" t="s">
        <v>15</v>
      </c>
      <c r="L908" t="s">
        <v>14</v>
      </c>
    </row>
    <row r="909" spans="1:12" x14ac:dyDescent="0.2">
      <c r="A909">
        <v>23879</v>
      </c>
      <c r="B909">
        <v>24</v>
      </c>
      <c r="C909" t="s">
        <v>17</v>
      </c>
      <c r="D909">
        <v>6866.32</v>
      </c>
      <c r="E909">
        <v>26453.45</v>
      </c>
      <c r="F909">
        <v>48</v>
      </c>
      <c r="G909">
        <v>21.79</v>
      </c>
      <c r="H909">
        <v>1</v>
      </c>
      <c r="I909">
        <v>3.8</v>
      </c>
      <c r="J909">
        <v>0</v>
      </c>
      <c r="K909" t="s">
        <v>20</v>
      </c>
      <c r="L909" t="s">
        <v>19</v>
      </c>
    </row>
    <row r="910" spans="1:12" x14ac:dyDescent="0.2">
      <c r="A910">
        <v>25152</v>
      </c>
      <c r="B910">
        <v>40</v>
      </c>
      <c r="C910" t="s">
        <v>27</v>
      </c>
      <c r="D910">
        <v>563.97</v>
      </c>
      <c r="E910">
        <v>13822.39</v>
      </c>
      <c r="F910">
        <v>36</v>
      </c>
      <c r="G910">
        <v>14.27</v>
      </c>
      <c r="H910">
        <v>0</v>
      </c>
      <c r="I910">
        <v>8</v>
      </c>
      <c r="J910">
        <v>0</v>
      </c>
      <c r="K910" t="s">
        <v>20</v>
      </c>
      <c r="L910" t="s">
        <v>14</v>
      </c>
    </row>
    <row r="911" spans="1:12" x14ac:dyDescent="0.2">
      <c r="A911">
        <v>21751</v>
      </c>
      <c r="B911">
        <v>36</v>
      </c>
      <c r="C911" t="s">
        <v>12</v>
      </c>
      <c r="D911">
        <v>6530.97</v>
      </c>
      <c r="E911">
        <v>12991.03</v>
      </c>
      <c r="F911">
        <v>48</v>
      </c>
      <c r="G911">
        <v>16.09</v>
      </c>
      <c r="I911">
        <v>4.2</v>
      </c>
      <c r="J911">
        <v>120</v>
      </c>
      <c r="K911" t="s">
        <v>24</v>
      </c>
      <c r="L911" t="s">
        <v>14</v>
      </c>
    </row>
    <row r="912" spans="1:12" x14ac:dyDescent="0.2">
      <c r="A912">
        <v>25057</v>
      </c>
      <c r="B912">
        <v>38</v>
      </c>
      <c r="C912" t="s">
        <v>17</v>
      </c>
      <c r="D912">
        <v>3201.36</v>
      </c>
      <c r="E912">
        <v>26169.64</v>
      </c>
      <c r="F912">
        <v>12</v>
      </c>
      <c r="G912">
        <v>18.170000000000002</v>
      </c>
      <c r="I912">
        <v>9.6999999999999993</v>
      </c>
      <c r="J912">
        <v>60</v>
      </c>
      <c r="K912" t="s">
        <v>20</v>
      </c>
      <c r="L912" t="s">
        <v>16</v>
      </c>
    </row>
    <row r="913" spans="1:12" x14ac:dyDescent="0.2">
      <c r="A913">
        <v>21046</v>
      </c>
      <c r="B913">
        <v>21</v>
      </c>
      <c r="C913" t="s">
        <v>26</v>
      </c>
      <c r="D913">
        <v>4087.26</v>
      </c>
      <c r="E913">
        <v>12689.95</v>
      </c>
      <c r="F913">
        <v>18</v>
      </c>
      <c r="G913">
        <v>16.75</v>
      </c>
      <c r="H913">
        <v>1</v>
      </c>
      <c r="I913">
        <v>16.8</v>
      </c>
      <c r="J913">
        <v>90</v>
      </c>
      <c r="K913" t="s">
        <v>20</v>
      </c>
      <c r="L913" t="s">
        <v>16</v>
      </c>
    </row>
    <row r="914" spans="1:12" x14ac:dyDescent="0.2">
      <c r="A914">
        <v>25888</v>
      </c>
      <c r="B914">
        <v>52</v>
      </c>
      <c r="C914" t="s">
        <v>27</v>
      </c>
      <c r="D914">
        <v>6045.27</v>
      </c>
      <c r="E914">
        <v>17099.41</v>
      </c>
      <c r="F914">
        <v>12</v>
      </c>
      <c r="G914">
        <v>15.1</v>
      </c>
      <c r="H914">
        <v>3</v>
      </c>
      <c r="I914">
        <v>3.8</v>
      </c>
      <c r="J914">
        <v>60</v>
      </c>
      <c r="K914" t="s">
        <v>18</v>
      </c>
      <c r="L914" t="s">
        <v>16</v>
      </c>
    </row>
    <row r="915" spans="1:12" x14ac:dyDescent="0.2">
      <c r="A915">
        <v>22050</v>
      </c>
      <c r="B915">
        <v>28</v>
      </c>
      <c r="C915" t="s">
        <v>12</v>
      </c>
      <c r="D915">
        <v>3510.04</v>
      </c>
      <c r="E915">
        <v>10843.32</v>
      </c>
      <c r="F915">
        <v>24</v>
      </c>
      <c r="G915">
        <v>2.87</v>
      </c>
      <c r="I915">
        <v>15.6</v>
      </c>
      <c r="J915">
        <v>90</v>
      </c>
      <c r="K915" t="s">
        <v>15</v>
      </c>
      <c r="L915" t="s">
        <v>16</v>
      </c>
    </row>
    <row r="916" spans="1:12" x14ac:dyDescent="0.2">
      <c r="A916">
        <v>23727</v>
      </c>
      <c r="B916">
        <v>44</v>
      </c>
      <c r="C916" t="s">
        <v>21</v>
      </c>
      <c r="D916">
        <v>2267.71</v>
      </c>
      <c r="E916">
        <v>14884.34</v>
      </c>
      <c r="F916">
        <v>36</v>
      </c>
      <c r="G916">
        <v>19</v>
      </c>
      <c r="H916">
        <v>3</v>
      </c>
      <c r="I916">
        <v>7.9</v>
      </c>
      <c r="J916">
        <v>90</v>
      </c>
      <c r="K916" t="s">
        <v>13</v>
      </c>
      <c r="L916" t="s">
        <v>22</v>
      </c>
    </row>
    <row r="917" spans="1:12" x14ac:dyDescent="0.2">
      <c r="A917">
        <v>21619</v>
      </c>
      <c r="B917">
        <v>120</v>
      </c>
      <c r="C917" t="s">
        <v>27</v>
      </c>
      <c r="D917">
        <v>-1500</v>
      </c>
      <c r="E917">
        <v>18685.2</v>
      </c>
      <c r="F917">
        <v>48</v>
      </c>
      <c r="G917">
        <v>15.9</v>
      </c>
      <c r="H917">
        <v>4</v>
      </c>
      <c r="I917">
        <v>5.3</v>
      </c>
      <c r="J917">
        <v>90</v>
      </c>
      <c r="K917" t="s">
        <v>15</v>
      </c>
      <c r="L917" t="s">
        <v>14</v>
      </c>
    </row>
    <row r="918" spans="1:12" x14ac:dyDescent="0.2">
      <c r="A918">
        <v>24260</v>
      </c>
      <c r="B918">
        <v>47</v>
      </c>
      <c r="C918" t="s">
        <v>21</v>
      </c>
      <c r="D918">
        <v>5479.11</v>
      </c>
      <c r="E918">
        <v>16910.46</v>
      </c>
      <c r="F918">
        <v>36</v>
      </c>
      <c r="G918">
        <v>17.78</v>
      </c>
      <c r="I918">
        <v>9.6999999999999993</v>
      </c>
      <c r="J918">
        <v>0</v>
      </c>
      <c r="K918" t="s">
        <v>18</v>
      </c>
      <c r="L918" t="s">
        <v>16</v>
      </c>
    </row>
    <row r="919" spans="1:12" x14ac:dyDescent="0.2">
      <c r="A919">
        <v>24235</v>
      </c>
      <c r="B919">
        <v>62</v>
      </c>
      <c r="C919" t="s">
        <v>26</v>
      </c>
      <c r="D919">
        <v>6888.52</v>
      </c>
      <c r="E919">
        <v>13876.45</v>
      </c>
      <c r="F919">
        <v>12</v>
      </c>
      <c r="G919">
        <v>18.579999999999998</v>
      </c>
      <c r="I919">
        <v>9.3000000000000007</v>
      </c>
      <c r="K919" t="s">
        <v>13</v>
      </c>
      <c r="L919" t="s">
        <v>16</v>
      </c>
    </row>
    <row r="920" spans="1:12" x14ac:dyDescent="0.2">
      <c r="A920">
        <v>21763</v>
      </c>
      <c r="B920">
        <v>50</v>
      </c>
      <c r="C920" t="s">
        <v>21</v>
      </c>
      <c r="D920">
        <v>5010.8500000000004</v>
      </c>
      <c r="E920">
        <v>19828.849999999999</v>
      </c>
      <c r="F920">
        <v>60</v>
      </c>
      <c r="G920">
        <v>17.260000000000002</v>
      </c>
      <c r="H920">
        <v>2</v>
      </c>
      <c r="I920">
        <v>7.1</v>
      </c>
      <c r="J920">
        <v>15</v>
      </c>
      <c r="K920" t="s">
        <v>15</v>
      </c>
      <c r="L920" t="s">
        <v>19</v>
      </c>
    </row>
    <row r="921" spans="1:12" x14ac:dyDescent="0.2">
      <c r="A921">
        <v>24731</v>
      </c>
      <c r="B921">
        <v>64</v>
      </c>
      <c r="C921" t="s">
        <v>17</v>
      </c>
      <c r="D921">
        <v>5328.75</v>
      </c>
      <c r="F921">
        <v>24</v>
      </c>
      <c r="G921">
        <v>17.36</v>
      </c>
      <c r="H921">
        <v>2</v>
      </c>
      <c r="I921">
        <v>2.1</v>
      </c>
      <c r="J921">
        <v>15</v>
      </c>
      <c r="K921" t="s">
        <v>24</v>
      </c>
      <c r="L921" t="s">
        <v>22</v>
      </c>
    </row>
    <row r="922" spans="1:12" x14ac:dyDescent="0.2">
      <c r="A922">
        <v>23762</v>
      </c>
      <c r="B922">
        <v>59</v>
      </c>
      <c r="C922" t="s">
        <v>27</v>
      </c>
      <c r="D922">
        <v>5661.55</v>
      </c>
      <c r="E922">
        <v>14283.32</v>
      </c>
      <c r="F922">
        <v>60</v>
      </c>
      <c r="G922">
        <v>23.54</v>
      </c>
      <c r="H922">
        <v>2</v>
      </c>
      <c r="I922">
        <v>8.3000000000000007</v>
      </c>
      <c r="J922">
        <v>0</v>
      </c>
      <c r="K922" t="s">
        <v>20</v>
      </c>
      <c r="L922" t="s">
        <v>25</v>
      </c>
    </row>
    <row r="923" spans="1:12" x14ac:dyDescent="0.2">
      <c r="A923">
        <v>23079</v>
      </c>
      <c r="B923">
        <v>56</v>
      </c>
      <c r="C923" t="s">
        <v>21</v>
      </c>
      <c r="D923">
        <v>5503.12</v>
      </c>
      <c r="E923">
        <v>10171.33</v>
      </c>
      <c r="F923">
        <v>48</v>
      </c>
      <c r="G923">
        <v>21.74</v>
      </c>
      <c r="I923">
        <v>12.7</v>
      </c>
      <c r="J923">
        <v>15</v>
      </c>
      <c r="K923" t="s">
        <v>20</v>
      </c>
      <c r="L923" t="s">
        <v>22</v>
      </c>
    </row>
    <row r="924" spans="1:12" x14ac:dyDescent="0.2">
      <c r="A924">
        <v>25387</v>
      </c>
      <c r="B924">
        <v>29</v>
      </c>
      <c r="C924" t="s">
        <v>12</v>
      </c>
      <c r="D924">
        <v>5814.8</v>
      </c>
      <c r="E924">
        <v>16019.53</v>
      </c>
      <c r="F924">
        <v>60</v>
      </c>
      <c r="G924">
        <v>17.5</v>
      </c>
      <c r="H924">
        <v>3</v>
      </c>
      <c r="I924">
        <v>12.1</v>
      </c>
      <c r="J924">
        <v>0</v>
      </c>
      <c r="K924" t="s">
        <v>20</v>
      </c>
      <c r="L924" t="s">
        <v>25</v>
      </c>
    </row>
    <row r="925" spans="1:12" x14ac:dyDescent="0.2">
      <c r="A925">
        <v>23247</v>
      </c>
      <c r="B925">
        <v>31</v>
      </c>
      <c r="C925" t="s">
        <v>27</v>
      </c>
      <c r="D925">
        <v>4874.25</v>
      </c>
      <c r="E925">
        <v>34986.019999999997</v>
      </c>
      <c r="F925">
        <v>12</v>
      </c>
      <c r="G925">
        <v>20.74</v>
      </c>
      <c r="H925">
        <v>4</v>
      </c>
      <c r="I925">
        <v>5.8</v>
      </c>
      <c r="J925">
        <v>0</v>
      </c>
      <c r="K925" t="s">
        <v>15</v>
      </c>
      <c r="L925" t="s">
        <v>22</v>
      </c>
    </row>
    <row r="926" spans="1:12" x14ac:dyDescent="0.2">
      <c r="A926">
        <v>24922</v>
      </c>
      <c r="B926">
        <v>40</v>
      </c>
      <c r="C926" t="s">
        <v>26</v>
      </c>
      <c r="D926">
        <v>6937.76</v>
      </c>
      <c r="E926">
        <v>25228.84</v>
      </c>
      <c r="F926">
        <v>6</v>
      </c>
      <c r="G926">
        <v>16.82</v>
      </c>
      <c r="I926">
        <v>5.9</v>
      </c>
      <c r="J926">
        <v>0</v>
      </c>
      <c r="K926" t="s">
        <v>15</v>
      </c>
      <c r="L926" t="s">
        <v>14</v>
      </c>
    </row>
    <row r="927" spans="1:12" x14ac:dyDescent="0.2">
      <c r="A927">
        <v>23995</v>
      </c>
      <c r="B927">
        <v>23</v>
      </c>
      <c r="C927" t="s">
        <v>17</v>
      </c>
      <c r="D927">
        <v>2544.39</v>
      </c>
      <c r="E927">
        <v>5904.76</v>
      </c>
      <c r="F927">
        <v>12</v>
      </c>
      <c r="G927">
        <v>22.21</v>
      </c>
      <c r="H927">
        <v>3</v>
      </c>
      <c r="I927">
        <v>14.6</v>
      </c>
      <c r="J927">
        <v>0</v>
      </c>
      <c r="K927" t="s">
        <v>20</v>
      </c>
      <c r="L927" t="s">
        <v>16</v>
      </c>
    </row>
    <row r="928" spans="1:12" x14ac:dyDescent="0.2">
      <c r="A928">
        <v>20879</v>
      </c>
      <c r="B928">
        <v>75</v>
      </c>
      <c r="C928" t="s">
        <v>17</v>
      </c>
      <c r="D928">
        <v>-1500</v>
      </c>
      <c r="E928">
        <v>11028.38</v>
      </c>
      <c r="F928">
        <v>12</v>
      </c>
      <c r="G928">
        <v>12.57</v>
      </c>
      <c r="H928">
        <v>1</v>
      </c>
      <c r="I928">
        <v>-1.9</v>
      </c>
      <c r="K928" t="s">
        <v>15</v>
      </c>
      <c r="L928" t="s">
        <v>14</v>
      </c>
    </row>
    <row r="929" spans="1:12" x14ac:dyDescent="0.2">
      <c r="A929">
        <v>24616</v>
      </c>
      <c r="B929">
        <v>39</v>
      </c>
      <c r="C929" t="s">
        <v>26</v>
      </c>
      <c r="D929">
        <v>7776.26</v>
      </c>
      <c r="E929">
        <v>15776.7</v>
      </c>
      <c r="F929">
        <v>48</v>
      </c>
      <c r="G929">
        <v>24.69</v>
      </c>
      <c r="H929">
        <v>1</v>
      </c>
      <c r="I929">
        <v>3.5</v>
      </c>
      <c r="K929" t="s">
        <v>24</v>
      </c>
      <c r="L929" t="s">
        <v>16</v>
      </c>
    </row>
    <row r="930" spans="1:12" x14ac:dyDescent="0.2">
      <c r="A930">
        <v>20320</v>
      </c>
      <c r="B930">
        <v>43</v>
      </c>
      <c r="C930" t="s">
        <v>27</v>
      </c>
      <c r="D930">
        <v>2410.8200000000002</v>
      </c>
      <c r="E930">
        <v>22784.080000000002</v>
      </c>
      <c r="F930">
        <v>48</v>
      </c>
      <c r="G930">
        <v>21.74</v>
      </c>
      <c r="H930">
        <v>4</v>
      </c>
      <c r="I930">
        <v>7.9</v>
      </c>
      <c r="J930">
        <v>0</v>
      </c>
      <c r="K930" t="s">
        <v>24</v>
      </c>
      <c r="L930" t="s">
        <v>14</v>
      </c>
    </row>
    <row r="931" spans="1:12" x14ac:dyDescent="0.2">
      <c r="A931">
        <v>20927</v>
      </c>
      <c r="B931">
        <v>18</v>
      </c>
      <c r="C931" t="s">
        <v>26</v>
      </c>
      <c r="D931">
        <v>4504.07</v>
      </c>
      <c r="E931">
        <v>16259.91</v>
      </c>
      <c r="F931">
        <v>36</v>
      </c>
      <c r="G931">
        <v>21.57</v>
      </c>
      <c r="I931">
        <v>5.2</v>
      </c>
      <c r="J931">
        <v>0</v>
      </c>
      <c r="K931" t="s">
        <v>15</v>
      </c>
      <c r="L931" t="s">
        <v>14</v>
      </c>
    </row>
    <row r="932" spans="1:12" x14ac:dyDescent="0.2">
      <c r="A932">
        <v>20107</v>
      </c>
      <c r="B932">
        <v>53</v>
      </c>
      <c r="C932" t="s">
        <v>26</v>
      </c>
      <c r="D932">
        <v>4748.9799999999996</v>
      </c>
      <c r="E932">
        <v>18622.02</v>
      </c>
      <c r="F932">
        <v>36</v>
      </c>
      <c r="G932">
        <v>20.85</v>
      </c>
      <c r="H932">
        <v>1</v>
      </c>
      <c r="I932">
        <v>7.8</v>
      </c>
      <c r="J932">
        <v>15</v>
      </c>
      <c r="K932" t="s">
        <v>18</v>
      </c>
      <c r="L932" t="s">
        <v>14</v>
      </c>
    </row>
    <row r="933" spans="1:12" x14ac:dyDescent="0.2">
      <c r="A933">
        <v>21881</v>
      </c>
      <c r="B933">
        <v>52</v>
      </c>
      <c r="C933" t="s">
        <v>17</v>
      </c>
      <c r="D933">
        <v>4262.67</v>
      </c>
      <c r="E933">
        <v>34894.14</v>
      </c>
      <c r="F933">
        <v>18</v>
      </c>
      <c r="G933">
        <v>22.39</v>
      </c>
      <c r="H933">
        <v>4</v>
      </c>
      <c r="I933">
        <v>7.4</v>
      </c>
      <c r="J933">
        <v>120</v>
      </c>
      <c r="K933" t="s">
        <v>18</v>
      </c>
      <c r="L933" t="s">
        <v>22</v>
      </c>
    </row>
    <row r="934" spans="1:12" x14ac:dyDescent="0.2">
      <c r="A934">
        <v>23117</v>
      </c>
      <c r="B934">
        <v>57</v>
      </c>
      <c r="C934" t="s">
        <v>23</v>
      </c>
      <c r="D934">
        <v>3302.93</v>
      </c>
      <c r="E934">
        <v>21994.55</v>
      </c>
      <c r="F934">
        <v>60</v>
      </c>
      <c r="G934">
        <v>27.61</v>
      </c>
      <c r="H934">
        <v>1</v>
      </c>
      <c r="I934">
        <v>3.3</v>
      </c>
      <c r="J934">
        <v>15</v>
      </c>
      <c r="K934" t="s">
        <v>13</v>
      </c>
      <c r="L934" t="s">
        <v>19</v>
      </c>
    </row>
    <row r="935" spans="1:12" x14ac:dyDescent="0.2">
      <c r="A935">
        <v>22761</v>
      </c>
      <c r="B935">
        <v>44</v>
      </c>
      <c r="C935" t="s">
        <v>12</v>
      </c>
      <c r="D935">
        <v>5349.29</v>
      </c>
      <c r="E935">
        <v>18182.36</v>
      </c>
      <c r="F935">
        <v>36</v>
      </c>
      <c r="G935">
        <v>18.8</v>
      </c>
      <c r="H935">
        <v>4</v>
      </c>
      <c r="I935">
        <v>3.7</v>
      </c>
      <c r="K935" t="s">
        <v>15</v>
      </c>
      <c r="L935" t="s">
        <v>22</v>
      </c>
    </row>
    <row r="936" spans="1:12" x14ac:dyDescent="0.2">
      <c r="A936">
        <v>23001</v>
      </c>
      <c r="B936">
        <v>41</v>
      </c>
      <c r="C936" t="s">
        <v>27</v>
      </c>
      <c r="D936">
        <v>6592.82</v>
      </c>
      <c r="E936">
        <v>34950.870000000003</v>
      </c>
      <c r="F936">
        <v>24</v>
      </c>
      <c r="G936">
        <v>55</v>
      </c>
      <c r="H936">
        <v>1</v>
      </c>
      <c r="I936">
        <v>0.9</v>
      </c>
      <c r="J936">
        <v>30</v>
      </c>
      <c r="K936" t="s">
        <v>18</v>
      </c>
      <c r="L936" t="s">
        <v>19</v>
      </c>
    </row>
    <row r="937" spans="1:12" x14ac:dyDescent="0.2">
      <c r="A937">
        <v>25338</v>
      </c>
      <c r="B937">
        <v>46</v>
      </c>
      <c r="C937" t="s">
        <v>26</v>
      </c>
      <c r="D937">
        <v>6301.4</v>
      </c>
      <c r="E937">
        <v>14593.8</v>
      </c>
      <c r="F937">
        <v>18</v>
      </c>
      <c r="G937">
        <v>13.68</v>
      </c>
      <c r="H937">
        <v>0</v>
      </c>
      <c r="I937">
        <v>2.9</v>
      </c>
      <c r="J937">
        <v>0</v>
      </c>
      <c r="K937" t="s">
        <v>20</v>
      </c>
      <c r="L937" t="s">
        <v>16</v>
      </c>
    </row>
    <row r="938" spans="1:12" x14ac:dyDescent="0.2">
      <c r="A938">
        <v>20544</v>
      </c>
      <c r="B938">
        <v>24</v>
      </c>
      <c r="C938" t="s">
        <v>17</v>
      </c>
      <c r="D938">
        <v>5215.37</v>
      </c>
      <c r="E938">
        <v>24074.25</v>
      </c>
      <c r="F938">
        <v>18</v>
      </c>
      <c r="G938">
        <v>23.05</v>
      </c>
      <c r="I938">
        <v>4.4000000000000004</v>
      </c>
      <c r="J938">
        <v>30</v>
      </c>
      <c r="K938" t="s">
        <v>18</v>
      </c>
      <c r="L938" t="s">
        <v>14</v>
      </c>
    </row>
    <row r="939" spans="1:12" x14ac:dyDescent="0.2">
      <c r="A939">
        <v>25930</v>
      </c>
      <c r="B939">
        <v>33</v>
      </c>
      <c r="C939" t="s">
        <v>23</v>
      </c>
      <c r="D939">
        <v>7488.53</v>
      </c>
      <c r="E939">
        <v>15482.47</v>
      </c>
      <c r="F939">
        <v>6</v>
      </c>
      <c r="G939">
        <v>6.59</v>
      </c>
      <c r="H939">
        <v>3</v>
      </c>
      <c r="I939">
        <v>7.6</v>
      </c>
      <c r="J939">
        <v>90</v>
      </c>
      <c r="K939" t="s">
        <v>15</v>
      </c>
      <c r="L939" t="s">
        <v>22</v>
      </c>
    </row>
    <row r="940" spans="1:12" x14ac:dyDescent="0.2">
      <c r="A940">
        <v>20875</v>
      </c>
      <c r="B940">
        <v>24</v>
      </c>
      <c r="C940" t="s">
        <v>17</v>
      </c>
      <c r="D940">
        <v>7401.08</v>
      </c>
      <c r="E940">
        <v>27232.93</v>
      </c>
      <c r="F940">
        <v>12</v>
      </c>
      <c r="G940">
        <v>23.91</v>
      </c>
      <c r="H940">
        <v>1</v>
      </c>
      <c r="I940">
        <v>7.2</v>
      </c>
      <c r="J940">
        <v>15</v>
      </c>
      <c r="K940" t="s">
        <v>20</v>
      </c>
      <c r="L940" t="s">
        <v>16</v>
      </c>
    </row>
    <row r="941" spans="1:12" x14ac:dyDescent="0.2">
      <c r="A941">
        <v>20089</v>
      </c>
      <c r="B941">
        <v>28</v>
      </c>
      <c r="C941" t="s">
        <v>17</v>
      </c>
      <c r="D941">
        <v>3347.78</v>
      </c>
      <c r="E941">
        <v>27713.61</v>
      </c>
      <c r="F941">
        <v>48</v>
      </c>
      <c r="G941">
        <v>22.94</v>
      </c>
      <c r="H941">
        <v>4</v>
      </c>
      <c r="I941">
        <v>5.7</v>
      </c>
      <c r="J941">
        <v>0</v>
      </c>
      <c r="K941" t="s">
        <v>20</v>
      </c>
      <c r="L941" t="s">
        <v>22</v>
      </c>
    </row>
    <row r="942" spans="1:12" x14ac:dyDescent="0.2">
      <c r="A942">
        <v>23663</v>
      </c>
      <c r="B942">
        <v>64</v>
      </c>
      <c r="C942" t="s">
        <v>23</v>
      </c>
      <c r="D942">
        <v>5573.8</v>
      </c>
      <c r="E942">
        <v>7881.41</v>
      </c>
      <c r="F942">
        <v>18</v>
      </c>
      <c r="G942">
        <v>24.6</v>
      </c>
      <c r="I942">
        <v>6.9</v>
      </c>
      <c r="J942">
        <v>0</v>
      </c>
      <c r="K942" t="s">
        <v>13</v>
      </c>
      <c r="L942" t="s">
        <v>22</v>
      </c>
    </row>
    <row r="943" spans="1:12" x14ac:dyDescent="0.2">
      <c r="A943">
        <v>22618</v>
      </c>
      <c r="B943">
        <v>48</v>
      </c>
      <c r="C943" t="s">
        <v>27</v>
      </c>
      <c r="D943">
        <v>3048.51</v>
      </c>
      <c r="E943">
        <v>14729.08</v>
      </c>
      <c r="F943">
        <v>48</v>
      </c>
      <c r="G943">
        <v>23.5</v>
      </c>
      <c r="I943">
        <v>2</v>
      </c>
      <c r="J943">
        <v>120</v>
      </c>
      <c r="K943" t="s">
        <v>18</v>
      </c>
      <c r="L943" t="s">
        <v>25</v>
      </c>
    </row>
    <row r="944" spans="1:12" x14ac:dyDescent="0.2">
      <c r="A944">
        <v>20336</v>
      </c>
      <c r="B944">
        <v>37</v>
      </c>
      <c r="C944" t="s">
        <v>26</v>
      </c>
      <c r="D944">
        <v>4342.5600000000004</v>
      </c>
      <c r="E944">
        <v>15274.68</v>
      </c>
      <c r="F944">
        <v>48</v>
      </c>
      <c r="G944">
        <v>16.940000000000001</v>
      </c>
      <c r="H944">
        <v>2</v>
      </c>
      <c r="I944">
        <v>7.6</v>
      </c>
      <c r="J944">
        <v>0</v>
      </c>
      <c r="K944" t="s">
        <v>15</v>
      </c>
      <c r="L944" t="s">
        <v>19</v>
      </c>
    </row>
    <row r="945" spans="1:12" x14ac:dyDescent="0.2">
      <c r="A945">
        <v>25643</v>
      </c>
      <c r="B945">
        <v>32</v>
      </c>
      <c r="C945" t="s">
        <v>26</v>
      </c>
      <c r="D945">
        <v>4605.1400000000003</v>
      </c>
      <c r="E945">
        <v>16014.37</v>
      </c>
      <c r="F945">
        <v>18</v>
      </c>
      <c r="G945">
        <v>23.57</v>
      </c>
      <c r="I945">
        <v>12.9</v>
      </c>
      <c r="J945">
        <v>0</v>
      </c>
      <c r="K945" t="s">
        <v>13</v>
      </c>
      <c r="L945" t="s">
        <v>22</v>
      </c>
    </row>
    <row r="946" spans="1:12" x14ac:dyDescent="0.2">
      <c r="A946">
        <v>23147</v>
      </c>
      <c r="B946">
        <v>52</v>
      </c>
      <c r="C946" t="s">
        <v>23</v>
      </c>
      <c r="D946">
        <v>3479.94</v>
      </c>
      <c r="E946">
        <v>10928.17</v>
      </c>
      <c r="F946">
        <v>60</v>
      </c>
      <c r="G946">
        <v>22.51</v>
      </c>
      <c r="H946">
        <v>1</v>
      </c>
      <c r="I946">
        <v>3.2</v>
      </c>
      <c r="J946">
        <v>15</v>
      </c>
      <c r="K946" t="s">
        <v>20</v>
      </c>
      <c r="L946" t="s">
        <v>14</v>
      </c>
    </row>
    <row r="947" spans="1:12" x14ac:dyDescent="0.2">
      <c r="A947">
        <v>23712</v>
      </c>
      <c r="B947">
        <v>37</v>
      </c>
      <c r="C947" t="s">
        <v>26</v>
      </c>
      <c r="D947">
        <v>3849.65</v>
      </c>
      <c r="E947">
        <v>21854.97</v>
      </c>
      <c r="F947">
        <v>36</v>
      </c>
      <c r="G947">
        <v>26.29</v>
      </c>
      <c r="H947">
        <v>0</v>
      </c>
      <c r="I947">
        <v>9.5</v>
      </c>
      <c r="J947">
        <v>60</v>
      </c>
      <c r="K947" t="s">
        <v>20</v>
      </c>
      <c r="L947" t="s">
        <v>16</v>
      </c>
    </row>
    <row r="948" spans="1:12" x14ac:dyDescent="0.2">
      <c r="A948">
        <v>22283</v>
      </c>
      <c r="B948">
        <v>59</v>
      </c>
      <c r="C948" t="s">
        <v>12</v>
      </c>
      <c r="D948">
        <v>4776.37</v>
      </c>
      <c r="E948">
        <v>26809.94</v>
      </c>
      <c r="F948">
        <v>36</v>
      </c>
      <c r="G948">
        <v>18.45</v>
      </c>
      <c r="H948">
        <v>0</v>
      </c>
      <c r="I948">
        <v>6.4</v>
      </c>
      <c r="J948">
        <v>60</v>
      </c>
      <c r="K948" t="s">
        <v>24</v>
      </c>
      <c r="L948" t="s">
        <v>22</v>
      </c>
    </row>
    <row r="949" spans="1:12" x14ac:dyDescent="0.2">
      <c r="A949">
        <v>20476</v>
      </c>
      <c r="B949">
        <v>25</v>
      </c>
      <c r="C949" t="s">
        <v>26</v>
      </c>
      <c r="D949">
        <v>5312.9</v>
      </c>
      <c r="E949">
        <v>37045.32</v>
      </c>
      <c r="F949">
        <v>6</v>
      </c>
      <c r="G949">
        <v>26.19</v>
      </c>
      <c r="H949">
        <v>1</v>
      </c>
      <c r="I949">
        <v>2.9</v>
      </c>
      <c r="J949">
        <v>60</v>
      </c>
      <c r="K949" t="s">
        <v>13</v>
      </c>
      <c r="L949" t="s">
        <v>25</v>
      </c>
    </row>
    <row r="950" spans="1:12" x14ac:dyDescent="0.2">
      <c r="A950">
        <v>25933</v>
      </c>
      <c r="B950">
        <v>24</v>
      </c>
      <c r="C950" t="s">
        <v>23</v>
      </c>
      <c r="D950">
        <v>2733.55</v>
      </c>
      <c r="E950">
        <v>16243</v>
      </c>
      <c r="F950">
        <v>24</v>
      </c>
      <c r="G950">
        <v>24.71</v>
      </c>
      <c r="H950">
        <v>2</v>
      </c>
      <c r="I950">
        <v>5.7</v>
      </c>
      <c r="J950">
        <v>15</v>
      </c>
      <c r="K950" t="s">
        <v>20</v>
      </c>
      <c r="L950" t="s">
        <v>25</v>
      </c>
    </row>
    <row r="951" spans="1:12" x14ac:dyDescent="0.2">
      <c r="A951">
        <v>24146</v>
      </c>
      <c r="B951">
        <v>47</v>
      </c>
      <c r="C951" t="s">
        <v>27</v>
      </c>
      <c r="D951">
        <v>4478.93</v>
      </c>
      <c r="E951">
        <v>30674.6</v>
      </c>
      <c r="F951">
        <v>36</v>
      </c>
      <c r="G951">
        <v>15.36</v>
      </c>
      <c r="H951">
        <v>0</v>
      </c>
      <c r="I951">
        <v>-1.4</v>
      </c>
      <c r="J951">
        <v>15</v>
      </c>
      <c r="K951" t="s">
        <v>20</v>
      </c>
      <c r="L951" t="s">
        <v>16</v>
      </c>
    </row>
    <row r="952" spans="1:12" x14ac:dyDescent="0.2">
      <c r="A952">
        <v>21054</v>
      </c>
      <c r="B952">
        <v>35</v>
      </c>
      <c r="C952" t="s">
        <v>23</v>
      </c>
      <c r="D952">
        <v>6481.63</v>
      </c>
      <c r="E952">
        <v>7098.27</v>
      </c>
      <c r="F952">
        <v>12</v>
      </c>
      <c r="G952">
        <v>14.93</v>
      </c>
      <c r="I952">
        <v>9.4</v>
      </c>
      <c r="J952">
        <v>120</v>
      </c>
      <c r="K952" t="s">
        <v>18</v>
      </c>
      <c r="L952" t="s">
        <v>16</v>
      </c>
    </row>
    <row r="953" spans="1:12" x14ac:dyDescent="0.2">
      <c r="A953">
        <v>21824</v>
      </c>
      <c r="B953">
        <v>40</v>
      </c>
      <c r="C953" t="s">
        <v>23</v>
      </c>
      <c r="D953">
        <v>5295.69</v>
      </c>
      <c r="E953">
        <v>23055.8</v>
      </c>
      <c r="F953">
        <v>12</v>
      </c>
      <c r="G953">
        <v>23.29</v>
      </c>
      <c r="H953">
        <v>2</v>
      </c>
      <c r="I953">
        <v>10.4</v>
      </c>
      <c r="K953" t="s">
        <v>20</v>
      </c>
      <c r="L953" t="s">
        <v>16</v>
      </c>
    </row>
    <row r="954" spans="1:12" x14ac:dyDescent="0.2">
      <c r="A954">
        <v>23081</v>
      </c>
      <c r="B954">
        <v>45</v>
      </c>
      <c r="C954" t="s">
        <v>21</v>
      </c>
      <c r="D954">
        <v>4684.04</v>
      </c>
      <c r="E954">
        <v>-2813.98</v>
      </c>
      <c r="F954">
        <v>6</v>
      </c>
      <c r="G954">
        <v>23.48</v>
      </c>
      <c r="H954">
        <v>2</v>
      </c>
      <c r="I954">
        <v>1</v>
      </c>
      <c r="J954">
        <v>90</v>
      </c>
      <c r="K954" t="s">
        <v>13</v>
      </c>
      <c r="L954" t="s">
        <v>16</v>
      </c>
    </row>
    <row r="955" spans="1:12" x14ac:dyDescent="0.2">
      <c r="A955">
        <v>21279</v>
      </c>
      <c r="B955">
        <v>24</v>
      </c>
      <c r="C955" t="s">
        <v>26</v>
      </c>
      <c r="D955">
        <v>3388.77</v>
      </c>
      <c r="E955">
        <v>20616.5</v>
      </c>
      <c r="F955">
        <v>12</v>
      </c>
      <c r="G955">
        <v>25.56</v>
      </c>
      <c r="H955">
        <v>2</v>
      </c>
      <c r="I955">
        <v>4.5</v>
      </c>
      <c r="J955">
        <v>15</v>
      </c>
      <c r="K955" t="s">
        <v>24</v>
      </c>
      <c r="L955" t="s">
        <v>14</v>
      </c>
    </row>
    <row r="956" spans="1:12" x14ac:dyDescent="0.2">
      <c r="A956">
        <v>25100</v>
      </c>
      <c r="B956">
        <v>33</v>
      </c>
      <c r="C956" t="s">
        <v>27</v>
      </c>
      <c r="D956">
        <v>3434.21</v>
      </c>
      <c r="E956">
        <v>28167.040000000001</v>
      </c>
      <c r="F956">
        <v>36</v>
      </c>
      <c r="G956">
        <v>19.82</v>
      </c>
      <c r="H956">
        <v>1</v>
      </c>
      <c r="I956">
        <v>3.1</v>
      </c>
      <c r="K956" t="s">
        <v>24</v>
      </c>
      <c r="L956" t="s">
        <v>16</v>
      </c>
    </row>
    <row r="957" spans="1:12" x14ac:dyDescent="0.2">
      <c r="A957">
        <v>25745</v>
      </c>
      <c r="B957">
        <v>38</v>
      </c>
      <c r="C957" t="s">
        <v>26</v>
      </c>
      <c r="D957">
        <v>8208.9</v>
      </c>
      <c r="E957">
        <v>26457.360000000001</v>
      </c>
      <c r="F957">
        <v>60</v>
      </c>
      <c r="G957">
        <v>22.92</v>
      </c>
      <c r="H957">
        <v>2</v>
      </c>
      <c r="I957">
        <v>5.2</v>
      </c>
      <c r="K957" t="s">
        <v>20</v>
      </c>
      <c r="L957" t="s">
        <v>14</v>
      </c>
    </row>
    <row r="958" spans="1:12" x14ac:dyDescent="0.2">
      <c r="A958">
        <v>23834</v>
      </c>
      <c r="B958">
        <v>27</v>
      </c>
      <c r="C958" t="s">
        <v>27</v>
      </c>
      <c r="D958">
        <v>462.5</v>
      </c>
      <c r="E958">
        <v>12910.16</v>
      </c>
      <c r="F958">
        <v>6</v>
      </c>
      <c r="G958">
        <v>31.94</v>
      </c>
      <c r="H958">
        <v>2</v>
      </c>
      <c r="I958">
        <v>8.8000000000000007</v>
      </c>
      <c r="J958">
        <v>15</v>
      </c>
      <c r="K958" t="s">
        <v>20</v>
      </c>
      <c r="L958" t="s">
        <v>22</v>
      </c>
    </row>
    <row r="959" spans="1:12" x14ac:dyDescent="0.2">
      <c r="A959">
        <v>21481</v>
      </c>
      <c r="B959">
        <v>30</v>
      </c>
      <c r="C959" t="s">
        <v>17</v>
      </c>
      <c r="D959">
        <v>2662.11</v>
      </c>
      <c r="E959">
        <v>18741.11</v>
      </c>
      <c r="F959">
        <v>6</v>
      </c>
      <c r="G959">
        <v>19.010000000000002</v>
      </c>
      <c r="H959">
        <v>2</v>
      </c>
      <c r="I959">
        <v>10.8</v>
      </c>
      <c r="J959">
        <v>60</v>
      </c>
      <c r="K959" t="s">
        <v>18</v>
      </c>
      <c r="L959" t="s">
        <v>25</v>
      </c>
    </row>
    <row r="960" spans="1:12" x14ac:dyDescent="0.2">
      <c r="A960">
        <v>21624</v>
      </c>
      <c r="B960">
        <v>75</v>
      </c>
      <c r="C960" t="s">
        <v>17</v>
      </c>
      <c r="D960">
        <v>4030.09</v>
      </c>
      <c r="E960">
        <v>20192.22</v>
      </c>
      <c r="F960">
        <v>60</v>
      </c>
      <c r="G960">
        <v>21.97</v>
      </c>
      <c r="I960">
        <v>10.199999999999999</v>
      </c>
      <c r="J960">
        <v>60</v>
      </c>
      <c r="K960" t="s">
        <v>15</v>
      </c>
      <c r="L960" t="s">
        <v>22</v>
      </c>
    </row>
    <row r="961" spans="1:12" x14ac:dyDescent="0.2">
      <c r="A961">
        <v>23328</v>
      </c>
      <c r="B961">
        <v>48</v>
      </c>
      <c r="C961" t="s">
        <v>12</v>
      </c>
      <c r="D961">
        <v>7265.05</v>
      </c>
      <c r="E961">
        <v>27396.49</v>
      </c>
      <c r="F961">
        <v>18</v>
      </c>
      <c r="G961">
        <v>16.7</v>
      </c>
      <c r="H961">
        <v>3</v>
      </c>
      <c r="I961">
        <v>4.3</v>
      </c>
      <c r="J961">
        <v>120</v>
      </c>
      <c r="K961" t="s">
        <v>20</v>
      </c>
      <c r="L961" t="s">
        <v>19</v>
      </c>
    </row>
    <row r="962" spans="1:12" x14ac:dyDescent="0.2">
      <c r="A962">
        <v>21317</v>
      </c>
      <c r="B962">
        <v>34</v>
      </c>
      <c r="C962" t="s">
        <v>23</v>
      </c>
      <c r="D962">
        <v>2102.14</v>
      </c>
      <c r="E962">
        <v>4705.26</v>
      </c>
      <c r="F962">
        <v>24</v>
      </c>
      <c r="G962">
        <v>26.03</v>
      </c>
      <c r="H962">
        <v>4</v>
      </c>
      <c r="I962">
        <v>14.3</v>
      </c>
      <c r="J962">
        <v>15</v>
      </c>
      <c r="K962" t="s">
        <v>18</v>
      </c>
      <c r="L962" t="s">
        <v>22</v>
      </c>
    </row>
    <row r="963" spans="1:12" x14ac:dyDescent="0.2">
      <c r="A963">
        <v>24533</v>
      </c>
      <c r="B963">
        <v>59</v>
      </c>
      <c r="C963" t="s">
        <v>12</v>
      </c>
      <c r="D963">
        <v>2849.29</v>
      </c>
      <c r="E963">
        <v>18929.29</v>
      </c>
      <c r="F963">
        <v>12</v>
      </c>
      <c r="G963">
        <v>21.51</v>
      </c>
      <c r="H963">
        <v>0</v>
      </c>
      <c r="I963">
        <v>5.4</v>
      </c>
      <c r="J963">
        <v>60</v>
      </c>
      <c r="K963" t="s">
        <v>24</v>
      </c>
      <c r="L963" t="s">
        <v>22</v>
      </c>
    </row>
    <row r="964" spans="1:12" x14ac:dyDescent="0.2">
      <c r="A964">
        <v>25521</v>
      </c>
      <c r="B964">
        <v>36</v>
      </c>
      <c r="C964" t="s">
        <v>12</v>
      </c>
      <c r="D964">
        <v>7605.21</v>
      </c>
      <c r="E964">
        <v>22584.44</v>
      </c>
      <c r="F964">
        <v>6</v>
      </c>
      <c r="G964">
        <v>17.760000000000002</v>
      </c>
      <c r="H964">
        <v>3</v>
      </c>
      <c r="I964">
        <v>6.2</v>
      </c>
      <c r="J964">
        <v>0</v>
      </c>
      <c r="K964" t="s">
        <v>13</v>
      </c>
      <c r="L964" t="s">
        <v>19</v>
      </c>
    </row>
    <row r="965" spans="1:12" x14ac:dyDescent="0.2">
      <c r="A965">
        <v>23974</v>
      </c>
      <c r="B965">
        <v>36</v>
      </c>
      <c r="C965" t="s">
        <v>17</v>
      </c>
      <c r="D965">
        <v>4416.8900000000003</v>
      </c>
      <c r="E965">
        <v>25405.88</v>
      </c>
      <c r="F965">
        <v>48</v>
      </c>
      <c r="G965">
        <v>18.88</v>
      </c>
      <c r="I965">
        <v>5.7</v>
      </c>
      <c r="J965">
        <v>60</v>
      </c>
      <c r="K965" t="s">
        <v>15</v>
      </c>
      <c r="L965" t="s">
        <v>14</v>
      </c>
    </row>
    <row r="966" spans="1:12" x14ac:dyDescent="0.2">
      <c r="A966">
        <v>21835</v>
      </c>
      <c r="B966">
        <v>55</v>
      </c>
      <c r="C966" t="s">
        <v>21</v>
      </c>
      <c r="D966">
        <v>998.16</v>
      </c>
      <c r="E966">
        <v>25818.27</v>
      </c>
      <c r="F966">
        <v>60</v>
      </c>
      <c r="G966">
        <v>17.63</v>
      </c>
      <c r="H966">
        <v>3</v>
      </c>
      <c r="I966">
        <v>2.7</v>
      </c>
      <c r="J966">
        <v>0</v>
      </c>
      <c r="K966" t="s">
        <v>15</v>
      </c>
      <c r="L966" t="s">
        <v>22</v>
      </c>
    </row>
    <row r="967" spans="1:12" x14ac:dyDescent="0.2">
      <c r="A967">
        <v>21997</v>
      </c>
      <c r="B967">
        <v>34</v>
      </c>
      <c r="C967" t="s">
        <v>21</v>
      </c>
      <c r="D967">
        <v>6332.4</v>
      </c>
      <c r="E967">
        <v>24349.3</v>
      </c>
      <c r="F967">
        <v>60</v>
      </c>
      <c r="G967">
        <v>17.63</v>
      </c>
      <c r="H967">
        <v>4</v>
      </c>
      <c r="I967">
        <v>4.5999999999999996</v>
      </c>
      <c r="J967">
        <v>90</v>
      </c>
      <c r="K967" t="s">
        <v>15</v>
      </c>
      <c r="L967" t="s">
        <v>19</v>
      </c>
    </row>
    <row r="968" spans="1:12" x14ac:dyDescent="0.2">
      <c r="A968">
        <v>21005</v>
      </c>
      <c r="B968">
        <v>25</v>
      </c>
      <c r="C968" t="s">
        <v>27</v>
      </c>
      <c r="D968">
        <v>4575.4399999999996</v>
      </c>
      <c r="E968">
        <v>15044.09</v>
      </c>
      <c r="F968">
        <v>18</v>
      </c>
      <c r="G968">
        <v>17.02</v>
      </c>
      <c r="H968">
        <v>2</v>
      </c>
      <c r="I968">
        <v>-1.4</v>
      </c>
      <c r="J968">
        <v>120</v>
      </c>
      <c r="K968" t="s">
        <v>13</v>
      </c>
      <c r="L968" t="s">
        <v>19</v>
      </c>
    </row>
    <row r="969" spans="1:12" x14ac:dyDescent="0.2">
      <c r="A969">
        <v>20852</v>
      </c>
      <c r="B969">
        <v>64</v>
      </c>
      <c r="C969" t="s">
        <v>23</v>
      </c>
      <c r="D969">
        <v>7105.61</v>
      </c>
      <c r="E969">
        <v>18728.169999999998</v>
      </c>
      <c r="F969">
        <v>6</v>
      </c>
      <c r="G969">
        <v>21.94</v>
      </c>
      <c r="H969">
        <v>3</v>
      </c>
      <c r="I969">
        <v>6.1</v>
      </c>
      <c r="J969">
        <v>0</v>
      </c>
      <c r="K969" t="s">
        <v>18</v>
      </c>
      <c r="L969" t="s">
        <v>25</v>
      </c>
    </row>
    <row r="970" spans="1:12" x14ac:dyDescent="0.2">
      <c r="A970">
        <v>23012</v>
      </c>
      <c r="B970">
        <v>18</v>
      </c>
      <c r="C970" t="s">
        <v>17</v>
      </c>
      <c r="D970">
        <v>4543.84</v>
      </c>
      <c r="E970">
        <v>33415.14</v>
      </c>
      <c r="F970">
        <v>24</v>
      </c>
      <c r="G970">
        <v>14.99</v>
      </c>
      <c r="H970">
        <v>1</v>
      </c>
      <c r="I970">
        <v>11.2</v>
      </c>
      <c r="J970">
        <v>60</v>
      </c>
      <c r="K970" t="s">
        <v>13</v>
      </c>
      <c r="L970" t="s">
        <v>14</v>
      </c>
    </row>
    <row r="971" spans="1:12" x14ac:dyDescent="0.2">
      <c r="A971">
        <v>21357</v>
      </c>
      <c r="B971">
        <v>51</v>
      </c>
      <c r="C971" t="s">
        <v>12</v>
      </c>
      <c r="D971">
        <v>3705.66</v>
      </c>
      <c r="E971">
        <v>16735.91</v>
      </c>
      <c r="F971">
        <v>60</v>
      </c>
      <c r="G971">
        <v>24.66</v>
      </c>
      <c r="H971">
        <v>2</v>
      </c>
      <c r="I971">
        <v>10.8</v>
      </c>
      <c r="K971" t="s">
        <v>15</v>
      </c>
      <c r="L971" t="s">
        <v>14</v>
      </c>
    </row>
    <row r="972" spans="1:12" x14ac:dyDescent="0.2">
      <c r="A972">
        <v>20231</v>
      </c>
      <c r="B972">
        <v>38</v>
      </c>
      <c r="C972" t="s">
        <v>26</v>
      </c>
      <c r="D972">
        <v>3295.51</v>
      </c>
      <c r="E972">
        <v>9529.26</v>
      </c>
      <c r="F972">
        <v>24</v>
      </c>
      <c r="G972">
        <v>20</v>
      </c>
      <c r="H972">
        <v>0</v>
      </c>
      <c r="I972">
        <v>7</v>
      </c>
      <c r="J972">
        <v>60</v>
      </c>
      <c r="K972" t="s">
        <v>24</v>
      </c>
      <c r="L972" t="s">
        <v>22</v>
      </c>
    </row>
    <row r="973" spans="1:12" x14ac:dyDescent="0.2">
      <c r="A973">
        <v>22546</v>
      </c>
      <c r="B973">
        <v>26</v>
      </c>
      <c r="C973" t="s">
        <v>26</v>
      </c>
      <c r="D973">
        <v>3742.53</v>
      </c>
      <c r="E973">
        <v>32410.34</v>
      </c>
      <c r="F973">
        <v>12</v>
      </c>
      <c r="G973">
        <v>19.809999999999999</v>
      </c>
      <c r="H973">
        <v>4</v>
      </c>
      <c r="I973">
        <v>0.8</v>
      </c>
      <c r="J973">
        <v>120</v>
      </c>
      <c r="K973" t="s">
        <v>20</v>
      </c>
      <c r="L973" t="s">
        <v>25</v>
      </c>
    </row>
    <row r="974" spans="1:12" x14ac:dyDescent="0.2">
      <c r="A974">
        <v>21485</v>
      </c>
      <c r="B974">
        <v>33</v>
      </c>
      <c r="C974" t="s">
        <v>27</v>
      </c>
      <c r="D974">
        <v>4577.17</v>
      </c>
      <c r="E974">
        <v>23777.35</v>
      </c>
      <c r="F974">
        <v>12</v>
      </c>
      <c r="G974">
        <v>19.88</v>
      </c>
      <c r="H974">
        <v>0</v>
      </c>
      <c r="I974">
        <v>10</v>
      </c>
      <c r="J974">
        <v>120</v>
      </c>
      <c r="K974" t="s">
        <v>24</v>
      </c>
      <c r="L974" t="s">
        <v>19</v>
      </c>
    </row>
    <row r="975" spans="1:12" x14ac:dyDescent="0.2">
      <c r="A975">
        <v>21462</v>
      </c>
      <c r="B975">
        <v>61</v>
      </c>
      <c r="C975" t="s">
        <v>23</v>
      </c>
      <c r="D975">
        <v>8059.63</v>
      </c>
      <c r="E975">
        <v>16479.12</v>
      </c>
      <c r="F975">
        <v>6</v>
      </c>
      <c r="G975">
        <v>21.05</v>
      </c>
      <c r="H975">
        <v>1</v>
      </c>
      <c r="I975">
        <v>12.3</v>
      </c>
      <c r="J975">
        <v>120</v>
      </c>
      <c r="K975" t="s">
        <v>15</v>
      </c>
      <c r="L975" t="s">
        <v>19</v>
      </c>
    </row>
    <row r="976" spans="1:12" x14ac:dyDescent="0.2">
      <c r="A976">
        <v>24515</v>
      </c>
      <c r="B976">
        <v>42</v>
      </c>
      <c r="C976" t="s">
        <v>17</v>
      </c>
      <c r="D976">
        <v>7968.73</v>
      </c>
      <c r="E976">
        <v>18353.5</v>
      </c>
      <c r="F976">
        <v>48</v>
      </c>
      <c r="G976">
        <v>12.74</v>
      </c>
      <c r="H976">
        <v>2</v>
      </c>
      <c r="I976">
        <v>10.7</v>
      </c>
      <c r="J976">
        <v>0</v>
      </c>
      <c r="K976" t="s">
        <v>24</v>
      </c>
      <c r="L976" t="s">
        <v>22</v>
      </c>
    </row>
    <row r="977" spans="1:12" x14ac:dyDescent="0.2">
      <c r="A977">
        <v>22673</v>
      </c>
      <c r="B977">
        <v>61</v>
      </c>
      <c r="C977" t="s">
        <v>26</v>
      </c>
      <c r="D977">
        <v>3830.18</v>
      </c>
      <c r="E977">
        <v>23111.279999999999</v>
      </c>
      <c r="F977">
        <v>48</v>
      </c>
      <c r="G977">
        <v>20.41</v>
      </c>
      <c r="H977">
        <v>1</v>
      </c>
      <c r="I977">
        <v>6.2</v>
      </c>
      <c r="J977">
        <v>90</v>
      </c>
      <c r="K977" t="s">
        <v>13</v>
      </c>
      <c r="L977" t="s">
        <v>16</v>
      </c>
    </row>
    <row r="978" spans="1:12" x14ac:dyDescent="0.2">
      <c r="A978">
        <v>20710</v>
      </c>
      <c r="B978">
        <v>30</v>
      </c>
      <c r="C978" t="s">
        <v>23</v>
      </c>
      <c r="D978">
        <v>1552.17</v>
      </c>
      <c r="E978">
        <v>15773.87</v>
      </c>
      <c r="F978">
        <v>24</v>
      </c>
      <c r="G978">
        <v>17.07</v>
      </c>
      <c r="H978">
        <v>0</v>
      </c>
      <c r="I978">
        <v>11.7</v>
      </c>
      <c r="J978">
        <v>0</v>
      </c>
      <c r="K978" t="s">
        <v>24</v>
      </c>
      <c r="L978" t="s">
        <v>25</v>
      </c>
    </row>
    <row r="979" spans="1:12" x14ac:dyDescent="0.2">
      <c r="A979">
        <v>21861</v>
      </c>
      <c r="B979">
        <v>51</v>
      </c>
      <c r="C979" t="s">
        <v>27</v>
      </c>
      <c r="D979">
        <v>3389.86</v>
      </c>
      <c r="E979">
        <v>6821.99</v>
      </c>
      <c r="F979">
        <v>48</v>
      </c>
      <c r="G979">
        <v>31.15</v>
      </c>
      <c r="H979">
        <v>3</v>
      </c>
      <c r="I979">
        <v>12.1</v>
      </c>
      <c r="J979">
        <v>0</v>
      </c>
      <c r="K979" t="s">
        <v>18</v>
      </c>
      <c r="L979" t="s">
        <v>16</v>
      </c>
    </row>
    <row r="980" spans="1:12" x14ac:dyDescent="0.2">
      <c r="A980">
        <v>25940</v>
      </c>
      <c r="B980">
        <v>24</v>
      </c>
      <c r="C980" t="s">
        <v>26</v>
      </c>
      <c r="D980">
        <v>4988.24</v>
      </c>
      <c r="E980">
        <v>25339.4</v>
      </c>
      <c r="F980">
        <v>18</v>
      </c>
      <c r="G980">
        <v>23.37</v>
      </c>
      <c r="H980">
        <v>3</v>
      </c>
      <c r="I980">
        <v>11.8</v>
      </c>
      <c r="J980">
        <v>120</v>
      </c>
      <c r="K980" t="s">
        <v>18</v>
      </c>
      <c r="L980" t="s">
        <v>22</v>
      </c>
    </row>
    <row r="981" spans="1:12" x14ac:dyDescent="0.2">
      <c r="A981">
        <v>22473</v>
      </c>
      <c r="B981">
        <v>57</v>
      </c>
      <c r="C981" t="s">
        <v>17</v>
      </c>
      <c r="D981">
        <v>5824.06</v>
      </c>
      <c r="E981">
        <v>27236.880000000001</v>
      </c>
      <c r="F981">
        <v>60</v>
      </c>
      <c r="G981">
        <v>20.45</v>
      </c>
      <c r="H981">
        <v>2</v>
      </c>
      <c r="I981">
        <v>2.2000000000000002</v>
      </c>
      <c r="J981">
        <v>0</v>
      </c>
      <c r="K981" t="s">
        <v>18</v>
      </c>
      <c r="L981" t="s">
        <v>16</v>
      </c>
    </row>
    <row r="982" spans="1:12" x14ac:dyDescent="0.2">
      <c r="A982">
        <v>24805</v>
      </c>
      <c r="B982">
        <v>41</v>
      </c>
      <c r="C982" t="s">
        <v>17</v>
      </c>
      <c r="D982">
        <v>4707.3</v>
      </c>
      <c r="E982">
        <v>25108.79</v>
      </c>
      <c r="F982">
        <v>18</v>
      </c>
      <c r="G982">
        <v>19.68</v>
      </c>
      <c r="H982">
        <v>3</v>
      </c>
      <c r="I982">
        <v>8.4</v>
      </c>
      <c r="J982">
        <v>30</v>
      </c>
      <c r="K982" t="s">
        <v>15</v>
      </c>
      <c r="L982" t="s">
        <v>16</v>
      </c>
    </row>
    <row r="983" spans="1:12" x14ac:dyDescent="0.2">
      <c r="A983">
        <v>21250</v>
      </c>
      <c r="B983">
        <v>59</v>
      </c>
      <c r="C983" t="s">
        <v>23</v>
      </c>
      <c r="D983">
        <v>5352.85</v>
      </c>
      <c r="E983">
        <v>10654.36</v>
      </c>
      <c r="F983">
        <v>24</v>
      </c>
      <c r="G983">
        <v>31.15</v>
      </c>
      <c r="H983">
        <v>0</v>
      </c>
      <c r="I983">
        <v>3</v>
      </c>
      <c r="J983">
        <v>0</v>
      </c>
      <c r="K983" t="s">
        <v>20</v>
      </c>
      <c r="L983" t="s">
        <v>14</v>
      </c>
    </row>
    <row r="984" spans="1:12" x14ac:dyDescent="0.2">
      <c r="A984">
        <v>23588</v>
      </c>
      <c r="B984">
        <v>58</v>
      </c>
      <c r="C984" t="s">
        <v>12</v>
      </c>
      <c r="D984">
        <v>10719.23</v>
      </c>
      <c r="E984">
        <v>26631.24</v>
      </c>
      <c r="F984">
        <v>6</v>
      </c>
      <c r="G984">
        <v>8.7799999999999994</v>
      </c>
      <c r="I984">
        <v>15.8</v>
      </c>
      <c r="J984">
        <v>0</v>
      </c>
      <c r="K984" t="s">
        <v>24</v>
      </c>
      <c r="L984" t="s">
        <v>25</v>
      </c>
    </row>
    <row r="985" spans="1:12" x14ac:dyDescent="0.2">
      <c r="A985">
        <v>20704</v>
      </c>
      <c r="B985">
        <v>52</v>
      </c>
      <c r="C985" t="s">
        <v>12</v>
      </c>
      <c r="D985">
        <v>4354.33</v>
      </c>
      <c r="E985">
        <v>7254.84</v>
      </c>
      <c r="F985">
        <v>18</v>
      </c>
      <c r="G985">
        <v>20.67</v>
      </c>
      <c r="H985">
        <v>4</v>
      </c>
      <c r="I985">
        <v>11.1</v>
      </c>
      <c r="K985" t="s">
        <v>20</v>
      </c>
      <c r="L985" t="s">
        <v>14</v>
      </c>
    </row>
    <row r="986" spans="1:12" x14ac:dyDescent="0.2">
      <c r="A986">
        <v>20772</v>
      </c>
      <c r="B986">
        <v>51</v>
      </c>
      <c r="C986" t="s">
        <v>17</v>
      </c>
      <c r="D986">
        <v>4396.3500000000004</v>
      </c>
      <c r="E986">
        <v>11491.32</v>
      </c>
      <c r="F986">
        <v>48</v>
      </c>
      <c r="G986">
        <v>19.84</v>
      </c>
      <c r="H986">
        <v>2</v>
      </c>
      <c r="I986">
        <v>6.9</v>
      </c>
      <c r="J986">
        <v>0</v>
      </c>
      <c r="K986" t="s">
        <v>15</v>
      </c>
      <c r="L986" t="s">
        <v>16</v>
      </c>
    </row>
    <row r="987" spans="1:12" x14ac:dyDescent="0.2">
      <c r="A987">
        <v>23634</v>
      </c>
      <c r="B987">
        <v>33</v>
      </c>
      <c r="C987" t="s">
        <v>23</v>
      </c>
      <c r="D987">
        <v>5176.99</v>
      </c>
      <c r="E987">
        <v>25855.31</v>
      </c>
      <c r="F987">
        <v>18</v>
      </c>
      <c r="G987">
        <v>12.04</v>
      </c>
      <c r="H987">
        <v>0</v>
      </c>
      <c r="I987">
        <v>4.8</v>
      </c>
      <c r="J987">
        <v>0</v>
      </c>
      <c r="K987" t="s">
        <v>20</v>
      </c>
      <c r="L987" t="s">
        <v>22</v>
      </c>
    </row>
    <row r="988" spans="1:12" x14ac:dyDescent="0.2">
      <c r="A988">
        <v>20647</v>
      </c>
      <c r="B988">
        <v>25</v>
      </c>
      <c r="C988" t="s">
        <v>26</v>
      </c>
      <c r="D988">
        <v>6313.67</v>
      </c>
      <c r="E988">
        <v>35801.43</v>
      </c>
      <c r="F988">
        <v>36</v>
      </c>
      <c r="G988">
        <v>24.74</v>
      </c>
      <c r="H988">
        <v>1</v>
      </c>
      <c r="I988">
        <v>8.1999999999999993</v>
      </c>
      <c r="J988">
        <v>0</v>
      </c>
      <c r="K988" t="s">
        <v>15</v>
      </c>
      <c r="L988" t="s">
        <v>16</v>
      </c>
    </row>
    <row r="989" spans="1:12" x14ac:dyDescent="0.2">
      <c r="A989">
        <v>24183</v>
      </c>
      <c r="B989">
        <v>48</v>
      </c>
      <c r="C989" t="s">
        <v>27</v>
      </c>
      <c r="D989">
        <v>6246.74</v>
      </c>
      <c r="E989">
        <v>8437.42</v>
      </c>
      <c r="F989">
        <v>18</v>
      </c>
      <c r="G989">
        <v>19.91</v>
      </c>
      <c r="H989">
        <v>4</v>
      </c>
      <c r="I989">
        <v>12.6</v>
      </c>
      <c r="J989">
        <v>90</v>
      </c>
      <c r="K989" t="s">
        <v>18</v>
      </c>
      <c r="L989" t="s">
        <v>25</v>
      </c>
    </row>
    <row r="990" spans="1:12" x14ac:dyDescent="0.2">
      <c r="A990">
        <v>21502</v>
      </c>
      <c r="B990">
        <v>25</v>
      </c>
      <c r="C990" t="s">
        <v>26</v>
      </c>
      <c r="D990">
        <v>9232.68</v>
      </c>
      <c r="E990">
        <v>23234.95</v>
      </c>
      <c r="F990">
        <v>12</v>
      </c>
      <c r="G990">
        <v>35.68</v>
      </c>
      <c r="H990">
        <v>1</v>
      </c>
      <c r="J990">
        <v>0</v>
      </c>
      <c r="K990" t="s">
        <v>18</v>
      </c>
      <c r="L990" t="s">
        <v>25</v>
      </c>
    </row>
    <row r="991" spans="1:12" x14ac:dyDescent="0.2">
      <c r="A991">
        <v>25832</v>
      </c>
      <c r="B991">
        <v>41</v>
      </c>
      <c r="C991" t="s">
        <v>17</v>
      </c>
      <c r="D991">
        <v>2856.52</v>
      </c>
      <c r="E991">
        <v>14426.97</v>
      </c>
      <c r="F991">
        <v>12</v>
      </c>
      <c r="G991">
        <v>17.829999999999998</v>
      </c>
      <c r="H991">
        <v>4</v>
      </c>
      <c r="I991">
        <v>11.1</v>
      </c>
      <c r="J991">
        <v>120</v>
      </c>
      <c r="K991" t="s">
        <v>15</v>
      </c>
      <c r="L991" t="s">
        <v>14</v>
      </c>
    </row>
    <row r="992" spans="1:12" x14ac:dyDescent="0.2">
      <c r="A992">
        <v>24686</v>
      </c>
      <c r="B992">
        <v>18</v>
      </c>
      <c r="C992" t="s">
        <v>17</v>
      </c>
      <c r="D992">
        <v>6748.15</v>
      </c>
      <c r="E992">
        <v>15886.63</v>
      </c>
      <c r="F992">
        <v>36</v>
      </c>
      <c r="G992">
        <v>27.01</v>
      </c>
      <c r="I992">
        <v>7.2</v>
      </c>
      <c r="J992">
        <v>90</v>
      </c>
      <c r="K992" t="s">
        <v>15</v>
      </c>
      <c r="L992" t="s">
        <v>16</v>
      </c>
    </row>
    <row r="993" spans="1:12" x14ac:dyDescent="0.2">
      <c r="A993">
        <v>21974</v>
      </c>
      <c r="B993">
        <v>25</v>
      </c>
      <c r="C993" t="s">
        <v>27</v>
      </c>
      <c r="D993">
        <v>5642.99</v>
      </c>
      <c r="E993">
        <v>18687.97</v>
      </c>
      <c r="F993">
        <v>48</v>
      </c>
      <c r="G993">
        <v>15.39</v>
      </c>
      <c r="I993">
        <v>12.6</v>
      </c>
      <c r="K993" t="s">
        <v>18</v>
      </c>
      <c r="L993" t="s">
        <v>19</v>
      </c>
    </row>
    <row r="994" spans="1:12" x14ac:dyDescent="0.2">
      <c r="A994">
        <v>22151</v>
      </c>
      <c r="B994">
        <v>59</v>
      </c>
      <c r="C994" t="s">
        <v>23</v>
      </c>
      <c r="D994">
        <v>6929.49</v>
      </c>
      <c r="E994">
        <v>15482.2</v>
      </c>
      <c r="F994">
        <v>60</v>
      </c>
      <c r="G994">
        <v>24.19</v>
      </c>
      <c r="I994">
        <v>14.2</v>
      </c>
      <c r="J994">
        <v>15</v>
      </c>
      <c r="K994" t="s">
        <v>24</v>
      </c>
      <c r="L994" t="s">
        <v>22</v>
      </c>
    </row>
    <row r="995" spans="1:12" x14ac:dyDescent="0.2">
      <c r="A995">
        <v>23269</v>
      </c>
      <c r="B995">
        <v>32</v>
      </c>
      <c r="C995" t="s">
        <v>23</v>
      </c>
      <c r="D995">
        <v>2529.34</v>
      </c>
      <c r="E995">
        <v>27942.76</v>
      </c>
      <c r="F995">
        <v>60</v>
      </c>
      <c r="G995">
        <v>27.86</v>
      </c>
      <c r="H995">
        <v>0</v>
      </c>
      <c r="I995">
        <v>2.2000000000000002</v>
      </c>
      <c r="J995">
        <v>90</v>
      </c>
      <c r="K995" t="s">
        <v>18</v>
      </c>
      <c r="L995" t="s">
        <v>22</v>
      </c>
    </row>
    <row r="996" spans="1:12" x14ac:dyDescent="0.2">
      <c r="A996">
        <v>22106</v>
      </c>
      <c r="B996">
        <v>64</v>
      </c>
      <c r="C996" t="s">
        <v>23</v>
      </c>
      <c r="D996">
        <v>4053.44</v>
      </c>
      <c r="E996">
        <v>20131.11</v>
      </c>
      <c r="F996">
        <v>12</v>
      </c>
      <c r="G996">
        <v>21.97</v>
      </c>
      <c r="H996">
        <v>3</v>
      </c>
      <c r="I996">
        <v>3.5</v>
      </c>
      <c r="J996">
        <v>0</v>
      </c>
      <c r="K996" t="s">
        <v>13</v>
      </c>
      <c r="L996" t="s">
        <v>22</v>
      </c>
    </row>
    <row r="997" spans="1:12" x14ac:dyDescent="0.2">
      <c r="A997">
        <v>22257</v>
      </c>
      <c r="B997">
        <v>29</v>
      </c>
      <c r="C997" t="s">
        <v>21</v>
      </c>
      <c r="D997">
        <v>-801.42</v>
      </c>
      <c r="E997">
        <v>22872.42</v>
      </c>
      <c r="F997">
        <v>60</v>
      </c>
      <c r="G997">
        <v>15.66</v>
      </c>
      <c r="H997">
        <v>1</v>
      </c>
      <c r="I997">
        <v>3.7</v>
      </c>
      <c r="J997">
        <v>60</v>
      </c>
      <c r="K997" t="s">
        <v>20</v>
      </c>
      <c r="L997" t="s">
        <v>14</v>
      </c>
    </row>
    <row r="998" spans="1:12" x14ac:dyDescent="0.2">
      <c r="A998">
        <v>25157</v>
      </c>
      <c r="B998">
        <v>24</v>
      </c>
      <c r="C998" t="s">
        <v>21</v>
      </c>
      <c r="D998">
        <v>8783.17</v>
      </c>
      <c r="E998">
        <v>13459.94</v>
      </c>
      <c r="F998">
        <v>6</v>
      </c>
      <c r="G998">
        <v>24.84</v>
      </c>
      <c r="H998">
        <v>2</v>
      </c>
      <c r="I998">
        <v>8.4</v>
      </c>
      <c r="K998" t="s">
        <v>15</v>
      </c>
      <c r="L998" t="s">
        <v>19</v>
      </c>
    </row>
    <row r="999" spans="1:12" x14ac:dyDescent="0.2">
      <c r="A999">
        <v>23148</v>
      </c>
      <c r="B999">
        <v>51</v>
      </c>
      <c r="C999" t="s">
        <v>23</v>
      </c>
      <c r="D999">
        <v>7474.39</v>
      </c>
      <c r="E999">
        <v>19962.580000000002</v>
      </c>
      <c r="F999">
        <v>60</v>
      </c>
      <c r="G999">
        <v>20.48</v>
      </c>
      <c r="I999">
        <v>3.1</v>
      </c>
      <c r="J999">
        <v>0</v>
      </c>
      <c r="K999" t="s">
        <v>20</v>
      </c>
      <c r="L999" t="s">
        <v>19</v>
      </c>
    </row>
    <row r="1000" spans="1:12" x14ac:dyDescent="0.2">
      <c r="A1000">
        <v>20212</v>
      </c>
      <c r="B1000">
        <v>59</v>
      </c>
      <c r="C1000" t="s">
        <v>12</v>
      </c>
      <c r="D1000">
        <v>1688</v>
      </c>
      <c r="E1000">
        <v>27122.09</v>
      </c>
      <c r="F1000">
        <v>60</v>
      </c>
      <c r="G1000">
        <v>24.89</v>
      </c>
      <c r="H1000">
        <v>3</v>
      </c>
      <c r="I1000">
        <v>9.6</v>
      </c>
      <c r="J1000">
        <v>0</v>
      </c>
      <c r="K1000" t="s">
        <v>24</v>
      </c>
      <c r="L1000" t="s">
        <v>22</v>
      </c>
    </row>
    <row r="1001" spans="1:12" x14ac:dyDescent="0.2">
      <c r="A1001">
        <v>25833</v>
      </c>
      <c r="B1001">
        <v>28</v>
      </c>
      <c r="C1001" t="s">
        <v>26</v>
      </c>
      <c r="D1001">
        <v>3122</v>
      </c>
      <c r="E1001">
        <v>34142.589999999997</v>
      </c>
      <c r="F1001">
        <v>12</v>
      </c>
      <c r="G1001">
        <v>32.75</v>
      </c>
      <c r="H1001">
        <v>0</v>
      </c>
      <c r="I1001">
        <v>1.1000000000000001</v>
      </c>
      <c r="J1001">
        <v>90</v>
      </c>
      <c r="K1001" t="s">
        <v>18</v>
      </c>
      <c r="L1001" t="s">
        <v>19</v>
      </c>
    </row>
    <row r="1002" spans="1:12" x14ac:dyDescent="0.2">
      <c r="A1002">
        <v>21856</v>
      </c>
      <c r="B1002">
        <v>50</v>
      </c>
      <c r="C1002" t="s">
        <v>12</v>
      </c>
      <c r="D1002">
        <v>5777.73</v>
      </c>
      <c r="E1002">
        <v>9395</v>
      </c>
      <c r="F1002">
        <v>18</v>
      </c>
      <c r="G1002">
        <v>13.66</v>
      </c>
      <c r="H1002">
        <v>3</v>
      </c>
      <c r="I1002">
        <v>10</v>
      </c>
      <c r="J1002">
        <v>60</v>
      </c>
      <c r="K1002" t="s">
        <v>15</v>
      </c>
      <c r="L1002" t="s">
        <v>14</v>
      </c>
    </row>
    <row r="1003" spans="1:12" x14ac:dyDescent="0.2">
      <c r="A1003">
        <v>24963</v>
      </c>
      <c r="B1003">
        <v>38</v>
      </c>
      <c r="C1003" t="s">
        <v>21</v>
      </c>
      <c r="D1003">
        <v>-1500</v>
      </c>
      <c r="E1003">
        <v>11786.92</v>
      </c>
      <c r="F1003">
        <v>60</v>
      </c>
      <c r="G1003">
        <v>23.97</v>
      </c>
      <c r="H1003">
        <v>1</v>
      </c>
      <c r="J1003">
        <v>15</v>
      </c>
      <c r="K1003" t="s">
        <v>18</v>
      </c>
      <c r="L1003" t="s">
        <v>16</v>
      </c>
    </row>
    <row r="1004" spans="1:12" x14ac:dyDescent="0.2">
      <c r="A1004">
        <v>21533</v>
      </c>
      <c r="B1004">
        <v>57</v>
      </c>
      <c r="C1004" t="s">
        <v>26</v>
      </c>
      <c r="D1004">
        <v>6330.95</v>
      </c>
      <c r="E1004">
        <v>14039.72</v>
      </c>
      <c r="F1004">
        <v>12</v>
      </c>
      <c r="G1004">
        <v>22.92</v>
      </c>
      <c r="I1004">
        <v>8</v>
      </c>
      <c r="J1004">
        <v>120</v>
      </c>
      <c r="K1004" t="s">
        <v>13</v>
      </c>
      <c r="L1004" t="s">
        <v>14</v>
      </c>
    </row>
    <row r="1005" spans="1:12" x14ac:dyDescent="0.2">
      <c r="A1005">
        <v>25456</v>
      </c>
      <c r="B1005">
        <v>63</v>
      </c>
      <c r="C1005" t="s">
        <v>23</v>
      </c>
      <c r="D1005">
        <v>4291.6899999999996</v>
      </c>
      <c r="E1005">
        <v>9132.1299999999992</v>
      </c>
      <c r="F1005">
        <v>12</v>
      </c>
      <c r="G1005">
        <v>21.16</v>
      </c>
      <c r="H1005">
        <v>1</v>
      </c>
      <c r="I1005">
        <v>9</v>
      </c>
      <c r="J1005">
        <v>0</v>
      </c>
      <c r="K1005" t="s">
        <v>18</v>
      </c>
      <c r="L1005" t="s">
        <v>19</v>
      </c>
    </row>
    <row r="1006" spans="1:12" x14ac:dyDescent="0.2">
      <c r="A1006">
        <v>25737</v>
      </c>
      <c r="B1006">
        <v>39</v>
      </c>
      <c r="C1006" t="s">
        <v>17</v>
      </c>
      <c r="D1006">
        <v>8007.56</v>
      </c>
      <c r="E1006">
        <v>26029.25</v>
      </c>
      <c r="F1006">
        <v>12</v>
      </c>
      <c r="G1006">
        <v>23.03</v>
      </c>
      <c r="H1006">
        <v>4</v>
      </c>
      <c r="I1006">
        <v>8.3000000000000007</v>
      </c>
      <c r="J1006">
        <v>60</v>
      </c>
      <c r="K1006" t="s">
        <v>13</v>
      </c>
      <c r="L1006" t="s">
        <v>19</v>
      </c>
    </row>
    <row r="1007" spans="1:12" x14ac:dyDescent="0.2">
      <c r="A1007">
        <v>23995</v>
      </c>
      <c r="B1007">
        <v>30</v>
      </c>
      <c r="C1007" t="s">
        <v>12</v>
      </c>
      <c r="D1007">
        <v>4960.6499999999996</v>
      </c>
      <c r="E1007">
        <v>15771.32</v>
      </c>
      <c r="F1007">
        <v>36</v>
      </c>
      <c r="G1007">
        <v>10.039999999999999</v>
      </c>
      <c r="H1007">
        <v>1</v>
      </c>
      <c r="I1007">
        <v>-0.6</v>
      </c>
      <c r="K1007" t="s">
        <v>18</v>
      </c>
      <c r="L1007" t="s">
        <v>22</v>
      </c>
    </row>
    <row r="1008" spans="1:12" x14ac:dyDescent="0.2">
      <c r="A1008">
        <v>24606</v>
      </c>
      <c r="B1008">
        <v>39</v>
      </c>
      <c r="C1008" t="s">
        <v>21</v>
      </c>
      <c r="D1008">
        <v>5946.79</v>
      </c>
      <c r="E1008">
        <v>32497.58</v>
      </c>
      <c r="F1008">
        <v>24</v>
      </c>
      <c r="G1008">
        <v>14.62</v>
      </c>
      <c r="H1008">
        <v>3</v>
      </c>
      <c r="I1008">
        <v>4.5</v>
      </c>
      <c r="K1008" t="s">
        <v>18</v>
      </c>
      <c r="L1008" t="s">
        <v>22</v>
      </c>
    </row>
    <row r="1009" spans="1:12" x14ac:dyDescent="0.2">
      <c r="A1009">
        <v>24762</v>
      </c>
      <c r="B1009">
        <v>21</v>
      </c>
      <c r="C1009" t="s">
        <v>26</v>
      </c>
      <c r="D1009">
        <v>5271.53</v>
      </c>
      <c r="E1009">
        <v>8436.74</v>
      </c>
      <c r="F1009">
        <v>48</v>
      </c>
      <c r="G1009">
        <v>18.54</v>
      </c>
      <c r="H1009">
        <v>2</v>
      </c>
      <c r="I1009">
        <v>3.9</v>
      </c>
      <c r="J1009">
        <v>60</v>
      </c>
      <c r="K1009" t="s">
        <v>18</v>
      </c>
      <c r="L1009" t="s">
        <v>25</v>
      </c>
    </row>
    <row r="1010" spans="1:12" x14ac:dyDescent="0.2">
      <c r="A1010">
        <v>22525</v>
      </c>
      <c r="B1010">
        <v>52</v>
      </c>
      <c r="C1010" t="s">
        <v>17</v>
      </c>
      <c r="D1010">
        <v>6485.1</v>
      </c>
      <c r="E1010">
        <v>21070.39</v>
      </c>
      <c r="F1010">
        <v>60</v>
      </c>
      <c r="G1010">
        <v>28.52</v>
      </c>
      <c r="H1010">
        <v>4</v>
      </c>
      <c r="I1010">
        <v>11.7</v>
      </c>
      <c r="J1010">
        <v>30</v>
      </c>
      <c r="K1010" t="s">
        <v>18</v>
      </c>
      <c r="L1010" t="s">
        <v>14</v>
      </c>
    </row>
    <row r="1011" spans="1:12" x14ac:dyDescent="0.2">
      <c r="A1011">
        <v>20674</v>
      </c>
      <c r="B1011">
        <v>54</v>
      </c>
      <c r="C1011" t="s">
        <v>26</v>
      </c>
      <c r="D1011">
        <v>5145.01</v>
      </c>
      <c r="E1011">
        <v>30290.1</v>
      </c>
      <c r="F1011">
        <v>18</v>
      </c>
      <c r="G1011">
        <v>16.760000000000002</v>
      </c>
      <c r="H1011">
        <v>4</v>
      </c>
      <c r="I1011">
        <v>10.7</v>
      </c>
      <c r="J1011">
        <v>15</v>
      </c>
      <c r="K1011" t="s">
        <v>20</v>
      </c>
      <c r="L1011" t="s">
        <v>25</v>
      </c>
    </row>
    <row r="1012" spans="1:12" x14ac:dyDescent="0.2">
      <c r="A1012">
        <v>20108</v>
      </c>
      <c r="B1012">
        <v>62</v>
      </c>
      <c r="C1012" t="s">
        <v>26</v>
      </c>
      <c r="D1012">
        <v>8970.64</v>
      </c>
      <c r="E1012">
        <v>15681.58</v>
      </c>
      <c r="F1012">
        <v>60</v>
      </c>
      <c r="G1012">
        <v>18</v>
      </c>
      <c r="H1012">
        <v>1</v>
      </c>
      <c r="I1012">
        <v>14.3</v>
      </c>
      <c r="K1012" t="s">
        <v>15</v>
      </c>
      <c r="L1012" t="s">
        <v>14</v>
      </c>
    </row>
    <row r="1013" spans="1:12" x14ac:dyDescent="0.2">
      <c r="A1013">
        <v>22880</v>
      </c>
      <c r="B1013">
        <v>35</v>
      </c>
      <c r="C1013" t="s">
        <v>27</v>
      </c>
      <c r="D1013">
        <v>2495.63</v>
      </c>
      <c r="E1013">
        <v>18751.82</v>
      </c>
      <c r="F1013">
        <v>60</v>
      </c>
      <c r="G1013">
        <v>19.95</v>
      </c>
      <c r="H1013">
        <v>3</v>
      </c>
      <c r="I1013">
        <v>3.5</v>
      </c>
      <c r="J1013">
        <v>0</v>
      </c>
      <c r="K1013" t="s">
        <v>20</v>
      </c>
      <c r="L1013" t="s">
        <v>14</v>
      </c>
    </row>
    <row r="1014" spans="1:12" x14ac:dyDescent="0.2">
      <c r="A1014">
        <v>21879</v>
      </c>
      <c r="B1014">
        <v>62</v>
      </c>
      <c r="C1014" t="s">
        <v>12</v>
      </c>
      <c r="D1014">
        <v>3570.59</v>
      </c>
      <c r="E1014">
        <v>31904.23</v>
      </c>
      <c r="F1014">
        <v>24</v>
      </c>
      <c r="G1014">
        <v>12.65</v>
      </c>
      <c r="H1014">
        <v>2</v>
      </c>
      <c r="I1014">
        <v>4</v>
      </c>
      <c r="K1014" t="s">
        <v>20</v>
      </c>
      <c r="L1014" t="s">
        <v>16</v>
      </c>
    </row>
    <row r="1015" spans="1:12" x14ac:dyDescent="0.2">
      <c r="A1015">
        <v>21050</v>
      </c>
      <c r="B1015">
        <v>26</v>
      </c>
      <c r="C1015" t="s">
        <v>26</v>
      </c>
      <c r="D1015">
        <v>7493.35</v>
      </c>
      <c r="E1015">
        <v>9405.7199999999993</v>
      </c>
      <c r="F1015">
        <v>48</v>
      </c>
      <c r="G1015">
        <v>17.989999999999998</v>
      </c>
      <c r="H1015">
        <v>3</v>
      </c>
      <c r="I1015">
        <v>8.1999999999999993</v>
      </c>
      <c r="J1015">
        <v>120</v>
      </c>
      <c r="K1015" t="s">
        <v>15</v>
      </c>
      <c r="L1015" t="s">
        <v>25</v>
      </c>
    </row>
    <row r="1016" spans="1:12" x14ac:dyDescent="0.2">
      <c r="A1016">
        <v>20810</v>
      </c>
      <c r="B1016">
        <v>33</v>
      </c>
      <c r="C1016" t="s">
        <v>23</v>
      </c>
      <c r="D1016">
        <v>1915.53</v>
      </c>
      <c r="E1016">
        <v>13276.9</v>
      </c>
      <c r="F1016">
        <v>36</v>
      </c>
      <c r="G1016">
        <v>15.75</v>
      </c>
      <c r="H1016">
        <v>3</v>
      </c>
      <c r="I1016">
        <v>12.8</v>
      </c>
      <c r="J1016">
        <v>0</v>
      </c>
      <c r="K1016" t="s">
        <v>13</v>
      </c>
      <c r="L1016" t="s">
        <v>14</v>
      </c>
    </row>
    <row r="1017" spans="1:12" x14ac:dyDescent="0.2">
      <c r="A1017">
        <v>21260</v>
      </c>
      <c r="B1017">
        <v>31</v>
      </c>
      <c r="C1017" t="s">
        <v>26</v>
      </c>
      <c r="D1017">
        <v>2856</v>
      </c>
      <c r="E1017">
        <v>21230.62</v>
      </c>
      <c r="F1017">
        <v>12</v>
      </c>
      <c r="G1017">
        <v>8.8699999999999992</v>
      </c>
      <c r="I1017">
        <v>8.6999999999999993</v>
      </c>
      <c r="J1017">
        <v>0</v>
      </c>
      <c r="K1017" t="s">
        <v>24</v>
      </c>
      <c r="L1017" t="s">
        <v>19</v>
      </c>
    </row>
    <row r="1018" spans="1:12" x14ac:dyDescent="0.2">
      <c r="A1018">
        <v>24488</v>
      </c>
      <c r="B1018">
        <v>49</v>
      </c>
      <c r="C1018" t="s">
        <v>27</v>
      </c>
      <c r="D1018">
        <v>1711.34</v>
      </c>
      <c r="E1018">
        <v>29420.01</v>
      </c>
      <c r="F1018">
        <v>36</v>
      </c>
      <c r="G1018">
        <v>7.09</v>
      </c>
      <c r="I1018">
        <v>2.1</v>
      </c>
      <c r="J1018">
        <v>90</v>
      </c>
      <c r="K1018" t="s">
        <v>24</v>
      </c>
      <c r="L1018" t="s">
        <v>25</v>
      </c>
    </row>
    <row r="1019" spans="1:12" x14ac:dyDescent="0.2">
      <c r="A1019">
        <v>21248</v>
      </c>
      <c r="B1019">
        <v>53</v>
      </c>
      <c r="C1019" t="s">
        <v>21</v>
      </c>
      <c r="D1019">
        <v>5062.5200000000004</v>
      </c>
      <c r="E1019">
        <v>13993.3</v>
      </c>
      <c r="F1019">
        <v>24</v>
      </c>
      <c r="G1019">
        <v>18.170000000000002</v>
      </c>
      <c r="H1019">
        <v>2</v>
      </c>
      <c r="I1019">
        <v>10</v>
      </c>
      <c r="J1019">
        <v>0</v>
      </c>
      <c r="K1019" t="s">
        <v>20</v>
      </c>
      <c r="L1019" t="s">
        <v>19</v>
      </c>
    </row>
    <row r="1020" spans="1:12" x14ac:dyDescent="0.2">
      <c r="A1020">
        <v>24158</v>
      </c>
      <c r="B1020">
        <v>26</v>
      </c>
      <c r="C1020" t="s">
        <v>27</v>
      </c>
      <c r="D1020">
        <v>5224.3500000000004</v>
      </c>
      <c r="E1020">
        <v>30899.69</v>
      </c>
      <c r="F1020">
        <v>24</v>
      </c>
      <c r="G1020">
        <v>20.149999999999999</v>
      </c>
      <c r="H1020">
        <v>4</v>
      </c>
      <c r="I1020">
        <v>12.3</v>
      </c>
      <c r="J1020">
        <v>0</v>
      </c>
      <c r="K1020" t="s">
        <v>15</v>
      </c>
      <c r="L1020" t="s">
        <v>14</v>
      </c>
    </row>
    <row r="1021" spans="1:12" x14ac:dyDescent="0.2">
      <c r="A1021">
        <v>22123</v>
      </c>
      <c r="B1021">
        <v>57</v>
      </c>
      <c r="C1021" t="s">
        <v>21</v>
      </c>
      <c r="D1021">
        <v>2306.5300000000002</v>
      </c>
      <c r="E1021">
        <v>20434.849999999999</v>
      </c>
      <c r="F1021">
        <v>60</v>
      </c>
      <c r="G1021">
        <v>18.04</v>
      </c>
      <c r="H1021">
        <v>0</v>
      </c>
      <c r="I1021">
        <v>11.9</v>
      </c>
      <c r="J1021">
        <v>90</v>
      </c>
      <c r="K1021" t="s">
        <v>20</v>
      </c>
      <c r="L1021" t="s">
        <v>16</v>
      </c>
    </row>
    <row r="1022" spans="1:12" x14ac:dyDescent="0.2">
      <c r="A1022">
        <v>22000</v>
      </c>
      <c r="B1022">
        <v>18</v>
      </c>
      <c r="C1022" t="s">
        <v>17</v>
      </c>
      <c r="D1022">
        <v>2955.65</v>
      </c>
      <c r="E1022">
        <v>6649.02</v>
      </c>
      <c r="F1022">
        <v>24</v>
      </c>
      <c r="G1022">
        <v>14.23</v>
      </c>
      <c r="H1022">
        <v>1</v>
      </c>
      <c r="I1022">
        <v>11.1</v>
      </c>
      <c r="J1022">
        <v>15</v>
      </c>
      <c r="K1022" t="s">
        <v>24</v>
      </c>
      <c r="L1022" t="s">
        <v>25</v>
      </c>
    </row>
    <row r="1023" spans="1:12" x14ac:dyDescent="0.2">
      <c r="A1023">
        <v>24667</v>
      </c>
      <c r="B1023">
        <v>49</v>
      </c>
      <c r="C1023" t="s">
        <v>17</v>
      </c>
      <c r="D1023">
        <v>6207.18</v>
      </c>
      <c r="E1023">
        <v>4237.07</v>
      </c>
      <c r="F1023">
        <v>36</v>
      </c>
      <c r="G1023">
        <v>22.85</v>
      </c>
      <c r="H1023">
        <v>3</v>
      </c>
      <c r="I1023">
        <v>3.6</v>
      </c>
      <c r="J1023">
        <v>60</v>
      </c>
      <c r="K1023" t="s">
        <v>24</v>
      </c>
      <c r="L1023" t="s">
        <v>25</v>
      </c>
    </row>
    <row r="1024" spans="1:12" x14ac:dyDescent="0.2">
      <c r="A1024">
        <v>25872</v>
      </c>
      <c r="B1024">
        <v>54</v>
      </c>
      <c r="C1024" t="s">
        <v>23</v>
      </c>
      <c r="D1024">
        <v>9485.02</v>
      </c>
      <c r="E1024">
        <v>31707.79</v>
      </c>
      <c r="F1024">
        <v>24</v>
      </c>
      <c r="G1024">
        <v>10.84</v>
      </c>
      <c r="H1024">
        <v>0</v>
      </c>
      <c r="I1024">
        <v>7.7</v>
      </c>
      <c r="J1024">
        <v>15</v>
      </c>
      <c r="K1024" t="s">
        <v>18</v>
      </c>
      <c r="L1024" t="s">
        <v>16</v>
      </c>
    </row>
    <row r="1025" spans="1:12" x14ac:dyDescent="0.2">
      <c r="A1025">
        <v>25664</v>
      </c>
      <c r="B1025">
        <v>52</v>
      </c>
      <c r="C1025" t="s">
        <v>12</v>
      </c>
      <c r="D1025">
        <v>6806.32</v>
      </c>
      <c r="E1025">
        <v>29692.58</v>
      </c>
      <c r="F1025">
        <v>18</v>
      </c>
      <c r="G1025">
        <v>19.11</v>
      </c>
      <c r="I1025">
        <v>13.3</v>
      </c>
      <c r="J1025">
        <v>15</v>
      </c>
      <c r="K1025" t="s">
        <v>20</v>
      </c>
      <c r="L1025" t="s">
        <v>16</v>
      </c>
    </row>
    <row r="1026" spans="1:12" x14ac:dyDescent="0.2">
      <c r="A1026">
        <v>20895</v>
      </c>
      <c r="B1026">
        <v>39</v>
      </c>
      <c r="C1026" t="s">
        <v>27</v>
      </c>
      <c r="D1026">
        <v>2980.7</v>
      </c>
      <c r="E1026">
        <v>6691.99</v>
      </c>
      <c r="F1026">
        <v>12</v>
      </c>
      <c r="G1026">
        <v>17.350000000000001</v>
      </c>
      <c r="I1026">
        <v>0.4</v>
      </c>
      <c r="J1026">
        <v>90</v>
      </c>
      <c r="K1026" t="s">
        <v>20</v>
      </c>
      <c r="L1026" t="s">
        <v>25</v>
      </c>
    </row>
    <row r="1027" spans="1:12" x14ac:dyDescent="0.2">
      <c r="A1027">
        <v>25786</v>
      </c>
      <c r="B1027">
        <v>24</v>
      </c>
      <c r="C1027" t="s">
        <v>21</v>
      </c>
      <c r="D1027">
        <v>2603.67</v>
      </c>
      <c r="E1027">
        <v>26956.89</v>
      </c>
      <c r="F1027">
        <v>18</v>
      </c>
      <c r="G1027">
        <v>16.11</v>
      </c>
      <c r="H1027">
        <v>1</v>
      </c>
      <c r="I1027">
        <v>6.8</v>
      </c>
      <c r="J1027">
        <v>15</v>
      </c>
      <c r="K1027" t="s">
        <v>15</v>
      </c>
      <c r="L1027" t="s">
        <v>14</v>
      </c>
    </row>
    <row r="1028" spans="1:12" x14ac:dyDescent="0.2">
      <c r="A1028">
        <v>24695</v>
      </c>
      <c r="B1028">
        <v>37</v>
      </c>
      <c r="C1028" t="s">
        <v>26</v>
      </c>
      <c r="D1028">
        <v>4188.76</v>
      </c>
      <c r="E1028">
        <v>25093.040000000001</v>
      </c>
      <c r="F1028">
        <v>36</v>
      </c>
      <c r="G1028">
        <v>22.98</v>
      </c>
      <c r="H1028">
        <v>2</v>
      </c>
      <c r="I1028">
        <v>3.3</v>
      </c>
      <c r="J1028">
        <v>15</v>
      </c>
      <c r="K1028" t="s">
        <v>18</v>
      </c>
      <c r="L1028" t="s">
        <v>22</v>
      </c>
    </row>
    <row r="1029" spans="1:12" x14ac:dyDescent="0.2">
      <c r="A1029">
        <v>23877</v>
      </c>
      <c r="B1029">
        <v>42</v>
      </c>
      <c r="C1029" t="s">
        <v>12</v>
      </c>
      <c r="D1029">
        <v>4570.2700000000004</v>
      </c>
      <c r="E1029">
        <v>23798.18</v>
      </c>
      <c r="F1029">
        <v>24</v>
      </c>
      <c r="G1029">
        <v>28.28</v>
      </c>
      <c r="H1029">
        <v>1</v>
      </c>
      <c r="I1029">
        <v>9</v>
      </c>
      <c r="J1029">
        <v>15</v>
      </c>
      <c r="K1029" t="s">
        <v>24</v>
      </c>
      <c r="L1029" t="s">
        <v>25</v>
      </c>
    </row>
    <row r="1030" spans="1:12" x14ac:dyDescent="0.2">
      <c r="A1030">
        <v>22391</v>
      </c>
      <c r="B1030">
        <v>62</v>
      </c>
      <c r="C1030" t="s">
        <v>27</v>
      </c>
      <c r="D1030">
        <v>5635.01</v>
      </c>
      <c r="E1030">
        <v>24044.73</v>
      </c>
      <c r="F1030">
        <v>36</v>
      </c>
      <c r="G1030">
        <v>14.19</v>
      </c>
      <c r="H1030">
        <v>4</v>
      </c>
      <c r="I1030">
        <v>3.1</v>
      </c>
      <c r="J1030">
        <v>0</v>
      </c>
      <c r="K1030" t="s">
        <v>18</v>
      </c>
      <c r="L1030" t="s">
        <v>19</v>
      </c>
    </row>
    <row r="1031" spans="1:12" x14ac:dyDescent="0.2">
      <c r="A1031">
        <v>24704</v>
      </c>
      <c r="B1031">
        <v>49</v>
      </c>
      <c r="C1031" t="s">
        <v>21</v>
      </c>
      <c r="D1031">
        <v>4475.24</v>
      </c>
      <c r="E1031">
        <v>30300.76</v>
      </c>
      <c r="F1031">
        <v>18</v>
      </c>
      <c r="G1031">
        <v>13.15</v>
      </c>
      <c r="I1031">
        <v>5.3</v>
      </c>
      <c r="J1031">
        <v>0</v>
      </c>
      <c r="K1031" t="s">
        <v>18</v>
      </c>
      <c r="L1031" t="s">
        <v>19</v>
      </c>
    </row>
    <row r="1032" spans="1:12" x14ac:dyDescent="0.2">
      <c r="A1032">
        <v>21631</v>
      </c>
      <c r="B1032">
        <v>46</v>
      </c>
      <c r="C1032" t="s">
        <v>26</v>
      </c>
      <c r="D1032">
        <v>2248.9</v>
      </c>
      <c r="F1032">
        <v>60</v>
      </c>
      <c r="G1032">
        <v>18.39</v>
      </c>
      <c r="H1032">
        <v>1</v>
      </c>
      <c r="I1032">
        <v>2.7</v>
      </c>
      <c r="K1032" t="s">
        <v>13</v>
      </c>
      <c r="L1032" t="s">
        <v>22</v>
      </c>
    </row>
    <row r="1033" spans="1:12" x14ac:dyDescent="0.2">
      <c r="A1033">
        <v>23013</v>
      </c>
      <c r="B1033">
        <v>24</v>
      </c>
      <c r="C1033" t="s">
        <v>23</v>
      </c>
      <c r="D1033">
        <v>8085.9</v>
      </c>
      <c r="E1033">
        <v>34851.699999999997</v>
      </c>
      <c r="F1033">
        <v>18</v>
      </c>
      <c r="G1033">
        <v>26.58</v>
      </c>
      <c r="H1033">
        <v>3</v>
      </c>
      <c r="I1033">
        <v>8.1999999999999993</v>
      </c>
      <c r="J1033">
        <v>120</v>
      </c>
      <c r="K1033" t="s">
        <v>24</v>
      </c>
      <c r="L1033" t="s">
        <v>22</v>
      </c>
    </row>
    <row r="1034" spans="1:12" x14ac:dyDescent="0.2">
      <c r="A1034">
        <v>23526</v>
      </c>
      <c r="B1034">
        <v>61</v>
      </c>
      <c r="C1034" t="s">
        <v>27</v>
      </c>
      <c r="D1034">
        <v>9279.2999999999993</v>
      </c>
      <c r="E1034">
        <v>11418.66</v>
      </c>
      <c r="F1034">
        <v>36</v>
      </c>
      <c r="G1034">
        <v>17.059999999999999</v>
      </c>
      <c r="I1034">
        <v>8.6</v>
      </c>
      <c r="J1034">
        <v>120</v>
      </c>
      <c r="K1034" t="s">
        <v>20</v>
      </c>
      <c r="L1034" t="s">
        <v>16</v>
      </c>
    </row>
    <row r="1035" spans="1:12" x14ac:dyDescent="0.2">
      <c r="A1035">
        <v>25816</v>
      </c>
      <c r="B1035">
        <v>42</v>
      </c>
      <c r="C1035" t="s">
        <v>23</v>
      </c>
      <c r="D1035">
        <v>4373.54</v>
      </c>
      <c r="E1035">
        <v>24811.82</v>
      </c>
      <c r="F1035">
        <v>24</v>
      </c>
      <c r="G1035">
        <v>26.54</v>
      </c>
      <c r="H1035">
        <v>3</v>
      </c>
      <c r="I1035">
        <v>8.5</v>
      </c>
      <c r="J1035">
        <v>90</v>
      </c>
      <c r="K1035" t="s">
        <v>18</v>
      </c>
      <c r="L1035" t="s">
        <v>25</v>
      </c>
    </row>
    <row r="1036" spans="1:12" x14ac:dyDescent="0.2">
      <c r="A1036">
        <v>21693</v>
      </c>
      <c r="B1036">
        <v>27</v>
      </c>
      <c r="C1036" t="s">
        <v>23</v>
      </c>
      <c r="D1036">
        <v>3309.09</v>
      </c>
      <c r="E1036">
        <v>14870.73</v>
      </c>
      <c r="F1036">
        <v>36</v>
      </c>
      <c r="G1036">
        <v>17.309999999999999</v>
      </c>
      <c r="H1036">
        <v>0</v>
      </c>
      <c r="I1036">
        <v>7.7</v>
      </c>
      <c r="J1036">
        <v>0</v>
      </c>
      <c r="K1036" t="s">
        <v>24</v>
      </c>
      <c r="L1036" t="s">
        <v>16</v>
      </c>
    </row>
    <row r="1037" spans="1:12" x14ac:dyDescent="0.2">
      <c r="A1037">
        <v>20549</v>
      </c>
      <c r="B1037">
        <v>40</v>
      </c>
      <c r="C1037" t="s">
        <v>12</v>
      </c>
      <c r="D1037">
        <v>6717.07</v>
      </c>
      <c r="E1037">
        <v>18515.02</v>
      </c>
      <c r="F1037">
        <v>48</v>
      </c>
      <c r="G1037">
        <v>20.37</v>
      </c>
      <c r="H1037">
        <v>1</v>
      </c>
      <c r="I1037">
        <v>7.8</v>
      </c>
      <c r="J1037">
        <v>90</v>
      </c>
      <c r="K1037" t="s">
        <v>24</v>
      </c>
      <c r="L1037" t="s">
        <v>14</v>
      </c>
    </row>
    <row r="1038" spans="1:12" x14ac:dyDescent="0.2">
      <c r="A1038">
        <v>20272</v>
      </c>
      <c r="B1038">
        <v>23</v>
      </c>
      <c r="C1038" t="s">
        <v>12</v>
      </c>
      <c r="D1038">
        <v>-1500</v>
      </c>
      <c r="E1038">
        <v>24792.66</v>
      </c>
      <c r="F1038">
        <v>48</v>
      </c>
      <c r="G1038">
        <v>18.89</v>
      </c>
      <c r="I1038">
        <v>9.5</v>
      </c>
      <c r="K1038" t="s">
        <v>18</v>
      </c>
      <c r="L1038" t="s">
        <v>16</v>
      </c>
    </row>
    <row r="1039" spans="1:12" x14ac:dyDescent="0.2">
      <c r="A1039">
        <v>22257</v>
      </c>
      <c r="B1039">
        <v>21</v>
      </c>
      <c r="C1039" t="s">
        <v>27</v>
      </c>
      <c r="D1039">
        <v>2593.9</v>
      </c>
      <c r="E1039">
        <v>39381.85</v>
      </c>
      <c r="F1039">
        <v>60</v>
      </c>
      <c r="G1039">
        <v>25.42</v>
      </c>
      <c r="H1039">
        <v>4</v>
      </c>
      <c r="I1039">
        <v>5.8</v>
      </c>
      <c r="J1039">
        <v>0</v>
      </c>
      <c r="K1039" t="s">
        <v>15</v>
      </c>
      <c r="L1039" t="s">
        <v>25</v>
      </c>
    </row>
    <row r="1040" spans="1:12" x14ac:dyDescent="0.2">
      <c r="A1040">
        <v>23246</v>
      </c>
      <c r="B1040">
        <v>37</v>
      </c>
      <c r="C1040" t="s">
        <v>12</v>
      </c>
      <c r="D1040">
        <v>4753.2299999999996</v>
      </c>
      <c r="E1040">
        <v>27303.97</v>
      </c>
      <c r="F1040">
        <v>36</v>
      </c>
      <c r="G1040">
        <v>20.87</v>
      </c>
      <c r="H1040">
        <v>3</v>
      </c>
      <c r="I1040">
        <v>10.4</v>
      </c>
      <c r="J1040">
        <v>0</v>
      </c>
      <c r="K1040" t="s">
        <v>15</v>
      </c>
      <c r="L1040" t="s">
        <v>22</v>
      </c>
    </row>
    <row r="1041" spans="1:12" x14ac:dyDescent="0.2">
      <c r="A1041">
        <v>21795</v>
      </c>
      <c r="B1041">
        <v>48</v>
      </c>
      <c r="C1041" t="s">
        <v>27</v>
      </c>
      <c r="D1041">
        <v>7213.18</v>
      </c>
      <c r="E1041">
        <v>26793.03</v>
      </c>
      <c r="F1041">
        <v>36</v>
      </c>
      <c r="G1041">
        <v>19.82</v>
      </c>
      <c r="H1041">
        <v>4</v>
      </c>
      <c r="I1041">
        <v>10.6</v>
      </c>
      <c r="J1041">
        <v>0</v>
      </c>
      <c r="K1041" t="s">
        <v>18</v>
      </c>
      <c r="L1041" t="s">
        <v>16</v>
      </c>
    </row>
    <row r="1042" spans="1:12" x14ac:dyDescent="0.2">
      <c r="A1042">
        <v>22710</v>
      </c>
      <c r="B1042">
        <v>37</v>
      </c>
      <c r="C1042" t="s">
        <v>27</v>
      </c>
      <c r="D1042">
        <v>5100.8599999999997</v>
      </c>
      <c r="E1042">
        <v>16823.61</v>
      </c>
      <c r="F1042">
        <v>60</v>
      </c>
      <c r="G1042">
        <v>15.01</v>
      </c>
      <c r="H1042">
        <v>0</v>
      </c>
      <c r="I1042">
        <v>2.6</v>
      </c>
      <c r="J1042">
        <v>30</v>
      </c>
      <c r="K1042" t="s">
        <v>13</v>
      </c>
      <c r="L1042" t="s">
        <v>14</v>
      </c>
    </row>
    <row r="1043" spans="1:12" x14ac:dyDescent="0.2">
      <c r="A1043">
        <v>23102</v>
      </c>
      <c r="B1043">
        <v>57</v>
      </c>
      <c r="C1043" t="s">
        <v>23</v>
      </c>
      <c r="D1043">
        <v>9482.14</v>
      </c>
      <c r="E1043">
        <v>18109.16</v>
      </c>
      <c r="F1043">
        <v>6</v>
      </c>
      <c r="G1043">
        <v>13.02</v>
      </c>
      <c r="H1043">
        <v>0</v>
      </c>
      <c r="I1043">
        <v>9.5</v>
      </c>
      <c r="J1043">
        <v>0</v>
      </c>
      <c r="K1043" t="s">
        <v>20</v>
      </c>
      <c r="L1043" t="s">
        <v>14</v>
      </c>
    </row>
    <row r="1044" spans="1:12" x14ac:dyDescent="0.2">
      <c r="A1044">
        <v>22565</v>
      </c>
      <c r="B1044">
        <v>38</v>
      </c>
      <c r="C1044" t="s">
        <v>17</v>
      </c>
      <c r="D1044">
        <v>4497.46</v>
      </c>
      <c r="E1044">
        <v>3972.62</v>
      </c>
      <c r="F1044">
        <v>6</v>
      </c>
      <c r="G1044">
        <v>18.670000000000002</v>
      </c>
      <c r="H1044">
        <v>3</v>
      </c>
      <c r="I1044">
        <v>-0.3</v>
      </c>
      <c r="J1044">
        <v>0</v>
      </c>
      <c r="K1044" t="s">
        <v>20</v>
      </c>
      <c r="L1044" t="s">
        <v>22</v>
      </c>
    </row>
    <row r="1045" spans="1:12" x14ac:dyDescent="0.2">
      <c r="A1045">
        <v>22198</v>
      </c>
      <c r="B1045">
        <v>40</v>
      </c>
      <c r="C1045" t="s">
        <v>21</v>
      </c>
      <c r="D1045">
        <v>2620.9499999999998</v>
      </c>
      <c r="F1045">
        <v>18</v>
      </c>
      <c r="G1045">
        <v>25.98</v>
      </c>
      <c r="H1045">
        <v>2</v>
      </c>
      <c r="I1045">
        <v>1.9</v>
      </c>
      <c r="J1045">
        <v>30</v>
      </c>
      <c r="K1045" t="s">
        <v>20</v>
      </c>
      <c r="L1045" t="s">
        <v>25</v>
      </c>
    </row>
    <row r="1046" spans="1:12" x14ac:dyDescent="0.2">
      <c r="A1046">
        <v>20317</v>
      </c>
      <c r="B1046">
        <v>27</v>
      </c>
      <c r="C1046" t="s">
        <v>17</v>
      </c>
      <c r="D1046">
        <v>3134.09</v>
      </c>
      <c r="E1046">
        <v>2243.1999999999998</v>
      </c>
      <c r="F1046">
        <v>18</v>
      </c>
      <c r="G1046">
        <v>14.52</v>
      </c>
      <c r="H1046">
        <v>0</v>
      </c>
      <c r="I1046">
        <v>8</v>
      </c>
      <c r="J1046">
        <v>0</v>
      </c>
      <c r="K1046" t="s">
        <v>13</v>
      </c>
      <c r="L1046" t="s">
        <v>16</v>
      </c>
    </row>
    <row r="1047" spans="1:12" x14ac:dyDescent="0.2">
      <c r="A1047">
        <v>22862</v>
      </c>
      <c r="B1047">
        <v>29</v>
      </c>
      <c r="C1047" t="s">
        <v>27</v>
      </c>
      <c r="D1047">
        <v>3884.62</v>
      </c>
      <c r="E1047">
        <v>22627.79</v>
      </c>
      <c r="F1047">
        <v>24</v>
      </c>
      <c r="G1047">
        <v>23.78</v>
      </c>
      <c r="H1047">
        <v>3</v>
      </c>
      <c r="I1047">
        <v>6.6</v>
      </c>
      <c r="J1047">
        <v>90</v>
      </c>
      <c r="K1047" t="s">
        <v>18</v>
      </c>
      <c r="L1047" t="s">
        <v>14</v>
      </c>
    </row>
    <row r="1048" spans="1:12" x14ac:dyDescent="0.2">
      <c r="A1048">
        <v>20050</v>
      </c>
      <c r="B1048">
        <v>52</v>
      </c>
      <c r="C1048" t="s">
        <v>17</v>
      </c>
      <c r="D1048">
        <v>4674.4399999999996</v>
      </c>
      <c r="E1048">
        <v>22598.799999999999</v>
      </c>
      <c r="F1048">
        <v>48</v>
      </c>
      <c r="G1048">
        <v>18.57</v>
      </c>
      <c r="H1048">
        <v>0</v>
      </c>
      <c r="I1048">
        <v>12.8</v>
      </c>
      <c r="J1048">
        <v>60</v>
      </c>
      <c r="K1048" t="s">
        <v>20</v>
      </c>
      <c r="L1048" t="s">
        <v>16</v>
      </c>
    </row>
    <row r="1049" spans="1:12" x14ac:dyDescent="0.2">
      <c r="A1049">
        <v>21301</v>
      </c>
      <c r="B1049">
        <v>22</v>
      </c>
      <c r="C1049" t="s">
        <v>27</v>
      </c>
      <c r="D1049">
        <v>4767.07</v>
      </c>
      <c r="E1049">
        <v>26939.86</v>
      </c>
      <c r="F1049">
        <v>6</v>
      </c>
      <c r="G1049">
        <v>16.190000000000001</v>
      </c>
      <c r="I1049">
        <v>4.5999999999999996</v>
      </c>
      <c r="K1049" t="s">
        <v>13</v>
      </c>
      <c r="L1049" t="s">
        <v>22</v>
      </c>
    </row>
    <row r="1050" spans="1:12" x14ac:dyDescent="0.2">
      <c r="A1050">
        <v>23797</v>
      </c>
      <c r="B1050">
        <v>32</v>
      </c>
      <c r="C1050" t="s">
        <v>26</v>
      </c>
      <c r="D1050">
        <v>6523.27</v>
      </c>
      <c r="E1050">
        <v>25581.71</v>
      </c>
      <c r="F1050">
        <v>6</v>
      </c>
      <c r="G1050">
        <v>18.13</v>
      </c>
      <c r="H1050">
        <v>3</v>
      </c>
      <c r="I1050">
        <v>11</v>
      </c>
      <c r="J1050">
        <v>0</v>
      </c>
      <c r="K1050" t="s">
        <v>24</v>
      </c>
      <c r="L1050" t="s">
        <v>25</v>
      </c>
    </row>
    <row r="1051" spans="1:12" x14ac:dyDescent="0.2">
      <c r="A1051">
        <v>24419</v>
      </c>
      <c r="B1051">
        <v>40</v>
      </c>
      <c r="C1051" t="s">
        <v>17</v>
      </c>
      <c r="D1051">
        <v>4378.5200000000004</v>
      </c>
      <c r="E1051">
        <v>28440.98</v>
      </c>
      <c r="F1051">
        <v>18</v>
      </c>
      <c r="G1051">
        <v>28.16</v>
      </c>
      <c r="H1051">
        <v>4</v>
      </c>
      <c r="I1051">
        <v>2</v>
      </c>
      <c r="J1051">
        <v>15</v>
      </c>
      <c r="K1051" t="s">
        <v>15</v>
      </c>
      <c r="L1051" t="s">
        <v>22</v>
      </c>
    </row>
    <row r="1052" spans="1:12" x14ac:dyDescent="0.2">
      <c r="A1052">
        <v>24144</v>
      </c>
      <c r="B1052">
        <v>54</v>
      </c>
      <c r="C1052" t="s">
        <v>26</v>
      </c>
      <c r="D1052">
        <v>705.85</v>
      </c>
      <c r="E1052">
        <v>20246.330000000002</v>
      </c>
      <c r="F1052">
        <v>48</v>
      </c>
      <c r="G1052">
        <v>26.78</v>
      </c>
      <c r="H1052">
        <v>1</v>
      </c>
      <c r="I1052">
        <v>13.2</v>
      </c>
      <c r="J1052">
        <v>120</v>
      </c>
      <c r="K1052" t="s">
        <v>15</v>
      </c>
      <c r="L1052" t="s">
        <v>25</v>
      </c>
    </row>
    <row r="1053" spans="1:12" x14ac:dyDescent="0.2">
      <c r="A1053">
        <v>24617</v>
      </c>
      <c r="B1053">
        <v>41</v>
      </c>
      <c r="C1053" t="s">
        <v>17</v>
      </c>
      <c r="D1053">
        <v>6677.71</v>
      </c>
      <c r="E1053">
        <v>25033.73</v>
      </c>
      <c r="F1053">
        <v>36</v>
      </c>
      <c r="G1053">
        <v>16.5</v>
      </c>
      <c r="H1053">
        <v>0</v>
      </c>
      <c r="I1053">
        <v>3.7</v>
      </c>
      <c r="J1053">
        <v>120</v>
      </c>
      <c r="K1053" t="s">
        <v>20</v>
      </c>
      <c r="L1053" t="s">
        <v>22</v>
      </c>
    </row>
    <row r="1054" spans="1:12" x14ac:dyDescent="0.2">
      <c r="A1054">
        <v>20584</v>
      </c>
      <c r="B1054">
        <v>44</v>
      </c>
      <c r="C1054" t="s">
        <v>27</v>
      </c>
      <c r="D1054">
        <v>2909.22</v>
      </c>
      <c r="E1054">
        <v>23539.94</v>
      </c>
      <c r="F1054">
        <v>12</v>
      </c>
      <c r="G1054">
        <v>16.73</v>
      </c>
      <c r="H1054">
        <v>3</v>
      </c>
      <c r="I1054">
        <v>6.2</v>
      </c>
      <c r="J1054">
        <v>120</v>
      </c>
      <c r="K1054" t="s">
        <v>20</v>
      </c>
      <c r="L1054" t="s">
        <v>22</v>
      </c>
    </row>
    <row r="1055" spans="1:12" x14ac:dyDescent="0.2">
      <c r="A1055">
        <v>20535</v>
      </c>
      <c r="B1055">
        <v>56</v>
      </c>
      <c r="C1055" t="s">
        <v>21</v>
      </c>
      <c r="D1055">
        <v>2914.8</v>
      </c>
      <c r="E1055">
        <v>31288.36</v>
      </c>
      <c r="F1055">
        <v>60</v>
      </c>
      <c r="G1055">
        <v>20.77</v>
      </c>
      <c r="H1055">
        <v>4</v>
      </c>
      <c r="I1055">
        <v>4</v>
      </c>
      <c r="J1055">
        <v>0</v>
      </c>
      <c r="K1055" t="s">
        <v>15</v>
      </c>
      <c r="L1055" t="s">
        <v>25</v>
      </c>
    </row>
    <row r="1056" spans="1:12" x14ac:dyDescent="0.2">
      <c r="A1056">
        <v>25287</v>
      </c>
      <c r="B1056">
        <v>36</v>
      </c>
      <c r="C1056" t="s">
        <v>12</v>
      </c>
      <c r="D1056">
        <v>7157.12</v>
      </c>
      <c r="E1056">
        <v>18107</v>
      </c>
      <c r="F1056">
        <v>48</v>
      </c>
      <c r="G1056">
        <v>25.25</v>
      </c>
      <c r="H1056">
        <v>2</v>
      </c>
      <c r="I1056">
        <v>4.5999999999999996</v>
      </c>
      <c r="J1056">
        <v>120</v>
      </c>
      <c r="K1056" t="s">
        <v>20</v>
      </c>
      <c r="L1056" t="s">
        <v>14</v>
      </c>
    </row>
    <row r="1057" spans="1:12" x14ac:dyDescent="0.2">
      <c r="A1057">
        <v>20782</v>
      </c>
      <c r="B1057">
        <v>50</v>
      </c>
      <c r="C1057" t="s">
        <v>23</v>
      </c>
      <c r="D1057">
        <v>3134.05</v>
      </c>
      <c r="E1057">
        <v>25369.69</v>
      </c>
      <c r="F1057">
        <v>12</v>
      </c>
      <c r="G1057">
        <v>16.73</v>
      </c>
      <c r="H1057">
        <v>4</v>
      </c>
      <c r="I1057">
        <v>5.5</v>
      </c>
      <c r="J1057">
        <v>30</v>
      </c>
      <c r="K1057" t="s">
        <v>18</v>
      </c>
      <c r="L1057" t="s">
        <v>16</v>
      </c>
    </row>
    <row r="1058" spans="1:12" x14ac:dyDescent="0.2">
      <c r="A1058">
        <v>22830</v>
      </c>
      <c r="B1058">
        <v>24</v>
      </c>
      <c r="C1058" t="s">
        <v>12</v>
      </c>
      <c r="D1058">
        <v>6471.71</v>
      </c>
      <c r="E1058">
        <v>15457.78</v>
      </c>
      <c r="F1058">
        <v>6</v>
      </c>
      <c r="G1058">
        <v>55</v>
      </c>
      <c r="H1058">
        <v>1</v>
      </c>
      <c r="I1058">
        <v>2.4</v>
      </c>
      <c r="J1058">
        <v>90</v>
      </c>
      <c r="K1058" t="s">
        <v>15</v>
      </c>
      <c r="L1058" t="s">
        <v>25</v>
      </c>
    </row>
    <row r="1059" spans="1:12" x14ac:dyDescent="0.2">
      <c r="A1059">
        <v>23153</v>
      </c>
      <c r="B1059">
        <v>120</v>
      </c>
      <c r="C1059" t="s">
        <v>23</v>
      </c>
      <c r="D1059">
        <v>5975.75</v>
      </c>
      <c r="E1059">
        <v>-2167.9699999999998</v>
      </c>
      <c r="F1059">
        <v>60</v>
      </c>
      <c r="G1059">
        <v>21.79</v>
      </c>
      <c r="I1059">
        <v>13.9</v>
      </c>
      <c r="J1059">
        <v>0</v>
      </c>
      <c r="K1059" t="s">
        <v>18</v>
      </c>
      <c r="L1059" t="s">
        <v>25</v>
      </c>
    </row>
    <row r="1060" spans="1:12" x14ac:dyDescent="0.2">
      <c r="A1060">
        <v>24103</v>
      </c>
      <c r="B1060">
        <v>75</v>
      </c>
      <c r="C1060" t="s">
        <v>26</v>
      </c>
      <c r="D1060">
        <v>4243.5</v>
      </c>
      <c r="E1060">
        <v>40867.25</v>
      </c>
      <c r="F1060">
        <v>12</v>
      </c>
      <c r="G1060">
        <v>13.13</v>
      </c>
      <c r="H1060">
        <v>1</v>
      </c>
      <c r="I1060">
        <v>9.6999999999999993</v>
      </c>
      <c r="J1060">
        <v>15</v>
      </c>
      <c r="K1060" t="s">
        <v>24</v>
      </c>
      <c r="L1060" t="s">
        <v>19</v>
      </c>
    </row>
    <row r="1061" spans="1:12" x14ac:dyDescent="0.2">
      <c r="A1061">
        <v>23741</v>
      </c>
      <c r="B1061">
        <v>50</v>
      </c>
      <c r="C1061" t="s">
        <v>17</v>
      </c>
      <c r="D1061">
        <v>5946.38</v>
      </c>
      <c r="E1061">
        <v>25629.34</v>
      </c>
      <c r="F1061">
        <v>12</v>
      </c>
      <c r="G1061">
        <v>24.62</v>
      </c>
      <c r="H1061">
        <v>0</v>
      </c>
      <c r="I1061">
        <v>7.9</v>
      </c>
      <c r="J1061">
        <v>90</v>
      </c>
      <c r="K1061" t="s">
        <v>13</v>
      </c>
      <c r="L1061" t="s">
        <v>16</v>
      </c>
    </row>
    <row r="1062" spans="1:12" x14ac:dyDescent="0.2">
      <c r="A1062">
        <v>20307</v>
      </c>
      <c r="B1062">
        <v>120</v>
      </c>
      <c r="C1062" t="s">
        <v>26</v>
      </c>
      <c r="D1062">
        <v>8090.49</v>
      </c>
      <c r="E1062">
        <v>22854</v>
      </c>
      <c r="F1062">
        <v>6</v>
      </c>
      <c r="G1062">
        <v>15.28</v>
      </c>
      <c r="I1062">
        <v>4.5999999999999996</v>
      </c>
      <c r="J1062">
        <v>0</v>
      </c>
      <c r="K1062" t="s">
        <v>15</v>
      </c>
      <c r="L1062" t="s">
        <v>19</v>
      </c>
    </row>
    <row r="1063" spans="1:12" x14ac:dyDescent="0.2">
      <c r="A1063">
        <v>20039</v>
      </c>
      <c r="B1063">
        <v>45</v>
      </c>
      <c r="C1063" t="s">
        <v>21</v>
      </c>
      <c r="D1063">
        <v>3860.82</v>
      </c>
      <c r="E1063">
        <v>12647.04</v>
      </c>
      <c r="F1063">
        <v>60</v>
      </c>
      <c r="G1063">
        <v>15.74</v>
      </c>
      <c r="H1063">
        <v>0</v>
      </c>
      <c r="I1063">
        <v>9</v>
      </c>
      <c r="K1063" t="s">
        <v>18</v>
      </c>
      <c r="L1063" t="s">
        <v>16</v>
      </c>
    </row>
    <row r="1064" spans="1:12" x14ac:dyDescent="0.2">
      <c r="A1064">
        <v>23647</v>
      </c>
      <c r="B1064">
        <v>30</v>
      </c>
      <c r="C1064" t="s">
        <v>17</v>
      </c>
      <c r="D1064">
        <v>6945.77</v>
      </c>
      <c r="E1064">
        <v>17085.23</v>
      </c>
      <c r="F1064">
        <v>36</v>
      </c>
      <c r="G1064">
        <v>6.28</v>
      </c>
      <c r="H1064">
        <v>0</v>
      </c>
      <c r="I1064">
        <v>8.4</v>
      </c>
      <c r="J1064">
        <v>120</v>
      </c>
      <c r="K1064" t="s">
        <v>24</v>
      </c>
      <c r="L1064" t="s">
        <v>22</v>
      </c>
    </row>
    <row r="1065" spans="1:12" x14ac:dyDescent="0.2">
      <c r="A1065">
        <v>21913</v>
      </c>
      <c r="B1065">
        <v>62</v>
      </c>
      <c r="C1065" t="s">
        <v>12</v>
      </c>
      <c r="D1065">
        <v>4182.66</v>
      </c>
      <c r="E1065">
        <v>21950</v>
      </c>
      <c r="F1065">
        <v>12</v>
      </c>
      <c r="G1065">
        <v>22.4</v>
      </c>
      <c r="I1065">
        <v>7.9</v>
      </c>
      <c r="K1065" t="s">
        <v>18</v>
      </c>
      <c r="L1065" t="s">
        <v>16</v>
      </c>
    </row>
    <row r="1066" spans="1:12" x14ac:dyDescent="0.2">
      <c r="A1066">
        <v>24912</v>
      </c>
      <c r="B1066">
        <v>42</v>
      </c>
      <c r="C1066" t="s">
        <v>21</v>
      </c>
      <c r="D1066">
        <v>4228.45</v>
      </c>
      <c r="E1066">
        <v>16502.18</v>
      </c>
      <c r="F1066">
        <v>18</v>
      </c>
      <c r="G1066">
        <v>24.88</v>
      </c>
      <c r="I1066">
        <v>3.6</v>
      </c>
      <c r="K1066" t="s">
        <v>24</v>
      </c>
      <c r="L1066" t="s">
        <v>22</v>
      </c>
    </row>
    <row r="1067" spans="1:12" x14ac:dyDescent="0.2">
      <c r="A1067">
        <v>20495</v>
      </c>
      <c r="B1067">
        <v>59</v>
      </c>
      <c r="C1067" t="s">
        <v>27</v>
      </c>
      <c r="D1067">
        <v>6461.18</v>
      </c>
      <c r="E1067">
        <v>32667.88</v>
      </c>
      <c r="F1067">
        <v>36</v>
      </c>
      <c r="G1067">
        <v>17.45</v>
      </c>
      <c r="H1067">
        <v>2</v>
      </c>
      <c r="I1067">
        <v>9.5</v>
      </c>
      <c r="J1067">
        <v>120</v>
      </c>
      <c r="K1067" t="s">
        <v>13</v>
      </c>
      <c r="L1067" t="s">
        <v>14</v>
      </c>
    </row>
    <row r="1068" spans="1:12" x14ac:dyDescent="0.2">
      <c r="A1068">
        <v>21067</v>
      </c>
      <c r="B1068">
        <v>31</v>
      </c>
      <c r="C1068" t="s">
        <v>21</v>
      </c>
      <c r="D1068">
        <v>5107.32</v>
      </c>
      <c r="F1068">
        <v>36</v>
      </c>
      <c r="G1068">
        <v>13.96</v>
      </c>
      <c r="H1068">
        <v>4</v>
      </c>
      <c r="I1068">
        <v>10.8</v>
      </c>
      <c r="J1068">
        <v>0</v>
      </c>
      <c r="K1068" t="s">
        <v>18</v>
      </c>
      <c r="L1068" t="s">
        <v>14</v>
      </c>
    </row>
    <row r="1069" spans="1:12" x14ac:dyDescent="0.2">
      <c r="A1069">
        <v>22244</v>
      </c>
      <c r="B1069">
        <v>32</v>
      </c>
      <c r="C1069" t="s">
        <v>17</v>
      </c>
      <c r="D1069">
        <v>5112.3999999999996</v>
      </c>
      <c r="E1069">
        <v>29267.02</v>
      </c>
      <c r="F1069">
        <v>6</v>
      </c>
      <c r="G1069">
        <v>18.84</v>
      </c>
      <c r="H1069">
        <v>1</v>
      </c>
      <c r="I1069">
        <v>8.5</v>
      </c>
      <c r="J1069">
        <v>30</v>
      </c>
      <c r="K1069" t="s">
        <v>13</v>
      </c>
      <c r="L1069" t="s">
        <v>19</v>
      </c>
    </row>
    <row r="1070" spans="1:12" x14ac:dyDescent="0.2">
      <c r="A1070">
        <v>24428</v>
      </c>
      <c r="B1070">
        <v>31</v>
      </c>
      <c r="C1070" t="s">
        <v>23</v>
      </c>
      <c r="D1070">
        <v>2335.67</v>
      </c>
      <c r="E1070">
        <v>30467.68</v>
      </c>
      <c r="F1070">
        <v>6</v>
      </c>
      <c r="G1070">
        <v>17.54</v>
      </c>
      <c r="H1070">
        <v>1</v>
      </c>
      <c r="I1070">
        <v>7.1</v>
      </c>
      <c r="J1070">
        <v>90</v>
      </c>
      <c r="K1070" t="s">
        <v>24</v>
      </c>
      <c r="L1070" t="s">
        <v>16</v>
      </c>
    </row>
    <row r="1071" spans="1:12" x14ac:dyDescent="0.2">
      <c r="A1071">
        <v>25215</v>
      </c>
      <c r="B1071">
        <v>52</v>
      </c>
      <c r="C1071" t="s">
        <v>17</v>
      </c>
      <c r="D1071">
        <v>7941.49</v>
      </c>
      <c r="E1071">
        <v>24745.48</v>
      </c>
      <c r="F1071">
        <v>12</v>
      </c>
      <c r="G1071">
        <v>17.47</v>
      </c>
      <c r="H1071">
        <v>2</v>
      </c>
      <c r="I1071">
        <v>6.7</v>
      </c>
      <c r="J1071">
        <v>0</v>
      </c>
      <c r="K1071" t="s">
        <v>18</v>
      </c>
      <c r="L1071" t="s">
        <v>25</v>
      </c>
    </row>
    <row r="1072" spans="1:12" x14ac:dyDescent="0.2">
      <c r="A1072">
        <v>22469</v>
      </c>
      <c r="B1072">
        <v>23</v>
      </c>
      <c r="C1072" t="s">
        <v>12</v>
      </c>
      <c r="D1072">
        <v>-1500</v>
      </c>
      <c r="E1072">
        <v>20406.27</v>
      </c>
      <c r="F1072">
        <v>6</v>
      </c>
      <c r="G1072">
        <v>17.489999999999998</v>
      </c>
      <c r="H1072">
        <v>2</v>
      </c>
      <c r="I1072">
        <v>0</v>
      </c>
      <c r="J1072">
        <v>0</v>
      </c>
      <c r="K1072" t="s">
        <v>18</v>
      </c>
      <c r="L1072" t="s">
        <v>16</v>
      </c>
    </row>
    <row r="1073" spans="1:12" x14ac:dyDescent="0.2">
      <c r="A1073">
        <v>25312</v>
      </c>
      <c r="B1073">
        <v>25</v>
      </c>
      <c r="C1073" t="s">
        <v>26</v>
      </c>
      <c r="D1073">
        <v>8313</v>
      </c>
      <c r="E1073">
        <v>12804.29</v>
      </c>
      <c r="F1073">
        <v>18</v>
      </c>
      <c r="G1073">
        <v>16.54</v>
      </c>
      <c r="I1073">
        <v>6.1</v>
      </c>
      <c r="J1073">
        <v>0</v>
      </c>
      <c r="K1073" t="s">
        <v>18</v>
      </c>
      <c r="L1073" t="s">
        <v>22</v>
      </c>
    </row>
    <row r="1074" spans="1:12" x14ac:dyDescent="0.2">
      <c r="A1074">
        <v>20273</v>
      </c>
      <c r="B1074">
        <v>34</v>
      </c>
      <c r="C1074" t="s">
        <v>21</v>
      </c>
      <c r="D1074">
        <v>-1500</v>
      </c>
      <c r="E1074">
        <v>9504.39</v>
      </c>
      <c r="F1074">
        <v>60</v>
      </c>
      <c r="G1074">
        <v>9.9700000000000006</v>
      </c>
      <c r="H1074">
        <v>4</v>
      </c>
      <c r="I1074">
        <v>10.7</v>
      </c>
      <c r="J1074">
        <v>0</v>
      </c>
      <c r="K1074" t="s">
        <v>24</v>
      </c>
      <c r="L1074" t="s">
        <v>19</v>
      </c>
    </row>
    <row r="1075" spans="1:12" x14ac:dyDescent="0.2">
      <c r="A1075">
        <v>21918</v>
      </c>
      <c r="B1075">
        <v>120</v>
      </c>
      <c r="C1075" t="s">
        <v>27</v>
      </c>
      <c r="D1075">
        <v>6928.25</v>
      </c>
      <c r="E1075">
        <v>11125.43</v>
      </c>
      <c r="F1075">
        <v>6</v>
      </c>
      <c r="G1075">
        <v>16.5</v>
      </c>
      <c r="H1075">
        <v>2</v>
      </c>
      <c r="I1075">
        <v>4</v>
      </c>
      <c r="J1075">
        <v>0</v>
      </c>
      <c r="K1075" t="s">
        <v>13</v>
      </c>
      <c r="L1075" t="s">
        <v>16</v>
      </c>
    </row>
    <row r="1076" spans="1:12" x14ac:dyDescent="0.2">
      <c r="A1076">
        <v>23395</v>
      </c>
      <c r="B1076">
        <v>75</v>
      </c>
      <c r="C1076" t="s">
        <v>21</v>
      </c>
      <c r="D1076">
        <v>4970.68</v>
      </c>
      <c r="E1076">
        <v>20163.689999999999</v>
      </c>
      <c r="F1076">
        <v>6</v>
      </c>
      <c r="G1076">
        <v>29.5</v>
      </c>
      <c r="H1076">
        <v>1</v>
      </c>
      <c r="I1076">
        <v>12.3</v>
      </c>
      <c r="J1076">
        <v>60</v>
      </c>
      <c r="K1076" t="s">
        <v>13</v>
      </c>
      <c r="L1076" t="s">
        <v>14</v>
      </c>
    </row>
    <row r="1077" spans="1:12" x14ac:dyDescent="0.2">
      <c r="A1077">
        <v>21801</v>
      </c>
      <c r="B1077">
        <v>45</v>
      </c>
      <c r="C1077" t="s">
        <v>12</v>
      </c>
      <c r="D1077">
        <v>8186.65</v>
      </c>
      <c r="E1077">
        <v>10170.549999999999</v>
      </c>
      <c r="F1077">
        <v>6</v>
      </c>
      <c r="G1077">
        <v>6.64</v>
      </c>
      <c r="H1077">
        <v>4</v>
      </c>
      <c r="I1077">
        <v>4.8</v>
      </c>
      <c r="J1077">
        <v>15</v>
      </c>
      <c r="K1077" t="s">
        <v>24</v>
      </c>
      <c r="L1077" t="s">
        <v>22</v>
      </c>
    </row>
    <row r="1078" spans="1:12" x14ac:dyDescent="0.2">
      <c r="A1078">
        <v>21518</v>
      </c>
      <c r="B1078">
        <v>46</v>
      </c>
      <c r="C1078" t="s">
        <v>26</v>
      </c>
      <c r="D1078">
        <v>1740.65</v>
      </c>
      <c r="E1078">
        <v>9742.4</v>
      </c>
      <c r="F1078">
        <v>24</v>
      </c>
      <c r="G1078">
        <v>55</v>
      </c>
      <c r="I1078">
        <v>-1.8</v>
      </c>
      <c r="J1078">
        <v>60</v>
      </c>
      <c r="K1078" t="s">
        <v>15</v>
      </c>
      <c r="L1078" t="s">
        <v>22</v>
      </c>
    </row>
    <row r="1079" spans="1:12" x14ac:dyDescent="0.2">
      <c r="A1079">
        <v>20169</v>
      </c>
      <c r="B1079">
        <v>27</v>
      </c>
      <c r="C1079" t="s">
        <v>26</v>
      </c>
      <c r="D1079">
        <v>6111.25</v>
      </c>
      <c r="E1079">
        <v>26733.38</v>
      </c>
      <c r="F1079">
        <v>48</v>
      </c>
      <c r="G1079">
        <v>23.7</v>
      </c>
      <c r="H1079">
        <v>0</v>
      </c>
      <c r="I1079">
        <v>5.8</v>
      </c>
      <c r="J1079">
        <v>60</v>
      </c>
      <c r="K1079" t="s">
        <v>13</v>
      </c>
      <c r="L1079" t="s">
        <v>25</v>
      </c>
    </row>
    <row r="1080" spans="1:12" x14ac:dyDescent="0.2">
      <c r="A1080">
        <v>20643</v>
      </c>
      <c r="B1080">
        <v>54</v>
      </c>
      <c r="C1080" t="s">
        <v>21</v>
      </c>
      <c r="D1080">
        <v>3598.84</v>
      </c>
      <c r="E1080">
        <v>16728.75</v>
      </c>
      <c r="F1080">
        <v>18</v>
      </c>
      <c r="G1080">
        <v>15.87</v>
      </c>
      <c r="H1080">
        <v>0</v>
      </c>
      <c r="I1080">
        <v>6.7</v>
      </c>
      <c r="J1080">
        <v>15</v>
      </c>
      <c r="K1080" t="s">
        <v>15</v>
      </c>
      <c r="L1080" t="s">
        <v>14</v>
      </c>
    </row>
    <row r="1081" spans="1:12" x14ac:dyDescent="0.2">
      <c r="A1081">
        <v>22592</v>
      </c>
      <c r="B1081">
        <v>40</v>
      </c>
      <c r="C1081" t="s">
        <v>21</v>
      </c>
      <c r="D1081">
        <v>3600.86</v>
      </c>
      <c r="E1081">
        <v>19511.03</v>
      </c>
      <c r="F1081">
        <v>48</v>
      </c>
      <c r="G1081">
        <v>19.5</v>
      </c>
      <c r="H1081">
        <v>0</v>
      </c>
      <c r="I1081">
        <v>4.5999999999999996</v>
      </c>
      <c r="J1081">
        <v>0</v>
      </c>
      <c r="K1081" t="s">
        <v>18</v>
      </c>
      <c r="L1081" t="s">
        <v>16</v>
      </c>
    </row>
    <row r="1082" spans="1:12" x14ac:dyDescent="0.2">
      <c r="A1082">
        <v>25191</v>
      </c>
      <c r="B1082">
        <v>50</v>
      </c>
      <c r="C1082" t="s">
        <v>23</v>
      </c>
      <c r="D1082">
        <v>7840.29</v>
      </c>
      <c r="E1082">
        <v>7282.47</v>
      </c>
      <c r="F1082">
        <v>48</v>
      </c>
      <c r="G1082">
        <v>17.329999999999998</v>
      </c>
      <c r="H1082">
        <v>3</v>
      </c>
      <c r="I1082">
        <v>8.5</v>
      </c>
      <c r="K1082" t="s">
        <v>24</v>
      </c>
      <c r="L1082" t="s">
        <v>22</v>
      </c>
    </row>
    <row r="1083" spans="1:12" x14ac:dyDescent="0.2">
      <c r="A1083">
        <v>22529</v>
      </c>
      <c r="B1083">
        <v>38</v>
      </c>
      <c r="C1083" t="s">
        <v>26</v>
      </c>
      <c r="D1083">
        <v>3409.14</v>
      </c>
      <c r="E1083">
        <v>38132.26</v>
      </c>
      <c r="F1083">
        <v>48</v>
      </c>
      <c r="G1083">
        <v>25.47</v>
      </c>
      <c r="I1083">
        <v>5.0999999999999996</v>
      </c>
      <c r="J1083">
        <v>30</v>
      </c>
      <c r="K1083" t="s">
        <v>24</v>
      </c>
      <c r="L1083" t="s">
        <v>14</v>
      </c>
    </row>
    <row r="1084" spans="1:12" x14ac:dyDescent="0.2">
      <c r="A1084">
        <v>23752</v>
      </c>
      <c r="B1084">
        <v>61</v>
      </c>
      <c r="C1084" t="s">
        <v>12</v>
      </c>
      <c r="D1084">
        <v>3641.87</v>
      </c>
      <c r="E1084">
        <v>15048.07</v>
      </c>
      <c r="F1084">
        <v>48</v>
      </c>
      <c r="G1084">
        <v>16.579999999999998</v>
      </c>
      <c r="H1084">
        <v>1</v>
      </c>
      <c r="I1084">
        <v>8.4</v>
      </c>
      <c r="J1084">
        <v>30</v>
      </c>
      <c r="K1084" t="s">
        <v>24</v>
      </c>
      <c r="L1084" t="s">
        <v>25</v>
      </c>
    </row>
    <row r="1085" spans="1:12" x14ac:dyDescent="0.2">
      <c r="A1085">
        <v>22431</v>
      </c>
      <c r="B1085">
        <v>64</v>
      </c>
      <c r="C1085" t="s">
        <v>23</v>
      </c>
      <c r="D1085">
        <v>4410</v>
      </c>
      <c r="E1085">
        <v>14844.96</v>
      </c>
      <c r="F1085">
        <v>48</v>
      </c>
      <c r="G1085">
        <v>21.01</v>
      </c>
      <c r="H1085">
        <v>1</v>
      </c>
      <c r="I1085">
        <v>9.3000000000000007</v>
      </c>
      <c r="J1085">
        <v>0</v>
      </c>
      <c r="K1085" t="s">
        <v>15</v>
      </c>
      <c r="L1085" t="s">
        <v>16</v>
      </c>
    </row>
    <row r="1086" spans="1:12" x14ac:dyDescent="0.2">
      <c r="A1086">
        <v>20660</v>
      </c>
      <c r="B1086">
        <v>22</v>
      </c>
      <c r="C1086" t="s">
        <v>21</v>
      </c>
      <c r="D1086">
        <v>3839.38</v>
      </c>
      <c r="E1086">
        <v>24290.53</v>
      </c>
      <c r="F1086">
        <v>6</v>
      </c>
      <c r="G1086">
        <v>17.239999999999998</v>
      </c>
      <c r="H1086">
        <v>2</v>
      </c>
      <c r="I1086">
        <v>7</v>
      </c>
      <c r="J1086">
        <v>30</v>
      </c>
      <c r="K1086" t="s">
        <v>24</v>
      </c>
      <c r="L1086" t="s">
        <v>14</v>
      </c>
    </row>
    <row r="1087" spans="1:12" x14ac:dyDescent="0.2">
      <c r="A1087">
        <v>22280</v>
      </c>
      <c r="B1087">
        <v>59</v>
      </c>
      <c r="C1087" t="s">
        <v>12</v>
      </c>
      <c r="D1087">
        <v>2186.73</v>
      </c>
      <c r="E1087">
        <v>22549.21</v>
      </c>
      <c r="F1087">
        <v>18</v>
      </c>
      <c r="G1087">
        <v>12.85</v>
      </c>
      <c r="H1087">
        <v>0</v>
      </c>
      <c r="I1087">
        <v>4.3</v>
      </c>
      <c r="J1087">
        <v>120</v>
      </c>
      <c r="K1087" t="s">
        <v>20</v>
      </c>
      <c r="L1087" t="s">
        <v>16</v>
      </c>
    </row>
    <row r="1088" spans="1:12" x14ac:dyDescent="0.2">
      <c r="A1088">
        <v>21945</v>
      </c>
      <c r="B1088">
        <v>33</v>
      </c>
      <c r="C1088" t="s">
        <v>17</v>
      </c>
      <c r="D1088">
        <v>3739.69</v>
      </c>
      <c r="E1088">
        <v>10754.51</v>
      </c>
      <c r="F1088">
        <v>24</v>
      </c>
      <c r="G1088">
        <v>12.48</v>
      </c>
      <c r="H1088">
        <v>4</v>
      </c>
      <c r="I1088">
        <v>2.4</v>
      </c>
      <c r="J1088">
        <v>30</v>
      </c>
      <c r="K1088" t="s">
        <v>13</v>
      </c>
      <c r="L1088" t="s">
        <v>22</v>
      </c>
    </row>
    <row r="1089" spans="1:12" x14ac:dyDescent="0.2">
      <c r="A1089">
        <v>24268</v>
      </c>
      <c r="B1089">
        <v>39</v>
      </c>
      <c r="C1089" t="s">
        <v>17</v>
      </c>
      <c r="D1089">
        <v>-1500</v>
      </c>
      <c r="E1089">
        <v>19407.580000000002</v>
      </c>
      <c r="F1089">
        <v>18</v>
      </c>
      <c r="G1089">
        <v>13.18</v>
      </c>
      <c r="H1089">
        <v>4</v>
      </c>
      <c r="I1089">
        <v>6.5</v>
      </c>
      <c r="J1089">
        <v>60</v>
      </c>
      <c r="K1089" t="s">
        <v>18</v>
      </c>
      <c r="L1089" t="s">
        <v>19</v>
      </c>
    </row>
    <row r="1090" spans="1:12" x14ac:dyDescent="0.2">
      <c r="A1090">
        <v>25053</v>
      </c>
      <c r="B1090">
        <v>37</v>
      </c>
      <c r="C1090" t="s">
        <v>27</v>
      </c>
      <c r="D1090">
        <v>3373.97</v>
      </c>
      <c r="E1090">
        <v>14023.02</v>
      </c>
      <c r="F1090">
        <v>18</v>
      </c>
      <c r="G1090">
        <v>24.01</v>
      </c>
      <c r="H1090">
        <v>1</v>
      </c>
      <c r="I1090">
        <v>8.1999999999999993</v>
      </c>
      <c r="J1090">
        <v>60</v>
      </c>
      <c r="K1090" t="s">
        <v>13</v>
      </c>
      <c r="L1090" t="s">
        <v>19</v>
      </c>
    </row>
    <row r="1091" spans="1:12" x14ac:dyDescent="0.2">
      <c r="A1091">
        <v>22134</v>
      </c>
      <c r="B1091">
        <v>31</v>
      </c>
      <c r="C1091" t="s">
        <v>23</v>
      </c>
      <c r="D1091">
        <v>5125.67</v>
      </c>
      <c r="E1091">
        <v>26908.55</v>
      </c>
      <c r="F1091">
        <v>24</v>
      </c>
      <c r="G1091">
        <v>17.05</v>
      </c>
      <c r="H1091">
        <v>2</v>
      </c>
      <c r="I1091">
        <v>7.5</v>
      </c>
      <c r="J1091">
        <v>120</v>
      </c>
      <c r="K1091" t="s">
        <v>13</v>
      </c>
      <c r="L1091" t="s">
        <v>25</v>
      </c>
    </row>
    <row r="1092" spans="1:12" x14ac:dyDescent="0.2">
      <c r="A1092">
        <v>23959</v>
      </c>
      <c r="B1092">
        <v>22</v>
      </c>
      <c r="C1092" t="s">
        <v>23</v>
      </c>
      <c r="D1092">
        <v>3203.46</v>
      </c>
      <c r="E1092">
        <v>33607.25</v>
      </c>
      <c r="F1092">
        <v>12</v>
      </c>
      <c r="G1092">
        <v>24.64</v>
      </c>
      <c r="H1092">
        <v>2</v>
      </c>
      <c r="I1092">
        <v>9.6</v>
      </c>
      <c r="J1092">
        <v>0</v>
      </c>
      <c r="K1092" t="s">
        <v>20</v>
      </c>
      <c r="L1092" t="s">
        <v>14</v>
      </c>
    </row>
    <row r="1093" spans="1:12" x14ac:dyDescent="0.2">
      <c r="A1093">
        <v>24476</v>
      </c>
      <c r="B1093">
        <v>49</v>
      </c>
      <c r="C1093" t="s">
        <v>27</v>
      </c>
      <c r="D1093">
        <v>4608.58</v>
      </c>
      <c r="E1093">
        <v>37342.03</v>
      </c>
      <c r="F1093">
        <v>6</v>
      </c>
      <c r="G1093">
        <v>9.26</v>
      </c>
      <c r="I1093">
        <v>-0.1</v>
      </c>
      <c r="J1093">
        <v>0</v>
      </c>
      <c r="K1093" t="s">
        <v>15</v>
      </c>
      <c r="L1093" t="s">
        <v>14</v>
      </c>
    </row>
    <row r="1094" spans="1:12" x14ac:dyDescent="0.2">
      <c r="A1094">
        <v>21186</v>
      </c>
      <c r="B1094">
        <v>39</v>
      </c>
      <c r="C1094" t="s">
        <v>27</v>
      </c>
      <c r="D1094">
        <v>6769.87</v>
      </c>
      <c r="E1094">
        <v>22899.39</v>
      </c>
      <c r="F1094">
        <v>12</v>
      </c>
      <c r="G1094">
        <v>22.8</v>
      </c>
      <c r="H1094">
        <v>1</v>
      </c>
      <c r="I1094">
        <v>-0.5</v>
      </c>
      <c r="J1094">
        <v>0</v>
      </c>
      <c r="K1094" t="s">
        <v>18</v>
      </c>
      <c r="L1094" t="s">
        <v>22</v>
      </c>
    </row>
    <row r="1095" spans="1:12" x14ac:dyDescent="0.2">
      <c r="A1095">
        <v>20734</v>
      </c>
      <c r="B1095">
        <v>24</v>
      </c>
      <c r="C1095" t="s">
        <v>26</v>
      </c>
      <c r="D1095">
        <v>5131.87</v>
      </c>
      <c r="E1095">
        <v>30882.25</v>
      </c>
      <c r="F1095">
        <v>12</v>
      </c>
      <c r="G1095">
        <v>25.78</v>
      </c>
      <c r="H1095">
        <v>3</v>
      </c>
      <c r="I1095">
        <v>4.2</v>
      </c>
      <c r="K1095" t="s">
        <v>18</v>
      </c>
      <c r="L1095" t="s">
        <v>22</v>
      </c>
    </row>
    <row r="1096" spans="1:12" x14ac:dyDescent="0.2">
      <c r="A1096">
        <v>24747</v>
      </c>
      <c r="B1096">
        <v>56</v>
      </c>
      <c r="C1096" t="s">
        <v>27</v>
      </c>
      <c r="D1096">
        <v>2031.83</v>
      </c>
      <c r="E1096">
        <v>-7289.5</v>
      </c>
      <c r="F1096">
        <v>24</v>
      </c>
      <c r="G1096">
        <v>15.74</v>
      </c>
      <c r="H1096">
        <v>1</v>
      </c>
      <c r="I1096">
        <v>3.7</v>
      </c>
      <c r="J1096">
        <v>30</v>
      </c>
      <c r="K1096" t="s">
        <v>15</v>
      </c>
      <c r="L1096" t="s">
        <v>16</v>
      </c>
    </row>
    <row r="1097" spans="1:12" x14ac:dyDescent="0.2">
      <c r="A1097">
        <v>23519</v>
      </c>
      <c r="B1097">
        <v>44</v>
      </c>
      <c r="C1097" t="s">
        <v>23</v>
      </c>
      <c r="D1097">
        <v>6462.18</v>
      </c>
      <c r="E1097">
        <v>17019.400000000001</v>
      </c>
      <c r="F1097">
        <v>6</v>
      </c>
      <c r="G1097">
        <v>22.65</v>
      </c>
      <c r="H1097">
        <v>4</v>
      </c>
      <c r="I1097">
        <v>4.8</v>
      </c>
      <c r="K1097" t="s">
        <v>13</v>
      </c>
      <c r="L1097" t="s">
        <v>14</v>
      </c>
    </row>
    <row r="1098" spans="1:12" x14ac:dyDescent="0.2">
      <c r="A1098">
        <v>25051</v>
      </c>
      <c r="B1098">
        <v>62</v>
      </c>
      <c r="C1098" t="s">
        <v>26</v>
      </c>
      <c r="D1098">
        <v>7088.65</v>
      </c>
      <c r="E1098">
        <v>26547.599999999999</v>
      </c>
      <c r="F1098">
        <v>48</v>
      </c>
      <c r="G1098">
        <v>25.35</v>
      </c>
      <c r="H1098">
        <v>3</v>
      </c>
      <c r="I1098">
        <v>7.3</v>
      </c>
      <c r="J1098">
        <v>0</v>
      </c>
      <c r="K1098" t="s">
        <v>20</v>
      </c>
      <c r="L1098" t="s">
        <v>19</v>
      </c>
    </row>
    <row r="1099" spans="1:12" x14ac:dyDescent="0.2">
      <c r="A1099">
        <v>22809</v>
      </c>
      <c r="B1099">
        <v>18</v>
      </c>
      <c r="C1099" t="s">
        <v>27</v>
      </c>
      <c r="D1099">
        <v>6088.02</v>
      </c>
      <c r="E1099">
        <v>22155.18</v>
      </c>
      <c r="F1099">
        <v>60</v>
      </c>
      <c r="G1099">
        <v>18.03</v>
      </c>
      <c r="H1099">
        <v>4</v>
      </c>
      <c r="I1099">
        <v>2.7</v>
      </c>
      <c r="J1099">
        <v>0</v>
      </c>
      <c r="K1099" t="s">
        <v>15</v>
      </c>
      <c r="L1099" t="s">
        <v>25</v>
      </c>
    </row>
    <row r="1100" spans="1:12" x14ac:dyDescent="0.2">
      <c r="A1100">
        <v>22650</v>
      </c>
      <c r="B1100">
        <v>46</v>
      </c>
      <c r="C1100" t="s">
        <v>12</v>
      </c>
      <c r="D1100">
        <v>2290.25</v>
      </c>
      <c r="E1100">
        <v>30958.29</v>
      </c>
      <c r="F1100">
        <v>6</v>
      </c>
      <c r="G1100">
        <v>16.55</v>
      </c>
      <c r="H1100">
        <v>2</v>
      </c>
      <c r="I1100">
        <v>6.3</v>
      </c>
      <c r="J1100">
        <v>60</v>
      </c>
      <c r="K1100" t="s">
        <v>13</v>
      </c>
      <c r="L1100" t="s">
        <v>14</v>
      </c>
    </row>
    <row r="1101" spans="1:12" x14ac:dyDescent="0.2">
      <c r="A1101">
        <v>22261</v>
      </c>
      <c r="B1101">
        <v>58</v>
      </c>
      <c r="C1101" t="s">
        <v>23</v>
      </c>
      <c r="D1101">
        <v>7929.43</v>
      </c>
      <c r="E1101">
        <v>22182.94</v>
      </c>
      <c r="F1101">
        <v>60</v>
      </c>
      <c r="G1101">
        <v>24.31</v>
      </c>
      <c r="H1101">
        <v>1</v>
      </c>
      <c r="I1101">
        <v>1.9</v>
      </c>
      <c r="J1101">
        <v>0</v>
      </c>
      <c r="K1101" t="s">
        <v>15</v>
      </c>
      <c r="L1101" t="s">
        <v>25</v>
      </c>
    </row>
    <row r="1102" spans="1:12" x14ac:dyDescent="0.2">
      <c r="A1102">
        <v>23823</v>
      </c>
      <c r="B1102">
        <v>45</v>
      </c>
      <c r="C1102" t="s">
        <v>27</v>
      </c>
      <c r="D1102">
        <v>-1500</v>
      </c>
      <c r="E1102">
        <v>7451.02</v>
      </c>
      <c r="F1102">
        <v>24</v>
      </c>
      <c r="G1102">
        <v>11.56</v>
      </c>
      <c r="H1102">
        <v>3</v>
      </c>
      <c r="I1102">
        <v>8.8000000000000007</v>
      </c>
      <c r="J1102">
        <v>0</v>
      </c>
      <c r="K1102" t="s">
        <v>20</v>
      </c>
      <c r="L1102" t="s">
        <v>16</v>
      </c>
    </row>
    <row r="1103" spans="1:12" x14ac:dyDescent="0.2">
      <c r="A1103">
        <v>23608</v>
      </c>
      <c r="B1103">
        <v>25</v>
      </c>
      <c r="C1103" t="s">
        <v>23</v>
      </c>
      <c r="D1103">
        <v>5890.14</v>
      </c>
      <c r="E1103">
        <v>11213.05</v>
      </c>
      <c r="F1103">
        <v>18</v>
      </c>
      <c r="G1103">
        <v>15.53</v>
      </c>
      <c r="H1103">
        <v>3</v>
      </c>
      <c r="I1103">
        <v>13</v>
      </c>
      <c r="J1103">
        <v>120</v>
      </c>
      <c r="K1103" t="s">
        <v>13</v>
      </c>
      <c r="L1103" t="s">
        <v>22</v>
      </c>
    </row>
    <row r="1104" spans="1:12" x14ac:dyDescent="0.2">
      <c r="A1104">
        <v>23588</v>
      </c>
      <c r="B1104">
        <v>22</v>
      </c>
      <c r="C1104" t="s">
        <v>27</v>
      </c>
      <c r="D1104">
        <v>2015.04</v>
      </c>
      <c r="E1104">
        <v>25855.35</v>
      </c>
      <c r="F1104">
        <v>60</v>
      </c>
      <c r="G1104">
        <v>18.52</v>
      </c>
      <c r="H1104">
        <v>3</v>
      </c>
      <c r="J1104">
        <v>30</v>
      </c>
      <c r="K1104" t="s">
        <v>15</v>
      </c>
      <c r="L1104" t="s">
        <v>14</v>
      </c>
    </row>
    <row r="1105" spans="1:12" x14ac:dyDescent="0.2">
      <c r="A1105">
        <v>20791</v>
      </c>
      <c r="B1105">
        <v>28</v>
      </c>
      <c r="C1105" t="s">
        <v>27</v>
      </c>
      <c r="D1105">
        <v>6363.13</v>
      </c>
      <c r="E1105">
        <v>5453.36</v>
      </c>
      <c r="F1105">
        <v>18</v>
      </c>
      <c r="G1105">
        <v>16.84</v>
      </c>
      <c r="H1105">
        <v>1</v>
      </c>
      <c r="I1105">
        <v>7.2</v>
      </c>
      <c r="J1105">
        <v>0</v>
      </c>
      <c r="K1105" t="s">
        <v>15</v>
      </c>
      <c r="L1105" t="s">
        <v>14</v>
      </c>
    </row>
    <row r="1106" spans="1:12" x14ac:dyDescent="0.2">
      <c r="A1106">
        <v>24967</v>
      </c>
      <c r="B1106">
        <v>40</v>
      </c>
      <c r="C1106" t="s">
        <v>26</v>
      </c>
      <c r="D1106">
        <v>6801.44</v>
      </c>
      <c r="E1106">
        <v>24507.51</v>
      </c>
      <c r="F1106">
        <v>48</v>
      </c>
      <c r="G1106">
        <v>7.95</v>
      </c>
      <c r="H1106">
        <v>2</v>
      </c>
      <c r="I1106">
        <v>14</v>
      </c>
      <c r="J1106">
        <v>30</v>
      </c>
      <c r="K1106" t="s">
        <v>24</v>
      </c>
      <c r="L1106" t="s">
        <v>25</v>
      </c>
    </row>
    <row r="1107" spans="1:12" x14ac:dyDescent="0.2">
      <c r="A1107">
        <v>25214</v>
      </c>
      <c r="B1107">
        <v>48</v>
      </c>
      <c r="C1107" t="s">
        <v>21</v>
      </c>
      <c r="D1107">
        <v>7790.37</v>
      </c>
      <c r="E1107">
        <v>27193.85</v>
      </c>
      <c r="F1107">
        <v>36</v>
      </c>
      <c r="G1107">
        <v>25.28</v>
      </c>
      <c r="I1107">
        <v>6.5</v>
      </c>
      <c r="J1107">
        <v>0</v>
      </c>
      <c r="K1107" t="s">
        <v>15</v>
      </c>
      <c r="L1107" t="s">
        <v>16</v>
      </c>
    </row>
    <row r="1108" spans="1:12" x14ac:dyDescent="0.2">
      <c r="A1108">
        <v>22134</v>
      </c>
      <c r="B1108">
        <v>30</v>
      </c>
      <c r="C1108" t="s">
        <v>27</v>
      </c>
      <c r="D1108">
        <v>4161.24</v>
      </c>
      <c r="E1108">
        <v>25401.94</v>
      </c>
      <c r="F1108">
        <v>12</v>
      </c>
      <c r="G1108">
        <v>13.39</v>
      </c>
      <c r="H1108">
        <v>0</v>
      </c>
      <c r="I1108">
        <v>9.6999999999999993</v>
      </c>
      <c r="J1108">
        <v>0</v>
      </c>
      <c r="K1108" t="s">
        <v>20</v>
      </c>
      <c r="L1108" t="s">
        <v>16</v>
      </c>
    </row>
    <row r="1109" spans="1:12" x14ac:dyDescent="0.2">
      <c r="A1109">
        <v>20458</v>
      </c>
      <c r="B1109">
        <v>48</v>
      </c>
      <c r="C1109" t="s">
        <v>17</v>
      </c>
      <c r="D1109">
        <v>4218.8599999999997</v>
      </c>
      <c r="E1109">
        <v>14828.96</v>
      </c>
      <c r="F1109">
        <v>18</v>
      </c>
      <c r="G1109">
        <v>22.06</v>
      </c>
      <c r="H1109">
        <v>0</v>
      </c>
      <c r="I1109">
        <v>6.7</v>
      </c>
      <c r="J1109">
        <v>120</v>
      </c>
      <c r="K1109" t="s">
        <v>18</v>
      </c>
      <c r="L1109" t="s">
        <v>22</v>
      </c>
    </row>
    <row r="1110" spans="1:12" x14ac:dyDescent="0.2">
      <c r="A1110">
        <v>24419</v>
      </c>
      <c r="B1110">
        <v>40</v>
      </c>
      <c r="C1110" t="s">
        <v>27</v>
      </c>
      <c r="D1110">
        <v>3359.75</v>
      </c>
      <c r="E1110">
        <v>6197.51</v>
      </c>
      <c r="F1110">
        <v>24</v>
      </c>
      <c r="G1110">
        <v>15.79</v>
      </c>
      <c r="H1110">
        <v>2</v>
      </c>
      <c r="I1110">
        <v>7.7</v>
      </c>
      <c r="J1110">
        <v>90</v>
      </c>
      <c r="K1110" t="s">
        <v>15</v>
      </c>
      <c r="L1110" t="s">
        <v>22</v>
      </c>
    </row>
    <row r="1111" spans="1:12" x14ac:dyDescent="0.2">
      <c r="A1111">
        <v>24696</v>
      </c>
      <c r="B1111">
        <v>29</v>
      </c>
      <c r="C1111" t="s">
        <v>17</v>
      </c>
      <c r="D1111">
        <v>5165.32</v>
      </c>
      <c r="E1111">
        <v>17557.02</v>
      </c>
      <c r="F1111">
        <v>36</v>
      </c>
      <c r="G1111">
        <v>24.02</v>
      </c>
      <c r="H1111">
        <v>1</v>
      </c>
      <c r="I1111">
        <v>13.1</v>
      </c>
      <c r="J1111">
        <v>120</v>
      </c>
      <c r="K1111" t="s">
        <v>24</v>
      </c>
      <c r="L1111" t="s">
        <v>16</v>
      </c>
    </row>
    <row r="1112" spans="1:12" x14ac:dyDescent="0.2">
      <c r="A1112">
        <v>22111</v>
      </c>
      <c r="B1112">
        <v>34</v>
      </c>
      <c r="C1112" t="s">
        <v>21</v>
      </c>
      <c r="D1112">
        <v>4707.6000000000004</v>
      </c>
      <c r="E1112">
        <v>24037.95</v>
      </c>
      <c r="F1112">
        <v>24</v>
      </c>
      <c r="G1112">
        <v>24.51</v>
      </c>
      <c r="H1112">
        <v>4</v>
      </c>
      <c r="I1112">
        <v>-1.5</v>
      </c>
      <c r="K1112" t="s">
        <v>15</v>
      </c>
      <c r="L1112" t="s">
        <v>25</v>
      </c>
    </row>
    <row r="1113" spans="1:12" x14ac:dyDescent="0.2">
      <c r="A1113">
        <v>24983</v>
      </c>
      <c r="B1113">
        <v>37</v>
      </c>
      <c r="C1113" t="s">
        <v>23</v>
      </c>
      <c r="D1113">
        <v>5329.87</v>
      </c>
      <c r="E1113">
        <v>34111.65</v>
      </c>
      <c r="F1113">
        <v>60</v>
      </c>
      <c r="G1113">
        <v>55</v>
      </c>
      <c r="H1113">
        <v>1</v>
      </c>
      <c r="I1113">
        <v>-4.4000000000000004</v>
      </c>
      <c r="J1113">
        <v>90</v>
      </c>
      <c r="K1113" t="s">
        <v>13</v>
      </c>
      <c r="L1113" t="s">
        <v>16</v>
      </c>
    </row>
    <row r="1114" spans="1:12" x14ac:dyDescent="0.2">
      <c r="A1114">
        <v>22508</v>
      </c>
      <c r="B1114">
        <v>35</v>
      </c>
      <c r="C1114" t="s">
        <v>17</v>
      </c>
      <c r="D1114">
        <v>2405.23</v>
      </c>
      <c r="E1114">
        <v>11209.13</v>
      </c>
      <c r="F1114">
        <v>60</v>
      </c>
      <c r="G1114">
        <v>17.059999999999999</v>
      </c>
      <c r="H1114">
        <v>3</v>
      </c>
      <c r="I1114">
        <v>12.4</v>
      </c>
      <c r="J1114">
        <v>0</v>
      </c>
      <c r="K1114" t="s">
        <v>20</v>
      </c>
      <c r="L1114" t="s">
        <v>19</v>
      </c>
    </row>
    <row r="1115" spans="1:12" x14ac:dyDescent="0.2">
      <c r="A1115">
        <v>20868</v>
      </c>
      <c r="B1115">
        <v>30</v>
      </c>
      <c r="C1115" t="s">
        <v>27</v>
      </c>
      <c r="D1115">
        <v>5848.75</v>
      </c>
      <c r="E1115">
        <v>17110.37</v>
      </c>
      <c r="F1115">
        <v>48</v>
      </c>
      <c r="G1115">
        <v>17.61</v>
      </c>
      <c r="H1115">
        <v>4</v>
      </c>
      <c r="I1115">
        <v>3.1</v>
      </c>
      <c r="J1115">
        <v>0</v>
      </c>
      <c r="K1115" t="s">
        <v>20</v>
      </c>
      <c r="L1115" t="s">
        <v>25</v>
      </c>
    </row>
    <row r="1116" spans="1:12" x14ac:dyDescent="0.2">
      <c r="A1116">
        <v>22543</v>
      </c>
      <c r="B1116">
        <v>35</v>
      </c>
      <c r="C1116" t="s">
        <v>21</v>
      </c>
      <c r="D1116">
        <v>5657.08</v>
      </c>
      <c r="E1116">
        <v>22555.95</v>
      </c>
      <c r="F1116">
        <v>60</v>
      </c>
      <c r="G1116">
        <v>12.98</v>
      </c>
      <c r="H1116">
        <v>4</v>
      </c>
      <c r="I1116">
        <v>12.1</v>
      </c>
      <c r="J1116">
        <v>0</v>
      </c>
      <c r="K1116" t="s">
        <v>20</v>
      </c>
      <c r="L1116" t="s">
        <v>14</v>
      </c>
    </row>
    <row r="1117" spans="1:12" x14ac:dyDescent="0.2">
      <c r="A1117">
        <v>22848</v>
      </c>
      <c r="B1117">
        <v>48</v>
      </c>
      <c r="C1117" t="s">
        <v>23</v>
      </c>
      <c r="D1117">
        <v>541.64</v>
      </c>
      <c r="E1117">
        <v>25277.72</v>
      </c>
      <c r="F1117">
        <v>12</v>
      </c>
      <c r="G1117">
        <v>13.72</v>
      </c>
      <c r="H1117">
        <v>3</v>
      </c>
      <c r="I1117">
        <v>4.4000000000000004</v>
      </c>
      <c r="J1117">
        <v>60</v>
      </c>
      <c r="K1117" t="s">
        <v>15</v>
      </c>
      <c r="L1117" t="s">
        <v>16</v>
      </c>
    </row>
    <row r="1118" spans="1:12" x14ac:dyDescent="0.2">
      <c r="A1118">
        <v>24605</v>
      </c>
      <c r="B1118">
        <v>48</v>
      </c>
      <c r="C1118" t="s">
        <v>12</v>
      </c>
      <c r="D1118">
        <v>6316.83</v>
      </c>
      <c r="E1118">
        <v>19934.22</v>
      </c>
      <c r="F1118">
        <v>6</v>
      </c>
      <c r="G1118">
        <v>21.1</v>
      </c>
      <c r="H1118">
        <v>3</v>
      </c>
      <c r="I1118">
        <v>4.3</v>
      </c>
      <c r="J1118">
        <v>60</v>
      </c>
      <c r="K1118" t="s">
        <v>18</v>
      </c>
      <c r="L1118" t="s">
        <v>16</v>
      </c>
    </row>
    <row r="1119" spans="1:12" x14ac:dyDescent="0.2">
      <c r="A1119">
        <v>20619</v>
      </c>
      <c r="B1119">
        <v>39</v>
      </c>
      <c r="C1119" t="s">
        <v>23</v>
      </c>
      <c r="D1119">
        <v>5494.49</v>
      </c>
      <c r="E1119">
        <v>24185.09</v>
      </c>
      <c r="F1119">
        <v>12</v>
      </c>
      <c r="G1119">
        <v>15.97</v>
      </c>
      <c r="H1119">
        <v>2</v>
      </c>
      <c r="J1119">
        <v>0</v>
      </c>
      <c r="K1119" t="s">
        <v>15</v>
      </c>
      <c r="L1119" t="s">
        <v>19</v>
      </c>
    </row>
    <row r="1120" spans="1:12" x14ac:dyDescent="0.2">
      <c r="A1120">
        <v>22981</v>
      </c>
      <c r="B1120">
        <v>58</v>
      </c>
      <c r="C1120" t="s">
        <v>27</v>
      </c>
      <c r="D1120">
        <v>6933.44</v>
      </c>
      <c r="E1120">
        <v>35542.49</v>
      </c>
      <c r="F1120">
        <v>18</v>
      </c>
      <c r="G1120">
        <v>20.82</v>
      </c>
      <c r="H1120">
        <v>4</v>
      </c>
      <c r="I1120">
        <v>3.6</v>
      </c>
      <c r="J1120">
        <v>30</v>
      </c>
      <c r="K1120" t="s">
        <v>13</v>
      </c>
      <c r="L1120" t="s">
        <v>25</v>
      </c>
    </row>
    <row r="1121" spans="1:12" x14ac:dyDescent="0.2">
      <c r="A1121">
        <v>22847</v>
      </c>
      <c r="B1121">
        <v>44</v>
      </c>
      <c r="C1121" t="s">
        <v>27</v>
      </c>
      <c r="D1121">
        <v>8043.6</v>
      </c>
      <c r="E1121">
        <v>21482.41</v>
      </c>
      <c r="F1121">
        <v>24</v>
      </c>
      <c r="G1121">
        <v>18.12</v>
      </c>
      <c r="H1121">
        <v>2</v>
      </c>
      <c r="I1121">
        <v>9.9</v>
      </c>
      <c r="K1121" t="s">
        <v>13</v>
      </c>
      <c r="L1121" t="s">
        <v>16</v>
      </c>
    </row>
    <row r="1122" spans="1:12" x14ac:dyDescent="0.2">
      <c r="A1122">
        <v>24496</v>
      </c>
      <c r="B1122">
        <v>43</v>
      </c>
      <c r="C1122" t="s">
        <v>17</v>
      </c>
      <c r="D1122">
        <v>3031.86</v>
      </c>
      <c r="E1122">
        <v>25072.69</v>
      </c>
      <c r="F1122">
        <v>6</v>
      </c>
      <c r="G1122">
        <v>12.15</v>
      </c>
      <c r="I1122">
        <v>7.2</v>
      </c>
      <c r="J1122">
        <v>30</v>
      </c>
      <c r="K1122" t="s">
        <v>24</v>
      </c>
      <c r="L1122" t="s">
        <v>19</v>
      </c>
    </row>
    <row r="1123" spans="1:12" x14ac:dyDescent="0.2">
      <c r="A1123">
        <v>23856</v>
      </c>
      <c r="B1123">
        <v>53</v>
      </c>
      <c r="C1123" t="s">
        <v>26</v>
      </c>
      <c r="D1123">
        <v>-1500</v>
      </c>
      <c r="E1123">
        <v>23743.360000000001</v>
      </c>
      <c r="F1123">
        <v>48</v>
      </c>
      <c r="G1123">
        <v>22.31</v>
      </c>
      <c r="H1123">
        <v>2</v>
      </c>
      <c r="I1123">
        <v>9.8000000000000007</v>
      </c>
      <c r="J1123">
        <v>15</v>
      </c>
      <c r="K1123" t="s">
        <v>20</v>
      </c>
      <c r="L1123" t="s">
        <v>16</v>
      </c>
    </row>
    <row r="1124" spans="1:12" x14ac:dyDescent="0.2">
      <c r="A1124">
        <v>25516</v>
      </c>
      <c r="B1124">
        <v>55</v>
      </c>
      <c r="C1124" t="s">
        <v>12</v>
      </c>
      <c r="D1124">
        <v>4471.6099999999997</v>
      </c>
      <c r="E1124">
        <v>18998.32</v>
      </c>
      <c r="F1124">
        <v>60</v>
      </c>
      <c r="G1124">
        <v>14.55</v>
      </c>
      <c r="H1124">
        <v>1</v>
      </c>
      <c r="I1124">
        <v>3</v>
      </c>
      <c r="K1124" t="s">
        <v>15</v>
      </c>
      <c r="L1124" t="s">
        <v>19</v>
      </c>
    </row>
    <row r="1125" spans="1:12" x14ac:dyDescent="0.2">
      <c r="A1125">
        <v>21738</v>
      </c>
      <c r="B1125">
        <v>53</v>
      </c>
      <c r="C1125" t="s">
        <v>23</v>
      </c>
      <c r="D1125">
        <v>8690.5300000000007</v>
      </c>
      <c r="E1125">
        <v>18694.509999999998</v>
      </c>
      <c r="F1125">
        <v>6</v>
      </c>
      <c r="G1125">
        <v>13.12</v>
      </c>
      <c r="H1125">
        <v>0</v>
      </c>
      <c r="I1125">
        <v>0</v>
      </c>
      <c r="J1125">
        <v>60</v>
      </c>
      <c r="K1125" t="s">
        <v>24</v>
      </c>
      <c r="L1125" t="s">
        <v>16</v>
      </c>
    </row>
    <row r="1126" spans="1:12" x14ac:dyDescent="0.2">
      <c r="A1126">
        <v>21572</v>
      </c>
      <c r="B1126">
        <v>28</v>
      </c>
      <c r="C1126" t="s">
        <v>12</v>
      </c>
      <c r="D1126">
        <v>2405.44</v>
      </c>
      <c r="E1126">
        <v>17715.7</v>
      </c>
      <c r="F1126">
        <v>6</v>
      </c>
      <c r="G1126">
        <v>13.72</v>
      </c>
      <c r="H1126">
        <v>1</v>
      </c>
      <c r="I1126">
        <v>6.3</v>
      </c>
      <c r="J1126">
        <v>30</v>
      </c>
      <c r="K1126" t="s">
        <v>24</v>
      </c>
      <c r="L1126" t="s">
        <v>16</v>
      </c>
    </row>
    <row r="1127" spans="1:12" x14ac:dyDescent="0.2">
      <c r="A1127">
        <v>20657</v>
      </c>
      <c r="B1127">
        <v>64</v>
      </c>
      <c r="C1127" t="s">
        <v>17</v>
      </c>
      <c r="D1127">
        <v>4326.4399999999996</v>
      </c>
      <c r="E1127">
        <v>26419.33</v>
      </c>
      <c r="F1127">
        <v>12</v>
      </c>
      <c r="G1127">
        <v>17.329999999999998</v>
      </c>
      <c r="H1127">
        <v>3</v>
      </c>
      <c r="I1127">
        <v>4.4000000000000004</v>
      </c>
      <c r="J1127">
        <v>30</v>
      </c>
      <c r="K1127" t="s">
        <v>15</v>
      </c>
      <c r="L1127" t="s">
        <v>19</v>
      </c>
    </row>
    <row r="1128" spans="1:12" x14ac:dyDescent="0.2">
      <c r="A1128">
        <v>22354</v>
      </c>
      <c r="B1128">
        <v>50</v>
      </c>
      <c r="C1128" t="s">
        <v>12</v>
      </c>
      <c r="D1128">
        <v>6709.15</v>
      </c>
      <c r="E1128">
        <v>28489.48</v>
      </c>
      <c r="F1128">
        <v>36</v>
      </c>
      <c r="G1128">
        <v>22.01</v>
      </c>
      <c r="H1128">
        <v>1</v>
      </c>
      <c r="I1128">
        <v>0.3</v>
      </c>
      <c r="K1128" t="s">
        <v>13</v>
      </c>
      <c r="L1128" t="s">
        <v>14</v>
      </c>
    </row>
    <row r="1129" spans="1:12" x14ac:dyDescent="0.2">
      <c r="A1129">
        <v>25281</v>
      </c>
      <c r="B1129">
        <v>31</v>
      </c>
      <c r="C1129" t="s">
        <v>12</v>
      </c>
      <c r="D1129">
        <v>3448.07</v>
      </c>
      <c r="E1129">
        <v>1393.01</v>
      </c>
      <c r="F1129">
        <v>24</v>
      </c>
      <c r="G1129">
        <v>20.7</v>
      </c>
      <c r="H1129">
        <v>2</v>
      </c>
      <c r="I1129">
        <v>10.3</v>
      </c>
      <c r="J1129">
        <v>90</v>
      </c>
      <c r="K1129" t="s">
        <v>13</v>
      </c>
      <c r="L1129" t="s">
        <v>14</v>
      </c>
    </row>
    <row r="1130" spans="1:12" x14ac:dyDescent="0.2">
      <c r="A1130">
        <v>21677</v>
      </c>
      <c r="B1130">
        <v>45</v>
      </c>
      <c r="C1130" t="s">
        <v>12</v>
      </c>
      <c r="D1130">
        <v>6503.54</v>
      </c>
      <c r="E1130">
        <v>21148.89</v>
      </c>
      <c r="F1130">
        <v>48</v>
      </c>
      <c r="G1130">
        <v>18.670000000000002</v>
      </c>
      <c r="I1130">
        <v>12.9</v>
      </c>
      <c r="J1130">
        <v>90</v>
      </c>
      <c r="K1130" t="s">
        <v>13</v>
      </c>
      <c r="L1130" t="s">
        <v>16</v>
      </c>
    </row>
    <row r="1131" spans="1:12" x14ac:dyDescent="0.2">
      <c r="A1131">
        <v>21487</v>
      </c>
      <c r="B1131">
        <v>56</v>
      </c>
      <c r="C1131" t="s">
        <v>26</v>
      </c>
      <c r="D1131">
        <v>4937.47</v>
      </c>
      <c r="E1131">
        <v>14011.09</v>
      </c>
      <c r="F1131">
        <v>48</v>
      </c>
      <c r="G1131">
        <v>20.48</v>
      </c>
      <c r="H1131">
        <v>4</v>
      </c>
      <c r="I1131">
        <v>5.6</v>
      </c>
      <c r="J1131">
        <v>30</v>
      </c>
      <c r="K1131" t="s">
        <v>13</v>
      </c>
      <c r="L1131" t="s">
        <v>22</v>
      </c>
    </row>
    <row r="1132" spans="1:12" x14ac:dyDescent="0.2">
      <c r="A1132">
        <v>23596</v>
      </c>
      <c r="B1132">
        <v>60</v>
      </c>
      <c r="C1132" t="s">
        <v>21</v>
      </c>
      <c r="D1132">
        <v>6332.09</v>
      </c>
      <c r="F1132">
        <v>60</v>
      </c>
      <c r="G1132">
        <v>17.13</v>
      </c>
      <c r="H1132">
        <v>1</v>
      </c>
      <c r="I1132">
        <v>15.2</v>
      </c>
      <c r="J1132">
        <v>0</v>
      </c>
      <c r="K1132" t="s">
        <v>24</v>
      </c>
      <c r="L1132" t="s">
        <v>22</v>
      </c>
    </row>
    <row r="1133" spans="1:12" x14ac:dyDescent="0.2">
      <c r="A1133">
        <v>22206</v>
      </c>
      <c r="B1133">
        <v>61</v>
      </c>
      <c r="C1133" t="s">
        <v>26</v>
      </c>
      <c r="D1133">
        <v>6158.32</v>
      </c>
      <c r="E1133">
        <v>30323.53</v>
      </c>
      <c r="F1133">
        <v>18</v>
      </c>
      <c r="G1133">
        <v>18.850000000000001</v>
      </c>
      <c r="I1133">
        <v>14.3</v>
      </c>
      <c r="J1133">
        <v>0</v>
      </c>
      <c r="K1133" t="s">
        <v>18</v>
      </c>
      <c r="L1133" t="s">
        <v>25</v>
      </c>
    </row>
    <row r="1134" spans="1:12" x14ac:dyDescent="0.2">
      <c r="A1134">
        <v>22724</v>
      </c>
      <c r="B1134">
        <v>40</v>
      </c>
      <c r="C1134" t="s">
        <v>17</v>
      </c>
      <c r="D1134">
        <v>2968.45</v>
      </c>
      <c r="E1134">
        <v>33766.47</v>
      </c>
      <c r="F1134">
        <v>18</v>
      </c>
      <c r="G1134">
        <v>16.190000000000001</v>
      </c>
      <c r="H1134">
        <v>0</v>
      </c>
      <c r="I1134">
        <v>9.1</v>
      </c>
      <c r="J1134">
        <v>120</v>
      </c>
      <c r="K1134" t="s">
        <v>18</v>
      </c>
      <c r="L1134" t="s">
        <v>25</v>
      </c>
    </row>
    <row r="1135" spans="1:12" x14ac:dyDescent="0.2">
      <c r="A1135">
        <v>22515</v>
      </c>
      <c r="B1135">
        <v>32</v>
      </c>
      <c r="C1135" t="s">
        <v>27</v>
      </c>
      <c r="D1135">
        <v>4787.03</v>
      </c>
      <c r="E1135">
        <v>31083.9</v>
      </c>
      <c r="F1135">
        <v>48</v>
      </c>
      <c r="G1135">
        <v>17.14</v>
      </c>
      <c r="H1135">
        <v>0</v>
      </c>
      <c r="I1135">
        <v>6.1</v>
      </c>
      <c r="J1135">
        <v>90</v>
      </c>
      <c r="K1135" t="s">
        <v>18</v>
      </c>
      <c r="L1135" t="s">
        <v>22</v>
      </c>
    </row>
    <row r="1136" spans="1:12" x14ac:dyDescent="0.2">
      <c r="A1136">
        <v>20017</v>
      </c>
      <c r="B1136">
        <v>21</v>
      </c>
      <c r="C1136" t="s">
        <v>23</v>
      </c>
      <c r="D1136">
        <v>1108.17</v>
      </c>
      <c r="E1136">
        <v>25080.22</v>
      </c>
      <c r="F1136">
        <v>18</v>
      </c>
      <c r="G1136">
        <v>13</v>
      </c>
      <c r="I1136">
        <v>16.399999999999999</v>
      </c>
      <c r="J1136">
        <v>120</v>
      </c>
      <c r="K1136" t="s">
        <v>18</v>
      </c>
      <c r="L1136" t="s">
        <v>16</v>
      </c>
    </row>
    <row r="1137" spans="1:12" x14ac:dyDescent="0.2">
      <c r="A1137">
        <v>22478</v>
      </c>
      <c r="B1137">
        <v>58</v>
      </c>
      <c r="C1137" t="s">
        <v>23</v>
      </c>
      <c r="D1137">
        <v>9681.73</v>
      </c>
      <c r="E1137">
        <v>27544.6</v>
      </c>
      <c r="F1137">
        <v>12</v>
      </c>
      <c r="G1137">
        <v>8.42</v>
      </c>
      <c r="H1137">
        <v>1</v>
      </c>
      <c r="I1137">
        <v>1.5</v>
      </c>
      <c r="J1137">
        <v>0</v>
      </c>
      <c r="K1137" t="s">
        <v>13</v>
      </c>
      <c r="L1137" t="s">
        <v>25</v>
      </c>
    </row>
    <row r="1138" spans="1:12" x14ac:dyDescent="0.2">
      <c r="A1138">
        <v>24089</v>
      </c>
      <c r="B1138">
        <v>51</v>
      </c>
      <c r="C1138" t="s">
        <v>12</v>
      </c>
      <c r="D1138">
        <v>3406.48</v>
      </c>
      <c r="E1138">
        <v>19487.900000000001</v>
      </c>
      <c r="F1138">
        <v>60</v>
      </c>
      <c r="G1138">
        <v>21.34</v>
      </c>
      <c r="I1138">
        <v>13.3</v>
      </c>
      <c r="J1138">
        <v>0</v>
      </c>
      <c r="K1138" t="s">
        <v>15</v>
      </c>
      <c r="L1138" t="s">
        <v>22</v>
      </c>
    </row>
    <row r="1139" spans="1:12" x14ac:dyDescent="0.2">
      <c r="A1139">
        <v>21908</v>
      </c>
      <c r="B1139">
        <v>51</v>
      </c>
      <c r="C1139" t="s">
        <v>12</v>
      </c>
      <c r="D1139">
        <v>3407.35</v>
      </c>
      <c r="E1139">
        <v>46288.93</v>
      </c>
      <c r="F1139">
        <v>36</v>
      </c>
      <c r="G1139">
        <v>22.18</v>
      </c>
      <c r="H1139">
        <v>1</v>
      </c>
      <c r="I1139">
        <v>10.3</v>
      </c>
      <c r="J1139">
        <v>0</v>
      </c>
      <c r="K1139" t="s">
        <v>24</v>
      </c>
      <c r="L1139" t="s">
        <v>16</v>
      </c>
    </row>
    <row r="1140" spans="1:12" x14ac:dyDescent="0.2">
      <c r="A1140">
        <v>21370</v>
      </c>
      <c r="B1140">
        <v>32</v>
      </c>
      <c r="C1140" t="s">
        <v>12</v>
      </c>
      <c r="D1140">
        <v>4797.5600000000004</v>
      </c>
      <c r="E1140">
        <v>24489.32</v>
      </c>
      <c r="F1140">
        <v>36</v>
      </c>
      <c r="G1140">
        <v>18.010000000000002</v>
      </c>
      <c r="H1140">
        <v>3</v>
      </c>
      <c r="I1140">
        <v>5.0999999999999996</v>
      </c>
      <c r="K1140" t="s">
        <v>20</v>
      </c>
      <c r="L1140" t="s">
        <v>25</v>
      </c>
    </row>
    <row r="1141" spans="1:12" x14ac:dyDescent="0.2">
      <c r="A1141">
        <v>21187</v>
      </c>
      <c r="B1141">
        <v>51</v>
      </c>
      <c r="C1141" t="s">
        <v>27</v>
      </c>
      <c r="D1141">
        <v>6202.33</v>
      </c>
      <c r="E1141">
        <v>15102.72</v>
      </c>
      <c r="F1141">
        <v>48</v>
      </c>
      <c r="G1141">
        <v>24.84</v>
      </c>
      <c r="H1141">
        <v>4</v>
      </c>
      <c r="I1141">
        <v>9</v>
      </c>
      <c r="J1141">
        <v>120</v>
      </c>
      <c r="K1141" t="s">
        <v>20</v>
      </c>
      <c r="L1141" t="s">
        <v>22</v>
      </c>
    </row>
    <row r="1142" spans="1:12" x14ac:dyDescent="0.2">
      <c r="A1142">
        <v>22613</v>
      </c>
      <c r="B1142">
        <v>46</v>
      </c>
      <c r="C1142" t="s">
        <v>26</v>
      </c>
      <c r="D1142">
        <v>4550.28</v>
      </c>
      <c r="E1142">
        <v>17498.11</v>
      </c>
      <c r="F1142">
        <v>18</v>
      </c>
      <c r="G1142">
        <v>19.93</v>
      </c>
      <c r="H1142">
        <v>3</v>
      </c>
      <c r="I1142">
        <v>8.1</v>
      </c>
      <c r="J1142">
        <v>15</v>
      </c>
      <c r="K1142" t="s">
        <v>18</v>
      </c>
      <c r="L1142" t="s">
        <v>19</v>
      </c>
    </row>
    <row r="1143" spans="1:12" x14ac:dyDescent="0.2">
      <c r="A1143">
        <v>25835</v>
      </c>
      <c r="B1143">
        <v>53</v>
      </c>
      <c r="C1143" t="s">
        <v>21</v>
      </c>
      <c r="D1143">
        <v>4840.62</v>
      </c>
      <c r="E1143">
        <v>-3700.89</v>
      </c>
      <c r="F1143">
        <v>18</v>
      </c>
      <c r="G1143">
        <v>22.3</v>
      </c>
      <c r="H1143">
        <v>1</v>
      </c>
      <c r="I1143">
        <v>6.3</v>
      </c>
      <c r="J1143">
        <v>0</v>
      </c>
      <c r="K1143" t="s">
        <v>18</v>
      </c>
      <c r="L1143" t="s">
        <v>14</v>
      </c>
    </row>
    <row r="1144" spans="1:12" x14ac:dyDescent="0.2">
      <c r="A1144">
        <v>23164</v>
      </c>
      <c r="B1144">
        <v>40</v>
      </c>
      <c r="C1144" t="s">
        <v>17</v>
      </c>
      <c r="D1144">
        <v>-1500</v>
      </c>
      <c r="E1144">
        <v>23986.99</v>
      </c>
      <c r="F1144">
        <v>18</v>
      </c>
      <c r="G1144">
        <v>23.8</v>
      </c>
      <c r="H1144">
        <v>2</v>
      </c>
      <c r="I1144">
        <v>5</v>
      </c>
      <c r="J1144">
        <v>60</v>
      </c>
      <c r="K1144" t="s">
        <v>15</v>
      </c>
      <c r="L1144" t="s">
        <v>22</v>
      </c>
    </row>
    <row r="1145" spans="1:12" x14ac:dyDescent="0.2">
      <c r="A1145">
        <v>25242</v>
      </c>
      <c r="B1145">
        <v>54</v>
      </c>
      <c r="C1145" t="s">
        <v>27</v>
      </c>
      <c r="D1145">
        <v>5391.93</v>
      </c>
      <c r="E1145">
        <v>22750.97</v>
      </c>
      <c r="F1145">
        <v>18</v>
      </c>
      <c r="G1145">
        <v>20.04</v>
      </c>
      <c r="H1145">
        <v>1</v>
      </c>
      <c r="I1145">
        <v>-2</v>
      </c>
      <c r="K1145" t="s">
        <v>20</v>
      </c>
      <c r="L1145" t="s">
        <v>14</v>
      </c>
    </row>
    <row r="1146" spans="1:12" x14ac:dyDescent="0.2">
      <c r="A1146">
        <v>20694</v>
      </c>
      <c r="B1146">
        <v>27</v>
      </c>
      <c r="C1146" t="s">
        <v>27</v>
      </c>
      <c r="D1146">
        <v>3831.9</v>
      </c>
      <c r="E1146">
        <v>4973.08</v>
      </c>
      <c r="F1146">
        <v>24</v>
      </c>
      <c r="G1146">
        <v>21.6</v>
      </c>
      <c r="H1146">
        <v>3</v>
      </c>
      <c r="I1146">
        <v>4</v>
      </c>
      <c r="J1146">
        <v>0</v>
      </c>
      <c r="K1146" t="s">
        <v>13</v>
      </c>
      <c r="L1146" t="s">
        <v>14</v>
      </c>
    </row>
    <row r="1147" spans="1:12" x14ac:dyDescent="0.2">
      <c r="A1147">
        <v>23858</v>
      </c>
      <c r="B1147">
        <v>40</v>
      </c>
      <c r="C1147" t="s">
        <v>21</v>
      </c>
      <c r="D1147">
        <v>4670.8500000000004</v>
      </c>
      <c r="E1147">
        <v>21548.66</v>
      </c>
      <c r="F1147">
        <v>36</v>
      </c>
      <c r="G1147">
        <v>20.32</v>
      </c>
      <c r="H1147">
        <v>2</v>
      </c>
      <c r="I1147">
        <v>4.5999999999999996</v>
      </c>
      <c r="J1147">
        <v>0</v>
      </c>
      <c r="K1147" t="s">
        <v>20</v>
      </c>
      <c r="L1147" t="s">
        <v>19</v>
      </c>
    </row>
    <row r="1148" spans="1:12" x14ac:dyDescent="0.2">
      <c r="A1148">
        <v>25143</v>
      </c>
      <c r="B1148">
        <v>47</v>
      </c>
      <c r="C1148" t="s">
        <v>27</v>
      </c>
      <c r="D1148">
        <v>4204.37</v>
      </c>
      <c r="E1148">
        <v>16622.310000000001</v>
      </c>
      <c r="F1148">
        <v>18</v>
      </c>
      <c r="G1148">
        <v>17.32</v>
      </c>
      <c r="H1148">
        <v>1</v>
      </c>
      <c r="I1148">
        <v>9.8000000000000007</v>
      </c>
      <c r="J1148">
        <v>30</v>
      </c>
      <c r="K1148" t="s">
        <v>18</v>
      </c>
      <c r="L1148" t="s">
        <v>16</v>
      </c>
    </row>
    <row r="1149" spans="1:12" x14ac:dyDescent="0.2">
      <c r="A1149">
        <v>24605</v>
      </c>
      <c r="B1149">
        <v>51</v>
      </c>
      <c r="C1149" t="s">
        <v>26</v>
      </c>
      <c r="D1149">
        <v>7904.17</v>
      </c>
      <c r="E1149">
        <v>16719.78</v>
      </c>
      <c r="F1149">
        <v>24</v>
      </c>
      <c r="G1149">
        <v>12.81</v>
      </c>
      <c r="I1149">
        <v>5.3</v>
      </c>
      <c r="K1149" t="s">
        <v>15</v>
      </c>
      <c r="L1149" t="s">
        <v>25</v>
      </c>
    </row>
    <row r="1150" spans="1:12" x14ac:dyDescent="0.2">
      <c r="A1150">
        <v>24188</v>
      </c>
      <c r="B1150">
        <v>21</v>
      </c>
      <c r="C1150" t="s">
        <v>21</v>
      </c>
      <c r="D1150">
        <v>5293.76</v>
      </c>
      <c r="E1150">
        <v>13143.59</v>
      </c>
      <c r="F1150">
        <v>18</v>
      </c>
      <c r="G1150">
        <v>16.760000000000002</v>
      </c>
      <c r="I1150">
        <v>-0.5</v>
      </c>
      <c r="J1150">
        <v>15</v>
      </c>
      <c r="K1150" t="s">
        <v>13</v>
      </c>
      <c r="L1150" t="s">
        <v>22</v>
      </c>
    </row>
    <row r="1151" spans="1:12" x14ac:dyDescent="0.2">
      <c r="A1151">
        <v>25124</v>
      </c>
      <c r="B1151">
        <v>36</v>
      </c>
      <c r="C1151" t="s">
        <v>23</v>
      </c>
      <c r="D1151">
        <v>2263.89</v>
      </c>
      <c r="E1151">
        <v>27454.53</v>
      </c>
      <c r="F1151">
        <v>12</v>
      </c>
      <c r="G1151">
        <v>16.25</v>
      </c>
      <c r="H1151">
        <v>2</v>
      </c>
      <c r="I1151">
        <v>8</v>
      </c>
      <c r="J1151">
        <v>60</v>
      </c>
      <c r="K1151" t="s">
        <v>20</v>
      </c>
      <c r="L1151" t="s">
        <v>19</v>
      </c>
    </row>
    <row r="1152" spans="1:12" x14ac:dyDescent="0.2">
      <c r="A1152">
        <v>24302</v>
      </c>
      <c r="B1152">
        <v>31</v>
      </c>
      <c r="C1152" t="s">
        <v>17</v>
      </c>
      <c r="D1152">
        <v>5112.05</v>
      </c>
      <c r="E1152">
        <v>29657.7</v>
      </c>
      <c r="F1152">
        <v>60</v>
      </c>
      <c r="G1152">
        <v>7.82</v>
      </c>
      <c r="H1152">
        <v>0</v>
      </c>
      <c r="I1152">
        <v>6.1</v>
      </c>
      <c r="J1152">
        <v>15</v>
      </c>
      <c r="K1152" t="s">
        <v>13</v>
      </c>
      <c r="L1152" t="s">
        <v>25</v>
      </c>
    </row>
    <row r="1153" spans="1:12" x14ac:dyDescent="0.2">
      <c r="A1153">
        <v>23658</v>
      </c>
      <c r="B1153">
        <v>42</v>
      </c>
      <c r="C1153" t="s">
        <v>23</v>
      </c>
      <c r="D1153">
        <v>4613.13</v>
      </c>
      <c r="E1153">
        <v>21261.38</v>
      </c>
      <c r="F1153">
        <v>24</v>
      </c>
      <c r="G1153">
        <v>18.149999999999999</v>
      </c>
      <c r="H1153">
        <v>0</v>
      </c>
      <c r="I1153">
        <v>3.8</v>
      </c>
      <c r="J1153">
        <v>0</v>
      </c>
      <c r="K1153" t="s">
        <v>15</v>
      </c>
      <c r="L1153" t="s">
        <v>22</v>
      </c>
    </row>
    <row r="1154" spans="1:12" x14ac:dyDescent="0.2">
      <c r="A1154">
        <v>22010</v>
      </c>
      <c r="B1154">
        <v>25</v>
      </c>
      <c r="C1154" t="s">
        <v>23</v>
      </c>
      <c r="D1154">
        <v>4859.0200000000004</v>
      </c>
      <c r="E1154">
        <v>40681.54</v>
      </c>
      <c r="F1154">
        <v>60</v>
      </c>
      <c r="G1154">
        <v>14.48</v>
      </c>
      <c r="I1154">
        <v>8.1999999999999993</v>
      </c>
      <c r="J1154">
        <v>0</v>
      </c>
      <c r="K1154" t="s">
        <v>24</v>
      </c>
      <c r="L1154" t="s">
        <v>16</v>
      </c>
    </row>
    <row r="1155" spans="1:12" x14ac:dyDescent="0.2">
      <c r="A1155">
        <v>23662</v>
      </c>
      <c r="B1155">
        <v>22</v>
      </c>
      <c r="C1155" t="s">
        <v>21</v>
      </c>
      <c r="D1155">
        <v>5235.97</v>
      </c>
      <c r="E1155">
        <v>24297.34</v>
      </c>
      <c r="F1155">
        <v>60</v>
      </c>
      <c r="G1155">
        <v>21.03</v>
      </c>
      <c r="H1155">
        <v>2</v>
      </c>
      <c r="I1155">
        <v>6.2</v>
      </c>
      <c r="J1155">
        <v>0</v>
      </c>
      <c r="K1155" t="s">
        <v>24</v>
      </c>
      <c r="L1155" t="s">
        <v>25</v>
      </c>
    </row>
    <row r="1156" spans="1:12" x14ac:dyDescent="0.2">
      <c r="A1156">
        <v>21834</v>
      </c>
      <c r="B1156">
        <v>18</v>
      </c>
      <c r="C1156" t="s">
        <v>21</v>
      </c>
      <c r="D1156">
        <v>657.99</v>
      </c>
      <c r="E1156">
        <v>24797.56</v>
      </c>
      <c r="F1156">
        <v>48</v>
      </c>
      <c r="G1156">
        <v>16.04</v>
      </c>
      <c r="H1156">
        <v>2</v>
      </c>
      <c r="I1156">
        <v>8.6</v>
      </c>
      <c r="J1156">
        <v>90</v>
      </c>
      <c r="K1156" t="s">
        <v>24</v>
      </c>
      <c r="L1156" t="s">
        <v>14</v>
      </c>
    </row>
    <row r="1157" spans="1:12" x14ac:dyDescent="0.2">
      <c r="A1157">
        <v>21481</v>
      </c>
      <c r="B1157">
        <v>120</v>
      </c>
      <c r="C1157" t="s">
        <v>27</v>
      </c>
      <c r="D1157">
        <v>5905.57</v>
      </c>
      <c r="E1157">
        <v>22992.83</v>
      </c>
      <c r="F1157">
        <v>12</v>
      </c>
      <c r="G1157">
        <v>18.8</v>
      </c>
      <c r="H1157">
        <v>0</v>
      </c>
      <c r="I1157">
        <v>6.7</v>
      </c>
      <c r="J1157">
        <v>0</v>
      </c>
      <c r="K1157" t="s">
        <v>24</v>
      </c>
      <c r="L1157" t="s">
        <v>16</v>
      </c>
    </row>
    <row r="1158" spans="1:12" x14ac:dyDescent="0.2">
      <c r="A1158">
        <v>23559</v>
      </c>
      <c r="B1158">
        <v>63</v>
      </c>
      <c r="C1158" t="s">
        <v>23</v>
      </c>
      <c r="D1158">
        <v>8393.07</v>
      </c>
      <c r="E1158">
        <v>12076.81</v>
      </c>
      <c r="F1158">
        <v>12</v>
      </c>
      <c r="G1158">
        <v>25.99</v>
      </c>
      <c r="H1158">
        <v>1</v>
      </c>
      <c r="I1158">
        <v>5</v>
      </c>
      <c r="J1158">
        <v>15</v>
      </c>
      <c r="K1158" t="s">
        <v>15</v>
      </c>
      <c r="L1158" t="s">
        <v>14</v>
      </c>
    </row>
    <row r="1159" spans="1:12" x14ac:dyDescent="0.2">
      <c r="A1159">
        <v>25589</v>
      </c>
      <c r="B1159">
        <v>31</v>
      </c>
      <c r="C1159" t="s">
        <v>27</v>
      </c>
      <c r="D1159">
        <v>7508.77</v>
      </c>
      <c r="E1159">
        <v>22454.27</v>
      </c>
      <c r="F1159">
        <v>24</v>
      </c>
      <c r="G1159">
        <v>16.600000000000001</v>
      </c>
      <c r="H1159">
        <v>4</v>
      </c>
      <c r="I1159">
        <v>10.1</v>
      </c>
      <c r="J1159">
        <v>15</v>
      </c>
      <c r="K1159" t="s">
        <v>18</v>
      </c>
      <c r="L1159" t="s">
        <v>22</v>
      </c>
    </row>
    <row r="1160" spans="1:12" x14ac:dyDescent="0.2">
      <c r="A1160">
        <v>25279</v>
      </c>
      <c r="B1160">
        <v>39</v>
      </c>
      <c r="C1160" t="s">
        <v>27</v>
      </c>
      <c r="D1160">
        <v>7654.32</v>
      </c>
      <c r="E1160">
        <v>21188.75</v>
      </c>
      <c r="F1160">
        <v>48</v>
      </c>
      <c r="G1160">
        <v>15.81</v>
      </c>
      <c r="H1160">
        <v>1</v>
      </c>
      <c r="I1160">
        <v>7</v>
      </c>
      <c r="J1160">
        <v>120</v>
      </c>
      <c r="K1160" t="s">
        <v>24</v>
      </c>
      <c r="L1160" t="s">
        <v>14</v>
      </c>
    </row>
    <row r="1161" spans="1:12" x14ac:dyDescent="0.2">
      <c r="A1161">
        <v>25736</v>
      </c>
      <c r="B1161">
        <v>51</v>
      </c>
      <c r="C1161" t="s">
        <v>26</v>
      </c>
      <c r="D1161">
        <v>6202.2</v>
      </c>
      <c r="E1161">
        <v>20159.009999999998</v>
      </c>
      <c r="F1161">
        <v>60</v>
      </c>
      <c r="G1161">
        <v>17.399999999999999</v>
      </c>
      <c r="H1161">
        <v>3</v>
      </c>
      <c r="I1161">
        <v>12.6</v>
      </c>
      <c r="J1161">
        <v>0</v>
      </c>
      <c r="K1161" t="s">
        <v>13</v>
      </c>
      <c r="L1161" t="s">
        <v>19</v>
      </c>
    </row>
    <row r="1162" spans="1:12" x14ac:dyDescent="0.2">
      <c r="A1162">
        <v>22325</v>
      </c>
      <c r="B1162">
        <v>61</v>
      </c>
      <c r="C1162" t="s">
        <v>21</v>
      </c>
      <c r="D1162">
        <v>10390.36</v>
      </c>
      <c r="E1162">
        <v>16076.25</v>
      </c>
      <c r="F1162">
        <v>36</v>
      </c>
      <c r="G1162">
        <v>8.4</v>
      </c>
      <c r="H1162">
        <v>3</v>
      </c>
      <c r="I1162">
        <v>10.199999999999999</v>
      </c>
      <c r="J1162">
        <v>90</v>
      </c>
      <c r="K1162" t="s">
        <v>24</v>
      </c>
      <c r="L1162" t="s">
        <v>14</v>
      </c>
    </row>
    <row r="1163" spans="1:12" x14ac:dyDescent="0.2">
      <c r="A1163">
        <v>23305</v>
      </c>
      <c r="B1163">
        <v>60</v>
      </c>
      <c r="C1163" t="s">
        <v>27</v>
      </c>
      <c r="D1163">
        <v>7604.95</v>
      </c>
      <c r="E1163">
        <v>29575.7</v>
      </c>
      <c r="F1163">
        <v>60</v>
      </c>
      <c r="G1163">
        <v>14.91</v>
      </c>
      <c r="H1163">
        <v>2</v>
      </c>
      <c r="I1163">
        <v>8.3000000000000007</v>
      </c>
      <c r="J1163">
        <v>30</v>
      </c>
      <c r="K1163" t="s">
        <v>15</v>
      </c>
      <c r="L1163" t="s">
        <v>16</v>
      </c>
    </row>
    <row r="1164" spans="1:12" x14ac:dyDescent="0.2">
      <c r="A1164">
        <v>21361</v>
      </c>
      <c r="B1164">
        <v>44</v>
      </c>
      <c r="C1164" t="s">
        <v>23</v>
      </c>
      <c r="D1164">
        <v>4665.32</v>
      </c>
      <c r="E1164">
        <v>36989.730000000003</v>
      </c>
      <c r="F1164">
        <v>18</v>
      </c>
      <c r="G1164">
        <v>16.68</v>
      </c>
      <c r="H1164">
        <v>2</v>
      </c>
      <c r="I1164">
        <v>11.7</v>
      </c>
      <c r="J1164">
        <v>60</v>
      </c>
      <c r="K1164" t="s">
        <v>13</v>
      </c>
      <c r="L1164" t="s">
        <v>14</v>
      </c>
    </row>
    <row r="1165" spans="1:12" x14ac:dyDescent="0.2">
      <c r="A1165">
        <v>21761</v>
      </c>
      <c r="B1165">
        <v>75</v>
      </c>
      <c r="C1165" t="s">
        <v>21</v>
      </c>
      <c r="D1165">
        <v>6074.32</v>
      </c>
      <c r="E1165">
        <v>28246.39</v>
      </c>
      <c r="F1165">
        <v>36</v>
      </c>
      <c r="G1165">
        <v>15.29</v>
      </c>
      <c r="H1165">
        <v>3</v>
      </c>
      <c r="I1165">
        <v>0.9</v>
      </c>
      <c r="J1165">
        <v>60</v>
      </c>
      <c r="K1165" t="s">
        <v>15</v>
      </c>
      <c r="L1165" t="s">
        <v>25</v>
      </c>
    </row>
    <row r="1166" spans="1:12" x14ac:dyDescent="0.2">
      <c r="A1166">
        <v>22394</v>
      </c>
      <c r="B1166">
        <v>41</v>
      </c>
      <c r="C1166" t="s">
        <v>26</v>
      </c>
      <c r="D1166">
        <v>5344.94</v>
      </c>
      <c r="E1166">
        <v>4160.72</v>
      </c>
      <c r="F1166">
        <v>36</v>
      </c>
      <c r="G1166">
        <v>16.46</v>
      </c>
      <c r="H1166">
        <v>4</v>
      </c>
      <c r="I1166">
        <v>1.3</v>
      </c>
      <c r="J1166">
        <v>30</v>
      </c>
      <c r="K1166" t="s">
        <v>20</v>
      </c>
      <c r="L1166" t="s">
        <v>25</v>
      </c>
    </row>
    <row r="1167" spans="1:12" x14ac:dyDescent="0.2">
      <c r="A1167">
        <v>22244</v>
      </c>
      <c r="B1167">
        <v>53</v>
      </c>
      <c r="C1167" t="s">
        <v>12</v>
      </c>
      <c r="D1167">
        <v>6442.21</v>
      </c>
      <c r="E1167">
        <v>34386.800000000003</v>
      </c>
      <c r="F1167">
        <v>6</v>
      </c>
      <c r="G1167">
        <v>26.1</v>
      </c>
      <c r="H1167">
        <v>4</v>
      </c>
      <c r="I1167">
        <v>0.8</v>
      </c>
      <c r="J1167">
        <v>0</v>
      </c>
      <c r="K1167" t="s">
        <v>24</v>
      </c>
      <c r="L1167" t="s">
        <v>14</v>
      </c>
    </row>
    <row r="1168" spans="1:12" x14ac:dyDescent="0.2">
      <c r="A1168">
        <v>22518</v>
      </c>
      <c r="B1168">
        <v>120</v>
      </c>
      <c r="C1168" t="s">
        <v>17</v>
      </c>
      <c r="D1168">
        <v>6291.52</v>
      </c>
      <c r="E1168">
        <v>6699.62</v>
      </c>
      <c r="F1168">
        <v>12</v>
      </c>
      <c r="G1168">
        <v>11.09</v>
      </c>
      <c r="H1168">
        <v>0</v>
      </c>
      <c r="J1168">
        <v>30</v>
      </c>
      <c r="K1168" t="s">
        <v>15</v>
      </c>
      <c r="L1168" t="s">
        <v>22</v>
      </c>
    </row>
    <row r="1169" spans="1:12" x14ac:dyDescent="0.2">
      <c r="A1169">
        <v>24230</v>
      </c>
      <c r="B1169">
        <v>54</v>
      </c>
      <c r="C1169" t="s">
        <v>21</v>
      </c>
      <c r="D1169">
        <v>6048.98</v>
      </c>
      <c r="E1169">
        <v>24195.71</v>
      </c>
      <c r="F1169">
        <v>12</v>
      </c>
      <c r="G1169">
        <v>20.61</v>
      </c>
      <c r="H1169">
        <v>4</v>
      </c>
      <c r="I1169">
        <v>11.9</v>
      </c>
      <c r="J1169">
        <v>60</v>
      </c>
      <c r="K1169" t="s">
        <v>15</v>
      </c>
      <c r="L1169" t="s">
        <v>22</v>
      </c>
    </row>
    <row r="1170" spans="1:12" x14ac:dyDescent="0.2">
      <c r="A1170">
        <v>25304</v>
      </c>
      <c r="B1170">
        <v>49</v>
      </c>
      <c r="C1170" t="s">
        <v>23</v>
      </c>
      <c r="D1170">
        <v>8684.26</v>
      </c>
      <c r="E1170">
        <v>14490.58</v>
      </c>
      <c r="F1170">
        <v>60</v>
      </c>
      <c r="G1170">
        <v>21.67</v>
      </c>
      <c r="I1170">
        <v>4.2</v>
      </c>
      <c r="J1170">
        <v>0</v>
      </c>
      <c r="K1170" t="s">
        <v>24</v>
      </c>
      <c r="L1170" t="s">
        <v>19</v>
      </c>
    </row>
    <row r="1171" spans="1:12" x14ac:dyDescent="0.2">
      <c r="A1171">
        <v>20226</v>
      </c>
      <c r="B1171">
        <v>56</v>
      </c>
      <c r="C1171" t="s">
        <v>23</v>
      </c>
      <c r="D1171">
        <v>4197.79</v>
      </c>
      <c r="E1171">
        <v>15296.57</v>
      </c>
      <c r="F1171">
        <v>12</v>
      </c>
      <c r="G1171">
        <v>17.309999999999999</v>
      </c>
      <c r="H1171">
        <v>4</v>
      </c>
      <c r="I1171">
        <v>6.9</v>
      </c>
      <c r="J1171">
        <v>0</v>
      </c>
      <c r="K1171" t="s">
        <v>15</v>
      </c>
      <c r="L1171" t="s">
        <v>16</v>
      </c>
    </row>
    <row r="1172" spans="1:12" x14ac:dyDescent="0.2">
      <c r="A1172">
        <v>24318</v>
      </c>
      <c r="B1172">
        <v>27</v>
      </c>
      <c r="C1172" t="s">
        <v>27</v>
      </c>
      <c r="D1172">
        <v>4908.41</v>
      </c>
      <c r="E1172">
        <v>17387.07</v>
      </c>
      <c r="F1172">
        <v>24</v>
      </c>
      <c r="G1172">
        <v>55</v>
      </c>
      <c r="H1172">
        <v>1</v>
      </c>
      <c r="I1172">
        <v>6.1</v>
      </c>
      <c r="J1172">
        <v>30</v>
      </c>
      <c r="K1172" t="s">
        <v>15</v>
      </c>
      <c r="L1172" t="s">
        <v>22</v>
      </c>
    </row>
    <row r="1173" spans="1:12" x14ac:dyDescent="0.2">
      <c r="A1173">
        <v>20782</v>
      </c>
      <c r="B1173">
        <v>21</v>
      </c>
      <c r="C1173" t="s">
        <v>12</v>
      </c>
      <c r="D1173">
        <v>7163.13</v>
      </c>
      <c r="E1173">
        <v>32989.949999999997</v>
      </c>
      <c r="F1173">
        <v>24</v>
      </c>
      <c r="G1173">
        <v>26.78</v>
      </c>
      <c r="H1173">
        <v>1</v>
      </c>
      <c r="I1173">
        <v>9.5</v>
      </c>
      <c r="J1173">
        <v>90</v>
      </c>
      <c r="K1173" t="s">
        <v>18</v>
      </c>
      <c r="L1173" t="s">
        <v>14</v>
      </c>
    </row>
    <row r="1174" spans="1:12" x14ac:dyDescent="0.2">
      <c r="A1174">
        <v>21519</v>
      </c>
      <c r="B1174">
        <v>31</v>
      </c>
      <c r="C1174" t="s">
        <v>21</v>
      </c>
      <c r="D1174">
        <v>5880.78</v>
      </c>
      <c r="E1174">
        <v>25657.05</v>
      </c>
      <c r="F1174">
        <v>12</v>
      </c>
      <c r="G1174">
        <v>11.16</v>
      </c>
      <c r="H1174">
        <v>1</v>
      </c>
      <c r="I1174">
        <v>4.4000000000000004</v>
      </c>
      <c r="J1174">
        <v>0</v>
      </c>
      <c r="K1174" t="s">
        <v>15</v>
      </c>
      <c r="L1174" t="s">
        <v>16</v>
      </c>
    </row>
    <row r="1175" spans="1:12" x14ac:dyDescent="0.2">
      <c r="A1175">
        <v>25425</v>
      </c>
      <c r="B1175">
        <v>25</v>
      </c>
      <c r="C1175" t="s">
        <v>17</v>
      </c>
      <c r="D1175">
        <v>4929.03</v>
      </c>
      <c r="E1175">
        <v>11235.97</v>
      </c>
      <c r="F1175">
        <v>6</v>
      </c>
      <c r="G1175">
        <v>16.47</v>
      </c>
      <c r="H1175">
        <v>3</v>
      </c>
      <c r="I1175">
        <v>3</v>
      </c>
      <c r="J1175">
        <v>30</v>
      </c>
      <c r="K1175" t="s">
        <v>15</v>
      </c>
      <c r="L1175" t="s">
        <v>19</v>
      </c>
    </row>
    <row r="1176" spans="1:12" x14ac:dyDescent="0.2">
      <c r="A1176">
        <v>21566</v>
      </c>
      <c r="B1176">
        <v>33</v>
      </c>
      <c r="C1176" t="s">
        <v>26</v>
      </c>
      <c r="D1176">
        <v>5238.74</v>
      </c>
      <c r="E1176">
        <v>12190</v>
      </c>
      <c r="F1176">
        <v>18</v>
      </c>
      <c r="G1176">
        <v>14.81</v>
      </c>
      <c r="I1176">
        <v>7.6</v>
      </c>
      <c r="J1176">
        <v>0</v>
      </c>
      <c r="K1176" t="s">
        <v>13</v>
      </c>
      <c r="L1176" t="s">
        <v>22</v>
      </c>
    </row>
    <row r="1177" spans="1:12" x14ac:dyDescent="0.2">
      <c r="A1177">
        <v>23298</v>
      </c>
      <c r="B1177">
        <v>57</v>
      </c>
      <c r="C1177" t="s">
        <v>23</v>
      </c>
      <c r="D1177">
        <v>7450.47</v>
      </c>
      <c r="E1177">
        <v>27559.43</v>
      </c>
      <c r="F1177">
        <v>48</v>
      </c>
      <c r="G1177">
        <v>12.98</v>
      </c>
      <c r="H1177">
        <v>0</v>
      </c>
      <c r="I1177">
        <v>10.9</v>
      </c>
      <c r="J1177">
        <v>30</v>
      </c>
      <c r="K1177" t="s">
        <v>24</v>
      </c>
      <c r="L1177" t="s">
        <v>25</v>
      </c>
    </row>
    <row r="1178" spans="1:12" x14ac:dyDescent="0.2">
      <c r="A1178">
        <v>22618</v>
      </c>
      <c r="B1178">
        <v>60</v>
      </c>
      <c r="C1178" t="s">
        <v>23</v>
      </c>
      <c r="D1178">
        <v>-1500</v>
      </c>
      <c r="E1178">
        <v>16584.84</v>
      </c>
      <c r="F1178">
        <v>18</v>
      </c>
      <c r="G1178">
        <v>22.09</v>
      </c>
      <c r="H1178">
        <v>4</v>
      </c>
      <c r="I1178">
        <v>1.5</v>
      </c>
      <c r="K1178" t="s">
        <v>13</v>
      </c>
      <c r="L1178" t="s">
        <v>14</v>
      </c>
    </row>
    <row r="1179" spans="1:12" x14ac:dyDescent="0.2">
      <c r="A1179">
        <v>24777</v>
      </c>
      <c r="B1179">
        <v>25</v>
      </c>
      <c r="C1179" t="s">
        <v>23</v>
      </c>
      <c r="D1179">
        <v>3401.3</v>
      </c>
      <c r="E1179">
        <v>24373.64</v>
      </c>
      <c r="F1179">
        <v>36</v>
      </c>
      <c r="G1179">
        <v>16.440000000000001</v>
      </c>
      <c r="H1179">
        <v>2</v>
      </c>
      <c r="I1179">
        <v>4.7</v>
      </c>
      <c r="J1179">
        <v>0</v>
      </c>
      <c r="K1179" t="s">
        <v>18</v>
      </c>
      <c r="L1179" t="s">
        <v>16</v>
      </c>
    </row>
    <row r="1180" spans="1:12" x14ac:dyDescent="0.2">
      <c r="A1180">
        <v>21657</v>
      </c>
      <c r="B1180">
        <v>54</v>
      </c>
      <c r="C1180" t="s">
        <v>23</v>
      </c>
      <c r="D1180">
        <v>5102</v>
      </c>
      <c r="E1180">
        <v>12870.53</v>
      </c>
      <c r="F1180">
        <v>18</v>
      </c>
      <c r="G1180">
        <v>17.239999999999998</v>
      </c>
      <c r="H1180">
        <v>4</v>
      </c>
      <c r="I1180">
        <v>4</v>
      </c>
      <c r="J1180">
        <v>90</v>
      </c>
      <c r="K1180" t="s">
        <v>20</v>
      </c>
      <c r="L1180" t="s">
        <v>22</v>
      </c>
    </row>
    <row r="1181" spans="1:12" x14ac:dyDescent="0.2">
      <c r="A1181">
        <v>23138</v>
      </c>
      <c r="B1181">
        <v>39</v>
      </c>
      <c r="C1181" t="s">
        <v>23</v>
      </c>
      <c r="D1181">
        <v>3710.75</v>
      </c>
      <c r="E1181">
        <v>13978.23</v>
      </c>
      <c r="F1181">
        <v>12</v>
      </c>
      <c r="G1181">
        <v>19.420000000000002</v>
      </c>
      <c r="H1181">
        <v>1</v>
      </c>
      <c r="J1181">
        <v>30</v>
      </c>
      <c r="K1181" t="s">
        <v>18</v>
      </c>
      <c r="L1181" t="s">
        <v>16</v>
      </c>
    </row>
    <row r="1182" spans="1:12" x14ac:dyDescent="0.2">
      <c r="A1182">
        <v>20598</v>
      </c>
      <c r="B1182">
        <v>28</v>
      </c>
      <c r="C1182" t="s">
        <v>17</v>
      </c>
      <c r="D1182">
        <v>4701.09</v>
      </c>
      <c r="E1182">
        <v>6277.27</v>
      </c>
      <c r="F1182">
        <v>60</v>
      </c>
      <c r="G1182">
        <v>23.72</v>
      </c>
      <c r="H1182">
        <v>4</v>
      </c>
      <c r="I1182">
        <v>7.8</v>
      </c>
      <c r="K1182" t="s">
        <v>18</v>
      </c>
      <c r="L1182" t="s">
        <v>16</v>
      </c>
    </row>
    <row r="1183" spans="1:12" x14ac:dyDescent="0.2">
      <c r="A1183">
        <v>23293</v>
      </c>
      <c r="B1183">
        <v>33</v>
      </c>
      <c r="C1183" t="s">
        <v>27</v>
      </c>
      <c r="D1183">
        <v>4520.79</v>
      </c>
      <c r="E1183">
        <v>19921.38</v>
      </c>
      <c r="F1183">
        <v>48</v>
      </c>
      <c r="G1183">
        <v>10.87</v>
      </c>
      <c r="H1183">
        <v>3</v>
      </c>
      <c r="I1183">
        <v>10.8</v>
      </c>
      <c r="J1183">
        <v>30</v>
      </c>
      <c r="K1183" t="s">
        <v>13</v>
      </c>
      <c r="L1183" t="s">
        <v>16</v>
      </c>
    </row>
    <row r="1184" spans="1:12" x14ac:dyDescent="0.2">
      <c r="A1184">
        <v>21634</v>
      </c>
      <c r="B1184">
        <v>29</v>
      </c>
      <c r="C1184" t="s">
        <v>17</v>
      </c>
      <c r="D1184">
        <v>7178.47</v>
      </c>
      <c r="E1184">
        <v>18890.28</v>
      </c>
      <c r="F1184">
        <v>12</v>
      </c>
      <c r="G1184">
        <v>12.58</v>
      </c>
      <c r="I1184">
        <v>6.8</v>
      </c>
      <c r="J1184">
        <v>15</v>
      </c>
      <c r="K1184" t="s">
        <v>18</v>
      </c>
      <c r="L1184" t="s">
        <v>22</v>
      </c>
    </row>
    <row r="1185" spans="1:12" x14ac:dyDescent="0.2">
      <c r="A1185">
        <v>22434</v>
      </c>
      <c r="B1185">
        <v>33</v>
      </c>
      <c r="C1185" t="s">
        <v>26</v>
      </c>
      <c r="D1185">
        <v>6664.95</v>
      </c>
      <c r="E1185">
        <v>29155.59</v>
      </c>
      <c r="F1185">
        <v>36</v>
      </c>
      <c r="G1185">
        <v>18.920000000000002</v>
      </c>
      <c r="H1185">
        <v>2</v>
      </c>
      <c r="I1185">
        <v>3.3</v>
      </c>
      <c r="J1185">
        <v>30</v>
      </c>
      <c r="K1185" t="s">
        <v>24</v>
      </c>
      <c r="L1185" t="s">
        <v>14</v>
      </c>
    </row>
    <row r="1186" spans="1:12" x14ac:dyDescent="0.2">
      <c r="A1186">
        <v>23207</v>
      </c>
      <c r="B1186">
        <v>18</v>
      </c>
      <c r="C1186" t="s">
        <v>21</v>
      </c>
      <c r="D1186">
        <v>3031.63</v>
      </c>
      <c r="E1186">
        <v>20349.23</v>
      </c>
      <c r="F1186">
        <v>36</v>
      </c>
      <c r="G1186">
        <v>22.36</v>
      </c>
      <c r="I1186">
        <v>3.1</v>
      </c>
      <c r="J1186">
        <v>90</v>
      </c>
      <c r="K1186" t="s">
        <v>20</v>
      </c>
      <c r="L1186" t="s">
        <v>25</v>
      </c>
    </row>
    <row r="1187" spans="1:12" x14ac:dyDescent="0.2">
      <c r="A1187">
        <v>21968</v>
      </c>
      <c r="B1187">
        <v>43</v>
      </c>
      <c r="C1187" t="s">
        <v>23</v>
      </c>
      <c r="D1187">
        <v>4393.74</v>
      </c>
      <c r="E1187">
        <v>16463.18</v>
      </c>
      <c r="F1187">
        <v>48</v>
      </c>
      <c r="G1187">
        <v>22.34</v>
      </c>
      <c r="H1187">
        <v>0</v>
      </c>
      <c r="I1187">
        <v>7.8</v>
      </c>
      <c r="J1187">
        <v>15</v>
      </c>
      <c r="K1187" t="s">
        <v>24</v>
      </c>
      <c r="L1187" t="s">
        <v>14</v>
      </c>
    </row>
    <row r="1188" spans="1:12" x14ac:dyDescent="0.2">
      <c r="A1188">
        <v>23428</v>
      </c>
      <c r="B1188">
        <v>42</v>
      </c>
      <c r="C1188" t="s">
        <v>21</v>
      </c>
      <c r="D1188">
        <v>3927.76</v>
      </c>
      <c r="E1188">
        <v>20220.66</v>
      </c>
      <c r="F1188">
        <v>6</v>
      </c>
      <c r="G1188">
        <v>22.8</v>
      </c>
      <c r="H1188">
        <v>1</v>
      </c>
      <c r="I1188">
        <v>9.1</v>
      </c>
      <c r="K1188" t="s">
        <v>18</v>
      </c>
      <c r="L1188" t="s">
        <v>22</v>
      </c>
    </row>
    <row r="1189" spans="1:12" x14ac:dyDescent="0.2">
      <c r="A1189">
        <v>21148</v>
      </c>
      <c r="B1189">
        <v>75</v>
      </c>
      <c r="C1189" t="s">
        <v>12</v>
      </c>
      <c r="D1189">
        <v>4796.26</v>
      </c>
      <c r="E1189">
        <v>23885.33</v>
      </c>
      <c r="F1189">
        <v>18</v>
      </c>
      <c r="G1189">
        <v>15.08</v>
      </c>
      <c r="H1189">
        <v>4</v>
      </c>
      <c r="I1189">
        <v>1.4</v>
      </c>
      <c r="J1189">
        <v>30</v>
      </c>
      <c r="K1189" t="s">
        <v>15</v>
      </c>
      <c r="L1189" t="s">
        <v>16</v>
      </c>
    </row>
    <row r="1190" spans="1:12" x14ac:dyDescent="0.2">
      <c r="A1190">
        <v>22443</v>
      </c>
      <c r="B1190">
        <v>64</v>
      </c>
      <c r="C1190" t="s">
        <v>26</v>
      </c>
      <c r="D1190">
        <v>7551.94</v>
      </c>
      <c r="E1190">
        <v>31433.279999999999</v>
      </c>
      <c r="F1190">
        <v>24</v>
      </c>
      <c r="G1190">
        <v>10.199999999999999</v>
      </c>
      <c r="I1190">
        <v>6.8</v>
      </c>
      <c r="J1190">
        <v>90</v>
      </c>
      <c r="K1190" t="s">
        <v>13</v>
      </c>
      <c r="L1190" t="s">
        <v>14</v>
      </c>
    </row>
    <row r="1191" spans="1:12" x14ac:dyDescent="0.2">
      <c r="A1191">
        <v>21591</v>
      </c>
      <c r="B1191">
        <v>24</v>
      </c>
      <c r="C1191" t="s">
        <v>17</v>
      </c>
      <c r="D1191">
        <v>5219.6099999999997</v>
      </c>
      <c r="E1191">
        <v>16131.71</v>
      </c>
      <c r="F1191">
        <v>12</v>
      </c>
      <c r="G1191">
        <v>14.09</v>
      </c>
      <c r="H1191">
        <v>1</v>
      </c>
      <c r="I1191">
        <v>4.8</v>
      </c>
      <c r="J1191">
        <v>120</v>
      </c>
      <c r="K1191" t="s">
        <v>15</v>
      </c>
      <c r="L1191" t="s">
        <v>19</v>
      </c>
    </row>
    <row r="1192" spans="1:12" x14ac:dyDescent="0.2">
      <c r="A1192">
        <v>25870</v>
      </c>
      <c r="B1192">
        <v>59</v>
      </c>
      <c r="C1192" t="s">
        <v>17</v>
      </c>
      <c r="D1192">
        <v>5986.97</v>
      </c>
      <c r="E1192">
        <v>14907.39</v>
      </c>
      <c r="F1192">
        <v>18</v>
      </c>
      <c r="G1192">
        <v>22.43</v>
      </c>
      <c r="H1192">
        <v>1</v>
      </c>
      <c r="I1192">
        <v>9.4</v>
      </c>
      <c r="J1192">
        <v>60</v>
      </c>
      <c r="K1192" t="s">
        <v>24</v>
      </c>
      <c r="L1192" t="s">
        <v>16</v>
      </c>
    </row>
    <row r="1193" spans="1:12" x14ac:dyDescent="0.2">
      <c r="A1193">
        <v>20154</v>
      </c>
      <c r="B1193">
        <v>52</v>
      </c>
      <c r="C1193" t="s">
        <v>26</v>
      </c>
      <c r="D1193">
        <v>4678.71</v>
      </c>
      <c r="E1193">
        <v>33778.620000000003</v>
      </c>
      <c r="F1193">
        <v>24</v>
      </c>
      <c r="G1193">
        <v>18.14</v>
      </c>
      <c r="H1193">
        <v>4</v>
      </c>
      <c r="I1193">
        <v>1.7</v>
      </c>
      <c r="J1193">
        <v>0</v>
      </c>
      <c r="K1193" t="s">
        <v>24</v>
      </c>
      <c r="L1193" t="s">
        <v>25</v>
      </c>
    </row>
    <row r="1194" spans="1:12" x14ac:dyDescent="0.2">
      <c r="A1194">
        <v>23540</v>
      </c>
      <c r="B1194">
        <v>21</v>
      </c>
      <c r="C1194" t="s">
        <v>23</v>
      </c>
      <c r="D1194">
        <v>3818.43</v>
      </c>
      <c r="E1194">
        <v>11571.69</v>
      </c>
      <c r="F1194">
        <v>6</v>
      </c>
      <c r="G1194">
        <v>16.73</v>
      </c>
      <c r="H1194">
        <v>4</v>
      </c>
      <c r="I1194">
        <v>4</v>
      </c>
      <c r="J1194">
        <v>120</v>
      </c>
      <c r="K1194" t="s">
        <v>18</v>
      </c>
      <c r="L1194" t="s">
        <v>16</v>
      </c>
    </row>
    <row r="1195" spans="1:12" x14ac:dyDescent="0.2">
      <c r="A1195">
        <v>23799</v>
      </c>
      <c r="B1195">
        <v>34</v>
      </c>
      <c r="C1195" t="s">
        <v>12</v>
      </c>
      <c r="D1195">
        <v>4283.75</v>
      </c>
      <c r="E1195">
        <v>23594.05</v>
      </c>
      <c r="F1195">
        <v>60</v>
      </c>
      <c r="G1195">
        <v>55</v>
      </c>
      <c r="H1195">
        <v>4</v>
      </c>
      <c r="I1195">
        <v>9.1999999999999993</v>
      </c>
      <c r="J1195">
        <v>90</v>
      </c>
      <c r="K1195" t="s">
        <v>13</v>
      </c>
      <c r="L1195" t="s">
        <v>16</v>
      </c>
    </row>
    <row r="1196" spans="1:12" x14ac:dyDescent="0.2">
      <c r="A1196">
        <v>20210</v>
      </c>
      <c r="B1196">
        <v>43</v>
      </c>
      <c r="C1196" t="s">
        <v>21</v>
      </c>
      <c r="D1196">
        <v>3332.53</v>
      </c>
      <c r="E1196">
        <v>22340.84</v>
      </c>
      <c r="F1196">
        <v>36</v>
      </c>
      <c r="G1196">
        <v>20.350000000000001</v>
      </c>
      <c r="H1196">
        <v>3</v>
      </c>
      <c r="I1196">
        <v>6</v>
      </c>
      <c r="K1196" t="s">
        <v>13</v>
      </c>
      <c r="L1196" t="s">
        <v>16</v>
      </c>
    </row>
    <row r="1197" spans="1:12" x14ac:dyDescent="0.2">
      <c r="A1197">
        <v>22097</v>
      </c>
      <c r="B1197">
        <v>50</v>
      </c>
      <c r="C1197" t="s">
        <v>26</v>
      </c>
      <c r="D1197">
        <v>2500.52</v>
      </c>
      <c r="E1197">
        <v>21441.040000000001</v>
      </c>
      <c r="F1197">
        <v>24</v>
      </c>
      <c r="G1197">
        <v>19.059999999999999</v>
      </c>
      <c r="H1197">
        <v>0</v>
      </c>
      <c r="I1197">
        <v>10.199999999999999</v>
      </c>
      <c r="J1197">
        <v>0</v>
      </c>
      <c r="K1197" t="s">
        <v>24</v>
      </c>
      <c r="L1197" t="s">
        <v>14</v>
      </c>
    </row>
    <row r="1198" spans="1:12" x14ac:dyDescent="0.2">
      <c r="A1198">
        <v>23255</v>
      </c>
      <c r="B1198">
        <v>21</v>
      </c>
      <c r="C1198" t="s">
        <v>26</v>
      </c>
      <c r="D1198">
        <v>8085.72</v>
      </c>
      <c r="E1198">
        <v>16943.72</v>
      </c>
      <c r="F1198">
        <v>48</v>
      </c>
      <c r="G1198">
        <v>26.07</v>
      </c>
      <c r="H1198">
        <v>1</v>
      </c>
      <c r="I1198">
        <v>5.3</v>
      </c>
      <c r="J1198">
        <v>90</v>
      </c>
      <c r="K1198" t="s">
        <v>13</v>
      </c>
      <c r="L1198" t="s">
        <v>19</v>
      </c>
    </row>
    <row r="1199" spans="1:12" x14ac:dyDescent="0.2">
      <c r="A1199">
        <v>24318</v>
      </c>
      <c r="B1199">
        <v>62</v>
      </c>
      <c r="C1199" t="s">
        <v>17</v>
      </c>
      <c r="D1199">
        <v>5525.8</v>
      </c>
      <c r="E1199">
        <v>11946</v>
      </c>
      <c r="F1199">
        <v>60</v>
      </c>
      <c r="G1199">
        <v>23.84</v>
      </c>
      <c r="H1199">
        <v>0</v>
      </c>
      <c r="I1199">
        <v>10.6</v>
      </c>
      <c r="J1199">
        <v>0</v>
      </c>
      <c r="K1199" t="s">
        <v>13</v>
      </c>
      <c r="L1199" t="s">
        <v>14</v>
      </c>
    </row>
    <row r="1200" spans="1:12" x14ac:dyDescent="0.2">
      <c r="A1200">
        <v>21404</v>
      </c>
      <c r="B1200">
        <v>31</v>
      </c>
      <c r="C1200" t="s">
        <v>23</v>
      </c>
      <c r="D1200">
        <v>6479.87</v>
      </c>
      <c r="E1200">
        <v>27475.66</v>
      </c>
      <c r="F1200">
        <v>12</v>
      </c>
      <c r="G1200">
        <v>15.4</v>
      </c>
      <c r="H1200">
        <v>3</v>
      </c>
      <c r="I1200">
        <v>0.4</v>
      </c>
      <c r="J1200">
        <v>0</v>
      </c>
      <c r="K1200" t="s">
        <v>15</v>
      </c>
      <c r="L1200" t="s">
        <v>25</v>
      </c>
    </row>
    <row r="1201" spans="1:12" x14ac:dyDescent="0.2">
      <c r="A1201">
        <v>20609</v>
      </c>
      <c r="B1201">
        <v>52</v>
      </c>
      <c r="C1201" t="s">
        <v>17</v>
      </c>
      <c r="D1201">
        <v>5710.35</v>
      </c>
      <c r="E1201">
        <v>22512.22</v>
      </c>
      <c r="F1201">
        <v>24</v>
      </c>
      <c r="G1201">
        <v>16.98</v>
      </c>
      <c r="H1201">
        <v>4</v>
      </c>
      <c r="I1201">
        <v>3.3</v>
      </c>
      <c r="J1201">
        <v>30</v>
      </c>
      <c r="K1201" t="s">
        <v>18</v>
      </c>
      <c r="L1201" t="s">
        <v>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activeCell="F11" sqref="F11"/>
    </sheetView>
  </sheetViews>
  <sheetFormatPr baseColWidth="10" defaultRowHeight="16" x14ac:dyDescent="0.2"/>
  <cols>
    <col min="1" max="1" width="18.1640625" bestFit="1" customWidth="1"/>
    <col min="2" max="2" width="25.6640625" bestFit="1" customWidth="1"/>
    <col min="6" max="6" width="93.83203125" bestFit="1" customWidth="1"/>
  </cols>
  <sheetData>
    <row r="1" spans="1:6" x14ac:dyDescent="0.2">
      <c r="A1" s="1" t="s">
        <v>28</v>
      </c>
      <c r="B1" s="1" t="s">
        <v>29</v>
      </c>
      <c r="C1" s="1" t="s">
        <v>30</v>
      </c>
      <c r="D1" s="2" t="s">
        <v>31</v>
      </c>
      <c r="E1" s="1" t="s">
        <v>32</v>
      </c>
      <c r="F1" s="1" t="s">
        <v>33</v>
      </c>
    </row>
    <row r="2" spans="1:6" x14ac:dyDescent="0.2">
      <c r="A2" t="s">
        <v>34</v>
      </c>
      <c r="B2" t="s">
        <v>35</v>
      </c>
      <c r="C2">
        <v>52</v>
      </c>
      <c r="D2" s="3">
        <f>52/1200</f>
        <v>4.3333333333333335E-2</v>
      </c>
      <c r="E2" t="s">
        <v>47</v>
      </c>
      <c r="F2" t="s">
        <v>74</v>
      </c>
    </row>
    <row r="3" spans="1:6" x14ac:dyDescent="0.2">
      <c r="A3" t="s">
        <v>36</v>
      </c>
      <c r="B3" t="s">
        <v>37</v>
      </c>
      <c r="C3">
        <v>30</v>
      </c>
      <c r="D3" s="3">
        <f>30/1200</f>
        <v>2.5000000000000001E-2</v>
      </c>
      <c r="E3" t="s">
        <v>68</v>
      </c>
      <c r="F3" t="s">
        <v>70</v>
      </c>
    </row>
    <row r="4" spans="1:6" x14ac:dyDescent="0.2">
      <c r="A4" t="s">
        <v>36</v>
      </c>
      <c r="B4" t="s">
        <v>38</v>
      </c>
      <c r="C4">
        <v>12</v>
      </c>
      <c r="D4" s="3">
        <f>12/1200</f>
        <v>0.01</v>
      </c>
      <c r="E4" t="s">
        <v>47</v>
      </c>
      <c r="F4" t="s">
        <v>74</v>
      </c>
    </row>
    <row r="5" spans="1:6" x14ac:dyDescent="0.2">
      <c r="A5" t="s">
        <v>39</v>
      </c>
      <c r="B5" t="s">
        <v>40</v>
      </c>
      <c r="C5">
        <v>196</v>
      </c>
      <c r="D5" s="3">
        <f>196/1200</f>
        <v>0.16333333333333333</v>
      </c>
      <c r="E5" t="s">
        <v>68</v>
      </c>
      <c r="F5" t="s">
        <v>75</v>
      </c>
    </row>
    <row r="6" spans="1:6" x14ac:dyDescent="0.2">
      <c r="A6" t="s">
        <v>41</v>
      </c>
      <c r="B6" t="s">
        <v>42</v>
      </c>
      <c r="C6" s="4">
        <v>43</v>
      </c>
      <c r="D6" s="3">
        <f>43/1200</f>
        <v>3.5833333333333335E-2</v>
      </c>
      <c r="E6" t="s">
        <v>47</v>
      </c>
      <c r="F6" t="s">
        <v>74</v>
      </c>
    </row>
    <row r="7" spans="1:6" x14ac:dyDescent="0.2">
      <c r="A7" t="s">
        <v>41</v>
      </c>
      <c r="B7" t="s">
        <v>76</v>
      </c>
      <c r="C7" s="4">
        <v>24</v>
      </c>
      <c r="D7" s="3">
        <f>24/1200</f>
        <v>0.02</v>
      </c>
      <c r="E7" t="s">
        <v>68</v>
      </c>
      <c r="F7" t="s">
        <v>75</v>
      </c>
    </row>
    <row r="8" spans="1:6" x14ac:dyDescent="0.2">
      <c r="A8" t="s">
        <v>43</v>
      </c>
      <c r="B8" t="s">
        <v>44</v>
      </c>
      <c r="C8" s="4">
        <v>130</v>
      </c>
      <c r="D8" s="3">
        <f>130/1200</f>
        <v>0.10833333333333334</v>
      </c>
      <c r="E8" t="s">
        <v>68</v>
      </c>
      <c r="F8" t="s">
        <v>69</v>
      </c>
    </row>
    <row r="9" spans="1:6" x14ac:dyDescent="0.2">
      <c r="A9" t="s">
        <v>45</v>
      </c>
      <c r="B9" t="s">
        <v>46</v>
      </c>
      <c r="C9" s="4">
        <v>217</v>
      </c>
      <c r="D9" s="3">
        <f>217/1200</f>
        <v>0.18083333333333335</v>
      </c>
      <c r="E9" t="s">
        <v>47</v>
      </c>
      <c r="F9" t="s">
        <v>77</v>
      </c>
    </row>
    <row r="10" spans="1:6" x14ac:dyDescent="0.2">
      <c r="A10" t="s">
        <v>2</v>
      </c>
      <c r="B10" t="s">
        <v>46</v>
      </c>
      <c r="C10" s="4">
        <v>231</v>
      </c>
      <c r="D10" s="3">
        <f>231/1200</f>
        <v>0.1925</v>
      </c>
      <c r="E10" t="s">
        <v>47</v>
      </c>
      <c r="F10" t="s">
        <v>85</v>
      </c>
    </row>
    <row r="11" spans="1:6" x14ac:dyDescent="0.2">
      <c r="A11" t="s">
        <v>1</v>
      </c>
      <c r="B11" t="s">
        <v>48</v>
      </c>
      <c r="C11" s="4">
        <v>23</v>
      </c>
      <c r="D11" s="3">
        <f>23/1200</f>
        <v>1.9166666666666665E-2</v>
      </c>
      <c r="E11" t="s">
        <v>68</v>
      </c>
      <c r="F11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201"/>
  <sheetViews>
    <sheetView workbookViewId="0">
      <selection activeCell="AC8" sqref="AC8"/>
    </sheetView>
  </sheetViews>
  <sheetFormatPr baseColWidth="10" defaultRowHeight="16" x14ac:dyDescent="0.2"/>
  <cols>
    <col min="1" max="1" width="14.1640625" customWidth="1"/>
    <col min="3" max="3" width="19" customWidth="1"/>
    <col min="4" max="5" width="24.33203125" bestFit="1" customWidth="1"/>
    <col min="6" max="7" width="22.5" bestFit="1" customWidth="1"/>
    <col min="8" max="8" width="20" style="5" bestFit="1" customWidth="1"/>
    <col min="9" max="9" width="21.1640625" customWidth="1"/>
    <col min="10" max="10" width="14.6640625" customWidth="1"/>
    <col min="11" max="11" width="15.6640625" customWidth="1"/>
    <col min="12" max="12" width="20.83203125" bestFit="1" customWidth="1"/>
    <col min="13" max="13" width="20.83203125" customWidth="1"/>
    <col min="14" max="14" width="26.1640625" bestFit="1" customWidth="1"/>
    <col min="15" max="15" width="16.5" customWidth="1"/>
    <col min="16" max="17" width="21.6640625" bestFit="1" customWidth="1"/>
    <col min="18" max="19" width="18.5" bestFit="1" customWidth="1"/>
    <col min="20" max="20" width="27.33203125" style="3" bestFit="1" customWidth="1"/>
    <col min="21" max="21" width="27.33203125" customWidth="1"/>
    <col min="22" max="22" width="26.6640625" bestFit="1" customWidth="1"/>
    <col min="23" max="23" width="19" bestFit="1" customWidth="1"/>
    <col min="24" max="24" width="25" bestFit="1" customWidth="1"/>
    <col min="25" max="25" width="19.5" bestFit="1" customWidth="1"/>
    <col min="26" max="27" width="22.83203125" bestFit="1" customWidth="1"/>
  </cols>
  <sheetData>
    <row r="1" spans="1:27" x14ac:dyDescent="0.2">
      <c r="A1" t="s">
        <v>0</v>
      </c>
      <c r="B1" t="s">
        <v>1</v>
      </c>
      <c r="C1" t="s">
        <v>86</v>
      </c>
      <c r="D1" t="s">
        <v>2</v>
      </c>
      <c r="E1" t="s">
        <v>49</v>
      </c>
      <c r="F1" t="s">
        <v>3</v>
      </c>
      <c r="G1" t="s">
        <v>51</v>
      </c>
      <c r="H1" t="s">
        <v>4</v>
      </c>
      <c r="I1" s="5" t="s">
        <v>52</v>
      </c>
      <c r="J1" t="s">
        <v>5</v>
      </c>
      <c r="K1" t="s">
        <v>6</v>
      </c>
      <c r="L1" t="s">
        <v>7</v>
      </c>
      <c r="M1" t="s">
        <v>53</v>
      </c>
      <c r="N1" t="s">
        <v>8</v>
      </c>
      <c r="O1" t="s">
        <v>54</v>
      </c>
      <c r="P1" t="s">
        <v>9</v>
      </c>
      <c r="Q1" t="s">
        <v>55</v>
      </c>
      <c r="R1" t="s">
        <v>10</v>
      </c>
      <c r="S1" t="s">
        <v>50</v>
      </c>
      <c r="T1" t="s">
        <v>11</v>
      </c>
      <c r="U1" s="3" t="s">
        <v>56</v>
      </c>
      <c r="V1" t="s">
        <v>60</v>
      </c>
      <c r="W1" t="s">
        <v>61</v>
      </c>
      <c r="X1" t="s">
        <v>58</v>
      </c>
      <c r="Y1" t="s">
        <v>59</v>
      </c>
      <c r="Z1" t="s">
        <v>57</v>
      </c>
      <c r="AA1" t="s">
        <v>71</v>
      </c>
    </row>
    <row r="2" spans="1:27" x14ac:dyDescent="0.2">
      <c r="A2">
        <v>24272</v>
      </c>
      <c r="B2">
        <v>27</v>
      </c>
      <c r="C2">
        <f t="shared" ref="C2:C65" si="0">IF(B2=120,"NULL",B2)</f>
        <v>27</v>
      </c>
      <c r="D2" t="s">
        <v>12</v>
      </c>
      <c r="E2" t="str">
        <f t="shared" ref="E2:E65" si="1">TRIM(IF(D2="Self employed","Self-Employed",D2))</f>
        <v>Self-Employed</v>
      </c>
      <c r="F2">
        <v>-1500</v>
      </c>
      <c r="G2">
        <f>ABS(Table1[[#This Row],[Monthly_Income]])</f>
        <v>1500</v>
      </c>
      <c r="H2">
        <v>26417.31</v>
      </c>
      <c r="I2" s="5">
        <f t="shared" ref="I2:I65" si="2">IF(H2="","NULL",ABS(H2))</f>
        <v>26417.31</v>
      </c>
      <c r="J2">
        <v>36</v>
      </c>
      <c r="K2">
        <v>10.84</v>
      </c>
      <c r="L2">
        <v>4</v>
      </c>
      <c r="M2">
        <f t="shared" ref="M2:M65" si="3">IF(L2="","NULL",L2)</f>
        <v>4</v>
      </c>
      <c r="N2">
        <v>4.0999999999999996</v>
      </c>
      <c r="O2">
        <f t="shared" ref="O2:O65" si="4">IF(N2="","NULL",ABS(N2))</f>
        <v>4.0999999999999996</v>
      </c>
      <c r="P2">
        <v>0</v>
      </c>
      <c r="Q2">
        <f t="shared" ref="Q2:Q65" si="5">IF(P2="","NULL",P2)</f>
        <v>0</v>
      </c>
      <c r="R2" t="s">
        <v>13</v>
      </c>
      <c r="S2" t="str">
        <f t="shared" ref="S2:S65" si="6">IF(R2="Non performing","Non-Performing",R2)</f>
        <v>Performing</v>
      </c>
      <c r="T2" t="s">
        <v>14</v>
      </c>
      <c r="U2" s="3">
        <f t="shared" ref="U2:U65" si="7">IFERROR(I2/(G2*J2),"NULL")</f>
        <v>0.48920944444444447</v>
      </c>
      <c r="V2" t="str">
        <f t="shared" ref="V2:V65" si="8">IF(U2="NULL","NULL",IF(U2&lt;=0.3,"Healthy",IF(U2&lt;=0.45,"Stretched","High Stress")))</f>
        <v>High Stress</v>
      </c>
      <c r="W2" t="str">
        <f t="shared" ref="W2:W65" si="9">IF(Q2="NULL","NULL",IF(Q2&lt;30,"Good",IF(Q2&lt;60,"At Risk","High Risk")))</f>
        <v>Good</v>
      </c>
      <c r="X2" s="5" t="str">
        <f t="shared" ref="X2:X65" si="10">IF(I2&lt;10000,"Small",IF(I2&lt;=30000,"Medium","High"))</f>
        <v>Medium</v>
      </c>
      <c r="Y2" s="5" t="str">
        <f t="shared" ref="Y2:Y65" si="11">IF(E2="Salaried","High",IF(E2="Self-Employed","Medium","Low"))</f>
        <v>Medium</v>
      </c>
      <c r="Z2" s="5" t="str">
        <f>IF(B2=120,"NULL",IF(AND(V2="High Stress", W2="High Risk", Y2="Low"),"High Risk : Reject", IF(AND(V2="Healthy", W2="Good",Y2&lt;&gt;"Low"), "Low Risk : Approve", "Medium Risk : Review")))</f>
        <v>Medium Risk : Review</v>
      </c>
      <c r="AA2" s="5" t="str">
        <f t="shared" ref="AA2:AA65" si="12">IF(G2="NULL","NULL",IF(G2&gt;8000,"High",IF(G2&gt;2000,"Medium","Low")))</f>
        <v>Low</v>
      </c>
    </row>
    <row r="3" spans="1:27" x14ac:dyDescent="0.2">
      <c r="A3">
        <v>21221</v>
      </c>
      <c r="B3">
        <v>37</v>
      </c>
      <c r="C3">
        <f t="shared" si="0"/>
        <v>37</v>
      </c>
      <c r="D3" t="s">
        <v>12</v>
      </c>
      <c r="E3" t="str">
        <f t="shared" si="1"/>
        <v>Self-Employed</v>
      </c>
      <c r="F3">
        <v>-1500</v>
      </c>
      <c r="G3">
        <f>ABS(Table1[[#This Row],[Monthly_Income]])</f>
        <v>1500</v>
      </c>
      <c r="H3">
        <v>17170.419999999998</v>
      </c>
      <c r="I3" s="5">
        <f t="shared" si="2"/>
        <v>17170.419999999998</v>
      </c>
      <c r="J3">
        <v>24</v>
      </c>
      <c r="K3">
        <v>21.89</v>
      </c>
      <c r="L3">
        <v>0</v>
      </c>
      <c r="M3">
        <f t="shared" si="3"/>
        <v>0</v>
      </c>
      <c r="N3">
        <v>6.6</v>
      </c>
      <c r="O3">
        <f t="shared" si="4"/>
        <v>6.6</v>
      </c>
      <c r="P3">
        <v>30</v>
      </c>
      <c r="Q3">
        <f t="shared" si="5"/>
        <v>30</v>
      </c>
      <c r="R3" t="s">
        <v>15</v>
      </c>
      <c r="S3" t="str">
        <f t="shared" si="6"/>
        <v xml:space="preserve">Performing </v>
      </c>
      <c r="T3" t="s">
        <v>16</v>
      </c>
      <c r="U3" s="3">
        <f t="shared" si="7"/>
        <v>0.47695611111111108</v>
      </c>
      <c r="V3" t="str">
        <f t="shared" si="8"/>
        <v>High Stress</v>
      </c>
      <c r="W3" t="str">
        <f t="shared" si="9"/>
        <v>At Risk</v>
      </c>
      <c r="X3" s="5" t="str">
        <f t="shared" si="10"/>
        <v>Medium</v>
      </c>
      <c r="Y3" s="5" t="str">
        <f t="shared" si="11"/>
        <v>Medium</v>
      </c>
      <c r="Z3" s="5" t="str">
        <f>IF(B3=120,"NULL",IF(AND(V3="High Stress", W3="High Risk", Y3="Low"),"High Risk : Reject", IF(AND(V3="Healthy", W3="Good",Y3&lt;&gt;"Low"), "Low Risk : Approve", "Medium Risk : Review")))</f>
        <v>Medium Risk : Review</v>
      </c>
      <c r="AA3" s="5" t="str">
        <f t="shared" si="12"/>
        <v>Low</v>
      </c>
    </row>
    <row r="4" spans="1:27" x14ac:dyDescent="0.2">
      <c r="A4">
        <v>20538</v>
      </c>
      <c r="B4">
        <v>34</v>
      </c>
      <c r="C4">
        <f t="shared" si="0"/>
        <v>34</v>
      </c>
      <c r="D4" t="s">
        <v>17</v>
      </c>
      <c r="E4" t="str">
        <f t="shared" si="1"/>
        <v>Contract</v>
      </c>
      <c r="F4">
        <v>4042.73</v>
      </c>
      <c r="G4">
        <f>ABS(Table1[[#This Row],[Monthly_Income]])</f>
        <v>4042.73</v>
      </c>
      <c r="H4">
        <v>15761.35</v>
      </c>
      <c r="I4" s="5">
        <f t="shared" si="2"/>
        <v>15761.35</v>
      </c>
      <c r="J4">
        <v>48</v>
      </c>
      <c r="K4">
        <v>22.02</v>
      </c>
      <c r="M4" t="str">
        <f t="shared" si="3"/>
        <v>NULL</v>
      </c>
      <c r="N4">
        <v>6.2</v>
      </c>
      <c r="O4">
        <f t="shared" si="4"/>
        <v>6.2</v>
      </c>
      <c r="P4">
        <v>0</v>
      </c>
      <c r="Q4">
        <f t="shared" si="5"/>
        <v>0</v>
      </c>
      <c r="R4" t="s">
        <v>18</v>
      </c>
      <c r="S4" t="str">
        <f t="shared" si="6"/>
        <v>Non-Performing</v>
      </c>
      <c r="T4" t="s">
        <v>19</v>
      </c>
      <c r="U4" s="3">
        <f t="shared" si="7"/>
        <v>8.1222703057917137E-2</v>
      </c>
      <c r="V4" t="str">
        <f t="shared" si="8"/>
        <v>Healthy</v>
      </c>
      <c r="W4" t="str">
        <f t="shared" si="9"/>
        <v>Good</v>
      </c>
      <c r="X4" s="5" t="str">
        <f t="shared" si="10"/>
        <v>Medium</v>
      </c>
      <c r="Y4" s="5" t="str">
        <f t="shared" si="11"/>
        <v>Low</v>
      </c>
      <c r="Z4" s="5" t="str">
        <f>IF(B4=120,"NULL",IF(AND(V4="High Stress", W4="High Risk", Y4="Low"),"High Risk : Reject", IF(AND(V4="Healthy", W4="Good",Y4&lt;&gt;"Low"), "Low Risk : Approve", "Medium Risk : Review")))</f>
        <v>Medium Risk : Review</v>
      </c>
      <c r="AA4" s="5" t="str">
        <f t="shared" si="12"/>
        <v>Medium</v>
      </c>
    </row>
    <row r="5" spans="1:27" x14ac:dyDescent="0.2">
      <c r="A5">
        <v>22551</v>
      </c>
      <c r="B5">
        <v>35</v>
      </c>
      <c r="C5">
        <f t="shared" si="0"/>
        <v>35</v>
      </c>
      <c r="D5" t="s">
        <v>12</v>
      </c>
      <c r="E5" t="str">
        <f t="shared" si="1"/>
        <v>Self-Employed</v>
      </c>
      <c r="F5">
        <v>4406.25</v>
      </c>
      <c r="G5">
        <f>ABS(Table1[[#This Row],[Monthly_Income]])</f>
        <v>4406.25</v>
      </c>
      <c r="H5">
        <v>9012.68</v>
      </c>
      <c r="I5" s="5">
        <f t="shared" si="2"/>
        <v>9012.68</v>
      </c>
      <c r="J5">
        <v>48</v>
      </c>
      <c r="K5">
        <v>24.77</v>
      </c>
      <c r="L5">
        <v>3</v>
      </c>
      <c r="M5">
        <f t="shared" si="3"/>
        <v>3</v>
      </c>
      <c r="N5">
        <v>6.8</v>
      </c>
      <c r="O5">
        <f t="shared" si="4"/>
        <v>6.8</v>
      </c>
      <c r="P5">
        <v>0</v>
      </c>
      <c r="Q5">
        <f t="shared" si="5"/>
        <v>0</v>
      </c>
      <c r="R5" t="s">
        <v>20</v>
      </c>
      <c r="S5" t="str">
        <f t="shared" si="6"/>
        <v>Written Off</v>
      </c>
      <c r="T5" t="s">
        <v>19</v>
      </c>
      <c r="U5" s="3">
        <f t="shared" si="7"/>
        <v>4.2613144208037829E-2</v>
      </c>
      <c r="V5" t="str">
        <f t="shared" si="8"/>
        <v>Healthy</v>
      </c>
      <c r="W5" t="str">
        <f t="shared" si="9"/>
        <v>Good</v>
      </c>
      <c r="X5" s="5" t="str">
        <f t="shared" si="10"/>
        <v>Small</v>
      </c>
      <c r="Y5" s="5" t="str">
        <f t="shared" si="11"/>
        <v>Medium</v>
      </c>
      <c r="Z5" s="5" t="str">
        <f>IF(B5=120,"NULL",IF(AND(V5="High Stress", W5="High Risk", Y5="Low"),"High Risk : Reject", IF(AND(V5="Healthy", W5="Good",Y5&lt;&gt;"Low"), "Low Risk : Approve", "Medium Risk : Review")))</f>
        <v>Low Risk : Approve</v>
      </c>
      <c r="AA5" s="5" t="str">
        <f t="shared" si="12"/>
        <v>Medium</v>
      </c>
    </row>
    <row r="6" spans="1:27" x14ac:dyDescent="0.2">
      <c r="A6">
        <v>25700</v>
      </c>
      <c r="B6">
        <v>22</v>
      </c>
      <c r="C6">
        <f t="shared" si="0"/>
        <v>22</v>
      </c>
      <c r="D6" t="s">
        <v>21</v>
      </c>
      <c r="E6" t="str">
        <f t="shared" si="1"/>
        <v>Salaried</v>
      </c>
      <c r="F6">
        <v>4896.3900000000003</v>
      </c>
      <c r="G6">
        <f>ABS(Table1[[#This Row],[Monthly_Income]])</f>
        <v>4896.3900000000003</v>
      </c>
      <c r="H6">
        <v>23125.47</v>
      </c>
      <c r="I6" s="5">
        <f t="shared" si="2"/>
        <v>23125.47</v>
      </c>
      <c r="J6">
        <v>60</v>
      </c>
      <c r="K6">
        <v>13.92</v>
      </c>
      <c r="L6">
        <v>1</v>
      </c>
      <c r="M6">
        <f t="shared" si="3"/>
        <v>1</v>
      </c>
      <c r="N6">
        <v>6.9</v>
      </c>
      <c r="O6">
        <f t="shared" si="4"/>
        <v>6.9</v>
      </c>
      <c r="P6">
        <v>0</v>
      </c>
      <c r="Q6">
        <f t="shared" si="5"/>
        <v>0</v>
      </c>
      <c r="R6" t="s">
        <v>15</v>
      </c>
      <c r="S6" t="str">
        <f t="shared" si="6"/>
        <v xml:space="preserve">Performing </v>
      </c>
      <c r="T6" t="s">
        <v>22</v>
      </c>
      <c r="U6" s="3">
        <f t="shared" si="7"/>
        <v>7.8716054072490133E-2</v>
      </c>
      <c r="V6" t="str">
        <f t="shared" si="8"/>
        <v>Healthy</v>
      </c>
      <c r="W6" t="str">
        <f t="shared" si="9"/>
        <v>Good</v>
      </c>
      <c r="X6" s="5" t="str">
        <f t="shared" si="10"/>
        <v>Medium</v>
      </c>
      <c r="Y6" s="5" t="str">
        <f t="shared" si="11"/>
        <v>High</v>
      </c>
      <c r="Z6" s="5" t="str">
        <f>IF(B6=120,"NULL",IF(AND(V6="High Stress", W6="High Risk", Y6="Low"),"High Risk : Reject", IF(AND(V6="Healthy", W6="Good",Y6&lt;&gt;"Low"), "Low Risk : Approve", "Medium Risk : Review")))</f>
        <v>Low Risk : Approve</v>
      </c>
      <c r="AA6" s="5" t="str">
        <f t="shared" si="12"/>
        <v>Medium</v>
      </c>
    </row>
    <row r="7" spans="1:27" x14ac:dyDescent="0.2">
      <c r="A7">
        <v>24308</v>
      </c>
      <c r="B7">
        <v>51</v>
      </c>
      <c r="C7">
        <f t="shared" si="0"/>
        <v>51</v>
      </c>
      <c r="D7" t="s">
        <v>23</v>
      </c>
      <c r="E7" t="str">
        <f t="shared" si="1"/>
        <v>Self-Employed</v>
      </c>
      <c r="F7">
        <v>4669.18</v>
      </c>
      <c r="G7">
        <f>ABS(Table1[[#This Row],[Monthly_Income]])</f>
        <v>4669.18</v>
      </c>
      <c r="H7">
        <v>13176.32</v>
      </c>
      <c r="I7" s="5">
        <f t="shared" si="2"/>
        <v>13176.32</v>
      </c>
      <c r="J7">
        <v>36</v>
      </c>
      <c r="K7">
        <v>24.25</v>
      </c>
      <c r="L7">
        <v>3</v>
      </c>
      <c r="M7">
        <f t="shared" si="3"/>
        <v>3</v>
      </c>
      <c r="N7">
        <v>6.5</v>
      </c>
      <c r="O7">
        <f t="shared" si="4"/>
        <v>6.5</v>
      </c>
      <c r="P7">
        <v>0</v>
      </c>
      <c r="Q7">
        <f t="shared" si="5"/>
        <v>0</v>
      </c>
      <c r="R7" t="s">
        <v>15</v>
      </c>
      <c r="S7" t="str">
        <f t="shared" si="6"/>
        <v xml:space="preserve">Performing </v>
      </c>
      <c r="T7" t="s">
        <v>14</v>
      </c>
      <c r="U7" s="3">
        <f t="shared" si="7"/>
        <v>7.8388258514105011E-2</v>
      </c>
      <c r="V7" t="str">
        <f t="shared" si="8"/>
        <v>Healthy</v>
      </c>
      <c r="W7" t="str">
        <f t="shared" si="9"/>
        <v>Good</v>
      </c>
      <c r="X7" s="5" t="str">
        <f t="shared" si="10"/>
        <v>Medium</v>
      </c>
      <c r="Y7" s="5" t="str">
        <f t="shared" si="11"/>
        <v>Medium</v>
      </c>
      <c r="Z7" s="5" t="str">
        <f>IF(B7=120,"NULL",IF(AND(V7="High Stress", W7="High Risk", Y7="Low"),"High Risk : Reject", IF(AND(V7="Healthy", W7="Good",Y7&lt;&gt;"Low"), "Low Risk : Approve", "Medium Risk : Review")))</f>
        <v>Low Risk : Approve</v>
      </c>
      <c r="AA7" s="5" t="str">
        <f t="shared" si="12"/>
        <v>Medium</v>
      </c>
    </row>
    <row r="8" spans="1:27" x14ac:dyDescent="0.2">
      <c r="A8">
        <v>20920</v>
      </c>
      <c r="B8">
        <v>38</v>
      </c>
      <c r="C8">
        <f t="shared" si="0"/>
        <v>38</v>
      </c>
      <c r="D8" t="s">
        <v>23</v>
      </c>
      <c r="E8" t="str">
        <f t="shared" si="1"/>
        <v>Self-Employed</v>
      </c>
      <c r="F8">
        <v>3891.1</v>
      </c>
      <c r="G8">
        <f>ABS(Table1[[#This Row],[Monthly_Income]])</f>
        <v>3891.1</v>
      </c>
      <c r="H8">
        <v>17072.47</v>
      </c>
      <c r="I8" s="5">
        <f t="shared" si="2"/>
        <v>17072.47</v>
      </c>
      <c r="J8">
        <v>60</v>
      </c>
      <c r="K8">
        <v>12.21</v>
      </c>
      <c r="L8">
        <v>2</v>
      </c>
      <c r="M8">
        <f t="shared" si="3"/>
        <v>2</v>
      </c>
      <c r="N8">
        <v>9.4</v>
      </c>
      <c r="O8">
        <f t="shared" si="4"/>
        <v>9.4</v>
      </c>
      <c r="Q8" t="str">
        <f t="shared" si="5"/>
        <v>NULL</v>
      </c>
      <c r="R8" t="s">
        <v>13</v>
      </c>
      <c r="S8" t="str">
        <f t="shared" si="6"/>
        <v>Performing</v>
      </c>
      <c r="T8" t="s">
        <v>19</v>
      </c>
      <c r="U8" s="3">
        <f t="shared" si="7"/>
        <v>7.3126151131213971E-2</v>
      </c>
      <c r="V8" t="str">
        <f t="shared" si="8"/>
        <v>Healthy</v>
      </c>
      <c r="W8" t="str">
        <f t="shared" si="9"/>
        <v>NULL</v>
      </c>
      <c r="X8" s="5" t="str">
        <f t="shared" si="10"/>
        <v>Medium</v>
      </c>
      <c r="Y8" s="5" t="str">
        <f t="shared" si="11"/>
        <v>Medium</v>
      </c>
      <c r="Z8" s="5" t="str">
        <f>IF(B8=120,"NULL",IF(AND(V8="High Stress", W8="High Risk", Y8="Low"),"High Risk : Reject", IF(AND(V8="Healthy", W8="Good",Y8&lt;&gt;"Low"), "Low Risk : Approve", "Medium Risk : Review")))</f>
        <v>Medium Risk : Review</v>
      </c>
      <c r="AA8" s="5" t="str">
        <f t="shared" si="12"/>
        <v>Medium</v>
      </c>
    </row>
    <row r="9" spans="1:27" x14ac:dyDescent="0.2">
      <c r="A9">
        <v>25736</v>
      </c>
      <c r="B9">
        <v>55</v>
      </c>
      <c r="C9">
        <f t="shared" si="0"/>
        <v>55</v>
      </c>
      <c r="D9" t="s">
        <v>23</v>
      </c>
      <c r="E9" t="str">
        <f t="shared" si="1"/>
        <v>Self-Employed</v>
      </c>
      <c r="F9">
        <v>-1500</v>
      </c>
      <c r="G9">
        <f>ABS(Table1[[#This Row],[Monthly_Income]])</f>
        <v>1500</v>
      </c>
      <c r="H9">
        <v>16412.11</v>
      </c>
      <c r="I9" s="5">
        <f t="shared" si="2"/>
        <v>16412.11</v>
      </c>
      <c r="J9">
        <v>6</v>
      </c>
      <c r="K9">
        <v>20.18</v>
      </c>
      <c r="M9" t="str">
        <f t="shared" si="3"/>
        <v>NULL</v>
      </c>
      <c r="N9">
        <v>4.3</v>
      </c>
      <c r="O9">
        <f t="shared" si="4"/>
        <v>4.3</v>
      </c>
      <c r="P9">
        <v>0</v>
      </c>
      <c r="Q9">
        <f t="shared" si="5"/>
        <v>0</v>
      </c>
      <c r="R9" t="s">
        <v>18</v>
      </c>
      <c r="S9" t="str">
        <f t="shared" si="6"/>
        <v>Non-Performing</v>
      </c>
      <c r="T9" t="s">
        <v>22</v>
      </c>
      <c r="U9" s="3">
        <f t="shared" si="7"/>
        <v>1.8235677777777779</v>
      </c>
      <c r="V9" t="str">
        <f t="shared" si="8"/>
        <v>High Stress</v>
      </c>
      <c r="W9" t="str">
        <f t="shared" si="9"/>
        <v>Good</v>
      </c>
      <c r="X9" s="5" t="str">
        <f t="shared" si="10"/>
        <v>Medium</v>
      </c>
      <c r="Y9" s="5" t="str">
        <f t="shared" si="11"/>
        <v>Medium</v>
      </c>
      <c r="Z9" s="5" t="str">
        <f>IF(B9=120,"NULL",IF(AND(V9="High Stress", W9="High Risk", Y9="Low"),"High Risk : Reject", IF(AND(V9="Healthy", W9="Good",Y9&lt;&gt;"Low"), "Low Risk : Approve", "Medium Risk : Review")))</f>
        <v>Medium Risk : Review</v>
      </c>
      <c r="AA9" s="5" t="str">
        <f t="shared" si="12"/>
        <v>Low</v>
      </c>
    </row>
    <row r="10" spans="1:27" x14ac:dyDescent="0.2">
      <c r="A10">
        <v>21373</v>
      </c>
      <c r="B10">
        <v>54</v>
      </c>
      <c r="C10">
        <f t="shared" si="0"/>
        <v>54</v>
      </c>
      <c r="D10" t="s">
        <v>12</v>
      </c>
      <c r="E10" t="str">
        <f t="shared" si="1"/>
        <v>Self-Employed</v>
      </c>
      <c r="F10">
        <v>1529.87</v>
      </c>
      <c r="G10">
        <f>ABS(Table1[[#This Row],[Monthly_Income]])</f>
        <v>1529.87</v>
      </c>
      <c r="H10">
        <v>27758.63</v>
      </c>
      <c r="I10" s="5">
        <f t="shared" si="2"/>
        <v>27758.63</v>
      </c>
      <c r="J10">
        <v>48</v>
      </c>
      <c r="K10">
        <v>15.61</v>
      </c>
      <c r="M10" t="str">
        <f t="shared" si="3"/>
        <v>NULL</v>
      </c>
      <c r="N10">
        <v>13</v>
      </c>
      <c r="O10">
        <f t="shared" si="4"/>
        <v>13</v>
      </c>
      <c r="P10">
        <v>0</v>
      </c>
      <c r="Q10">
        <f t="shared" si="5"/>
        <v>0</v>
      </c>
      <c r="R10" t="s">
        <v>15</v>
      </c>
      <c r="S10" t="str">
        <f t="shared" si="6"/>
        <v xml:space="preserve">Performing </v>
      </c>
      <c r="T10" t="s">
        <v>16</v>
      </c>
      <c r="U10" s="3">
        <f t="shared" si="7"/>
        <v>0.37800910643823771</v>
      </c>
      <c r="V10" t="str">
        <f t="shared" si="8"/>
        <v>Stretched</v>
      </c>
      <c r="W10" t="str">
        <f t="shared" si="9"/>
        <v>Good</v>
      </c>
      <c r="X10" s="5" t="str">
        <f t="shared" si="10"/>
        <v>Medium</v>
      </c>
      <c r="Y10" s="5" t="str">
        <f t="shared" si="11"/>
        <v>Medium</v>
      </c>
      <c r="Z10" s="5" t="str">
        <f>IF(B10=120,"NULL",IF(AND(V10="High Stress", W10="High Risk", Y10="Low"),"High Risk : Reject", IF(AND(V10="Healthy", W10="Good",Y10&lt;&gt;"Low"), "Low Risk : Approve", "Medium Risk : Review")))</f>
        <v>Medium Risk : Review</v>
      </c>
      <c r="AA10" s="5" t="str">
        <f t="shared" si="12"/>
        <v>Low</v>
      </c>
    </row>
    <row r="11" spans="1:27" x14ac:dyDescent="0.2">
      <c r="A11">
        <v>23258</v>
      </c>
      <c r="B11">
        <v>21</v>
      </c>
      <c r="C11">
        <f t="shared" si="0"/>
        <v>21</v>
      </c>
      <c r="D11" t="s">
        <v>21</v>
      </c>
      <c r="E11" t="str">
        <f t="shared" si="1"/>
        <v>Salaried</v>
      </c>
      <c r="F11">
        <v>3870.03</v>
      </c>
      <c r="G11">
        <f>ABS(Table1[[#This Row],[Monthly_Income]])</f>
        <v>3870.03</v>
      </c>
      <c r="H11">
        <v>16117.96</v>
      </c>
      <c r="I11" s="5">
        <f t="shared" si="2"/>
        <v>16117.96</v>
      </c>
      <c r="J11">
        <v>6</v>
      </c>
      <c r="K11">
        <v>26.11</v>
      </c>
      <c r="L11">
        <v>2</v>
      </c>
      <c r="M11">
        <f t="shared" si="3"/>
        <v>2</v>
      </c>
      <c r="O11" t="str">
        <f t="shared" si="4"/>
        <v>NULL</v>
      </c>
      <c r="P11">
        <v>0</v>
      </c>
      <c r="Q11">
        <f t="shared" si="5"/>
        <v>0</v>
      </c>
      <c r="R11" t="s">
        <v>15</v>
      </c>
      <c r="S11" t="str">
        <f t="shared" si="6"/>
        <v xml:space="preserve">Performing </v>
      </c>
      <c r="T11" t="s">
        <v>22</v>
      </c>
      <c r="U11" s="3">
        <f t="shared" si="7"/>
        <v>0.69413587663833787</v>
      </c>
      <c r="V11" t="str">
        <f t="shared" si="8"/>
        <v>High Stress</v>
      </c>
      <c r="W11" t="str">
        <f t="shared" si="9"/>
        <v>Good</v>
      </c>
      <c r="X11" s="5" t="str">
        <f t="shared" si="10"/>
        <v>Medium</v>
      </c>
      <c r="Y11" s="5" t="str">
        <f t="shared" si="11"/>
        <v>High</v>
      </c>
      <c r="Z11" s="5" t="str">
        <f>IF(B11=120,"NULL",IF(AND(V11="High Stress", W11="High Risk", Y11="Low"),"High Risk : Reject", IF(AND(V11="Healthy", W11="Good",Y11&lt;&gt;"Low"), "Low Risk : Approve", "Medium Risk : Review")))</f>
        <v>Medium Risk : Review</v>
      </c>
      <c r="AA11" s="5" t="str">
        <f t="shared" si="12"/>
        <v>Medium</v>
      </c>
    </row>
    <row r="12" spans="1:27" x14ac:dyDescent="0.2">
      <c r="A12">
        <v>22584</v>
      </c>
      <c r="B12">
        <v>40</v>
      </c>
      <c r="C12">
        <f t="shared" si="0"/>
        <v>40</v>
      </c>
      <c r="D12" t="s">
        <v>12</v>
      </c>
      <c r="E12" t="str">
        <f t="shared" si="1"/>
        <v>Self-Employed</v>
      </c>
      <c r="F12">
        <v>5921.4</v>
      </c>
      <c r="G12">
        <f>ABS(Table1[[#This Row],[Monthly_Income]])</f>
        <v>5921.4</v>
      </c>
      <c r="H12"/>
      <c r="I12" s="5" t="str">
        <f t="shared" si="2"/>
        <v>NULL</v>
      </c>
      <c r="J12">
        <v>18</v>
      </c>
      <c r="K12">
        <v>11.33</v>
      </c>
      <c r="L12">
        <v>4</v>
      </c>
      <c r="M12">
        <f t="shared" si="3"/>
        <v>4</v>
      </c>
      <c r="N12">
        <v>8.5</v>
      </c>
      <c r="O12">
        <f t="shared" si="4"/>
        <v>8.5</v>
      </c>
      <c r="Q12" t="str">
        <f t="shared" si="5"/>
        <v>NULL</v>
      </c>
      <c r="R12" t="s">
        <v>18</v>
      </c>
      <c r="S12" t="str">
        <f t="shared" si="6"/>
        <v>Non-Performing</v>
      </c>
      <c r="T12" t="s">
        <v>19</v>
      </c>
      <c r="U12" s="3" t="str">
        <f t="shared" si="7"/>
        <v>NULL</v>
      </c>
      <c r="V12" t="str">
        <f t="shared" si="8"/>
        <v>NULL</v>
      </c>
      <c r="W12" t="str">
        <f t="shared" si="9"/>
        <v>NULL</v>
      </c>
      <c r="X12" s="5" t="str">
        <f t="shared" si="10"/>
        <v>High</v>
      </c>
      <c r="Y12" s="5" t="str">
        <f t="shared" si="11"/>
        <v>Medium</v>
      </c>
      <c r="Z12" s="5" t="str">
        <f>IF(B12=120,"NULL",IF(AND(V12="High Stress", W12="High Risk", Y12="Low"),"High Risk : Reject", IF(AND(V12="Healthy", W12="Good",Y12&lt;&gt;"Low"), "Low Risk : Approve", "Medium Risk : Review")))</f>
        <v>Medium Risk : Review</v>
      </c>
      <c r="AA12" s="5" t="str">
        <f t="shared" si="12"/>
        <v>Medium</v>
      </c>
    </row>
    <row r="13" spans="1:27" x14ac:dyDescent="0.2">
      <c r="A13">
        <v>23657</v>
      </c>
      <c r="B13">
        <v>63</v>
      </c>
      <c r="C13">
        <f t="shared" si="0"/>
        <v>63</v>
      </c>
      <c r="D13" t="s">
        <v>23</v>
      </c>
      <c r="E13" t="str">
        <f t="shared" si="1"/>
        <v>Self-Employed</v>
      </c>
      <c r="F13">
        <v>6747.83</v>
      </c>
      <c r="G13">
        <f>ABS(Table1[[#This Row],[Monthly_Income]])</f>
        <v>6747.83</v>
      </c>
      <c r="H13">
        <v>20561.05</v>
      </c>
      <c r="I13" s="5">
        <f t="shared" si="2"/>
        <v>20561.05</v>
      </c>
      <c r="J13">
        <v>48</v>
      </c>
      <c r="K13">
        <v>23.68</v>
      </c>
      <c r="L13">
        <v>4</v>
      </c>
      <c r="M13">
        <f t="shared" si="3"/>
        <v>4</v>
      </c>
      <c r="N13">
        <v>8.6</v>
      </c>
      <c r="O13">
        <f t="shared" si="4"/>
        <v>8.6</v>
      </c>
      <c r="P13">
        <v>0</v>
      </c>
      <c r="Q13">
        <f t="shared" si="5"/>
        <v>0</v>
      </c>
      <c r="R13" t="s">
        <v>20</v>
      </c>
      <c r="S13" t="str">
        <f t="shared" si="6"/>
        <v>Written Off</v>
      </c>
      <c r="T13" t="s">
        <v>19</v>
      </c>
      <c r="U13" s="3">
        <f t="shared" si="7"/>
        <v>6.3480438649659715E-2</v>
      </c>
      <c r="V13" t="str">
        <f t="shared" si="8"/>
        <v>Healthy</v>
      </c>
      <c r="W13" t="str">
        <f t="shared" si="9"/>
        <v>Good</v>
      </c>
      <c r="X13" s="5" t="str">
        <f t="shared" si="10"/>
        <v>Medium</v>
      </c>
      <c r="Y13" s="5" t="str">
        <f t="shared" si="11"/>
        <v>Medium</v>
      </c>
      <c r="Z13" s="5" t="str">
        <f>IF(B13=120,"NULL",IF(AND(V13="High Stress", W13="High Risk", Y13="Low"),"High Risk : Reject", IF(AND(V13="Healthy", W13="Good",Y13&lt;&gt;"Low"), "Low Risk : Approve", "Medium Risk : Review")))</f>
        <v>Low Risk : Approve</v>
      </c>
      <c r="AA13" s="5" t="str">
        <f t="shared" si="12"/>
        <v>Medium</v>
      </c>
    </row>
    <row r="14" spans="1:27" x14ac:dyDescent="0.2">
      <c r="A14">
        <v>24442</v>
      </c>
      <c r="B14">
        <v>49</v>
      </c>
      <c r="C14">
        <f t="shared" si="0"/>
        <v>49</v>
      </c>
      <c r="D14" t="s">
        <v>23</v>
      </c>
      <c r="E14" t="str">
        <f t="shared" si="1"/>
        <v>Self-Employed</v>
      </c>
      <c r="F14">
        <v>5446.05</v>
      </c>
      <c r="G14">
        <f>ABS(Table1[[#This Row],[Monthly_Income]])</f>
        <v>5446.05</v>
      </c>
      <c r="H14">
        <v>39740.629999999997</v>
      </c>
      <c r="I14" s="5">
        <f t="shared" si="2"/>
        <v>39740.629999999997</v>
      </c>
      <c r="J14">
        <v>48</v>
      </c>
      <c r="K14">
        <v>7.26</v>
      </c>
      <c r="M14" t="str">
        <f t="shared" si="3"/>
        <v>NULL</v>
      </c>
      <c r="N14">
        <v>4.5999999999999996</v>
      </c>
      <c r="O14">
        <f t="shared" si="4"/>
        <v>4.5999999999999996</v>
      </c>
      <c r="P14">
        <v>60</v>
      </c>
      <c r="Q14">
        <f t="shared" si="5"/>
        <v>60</v>
      </c>
      <c r="R14" t="s">
        <v>15</v>
      </c>
      <c r="S14" t="str">
        <f t="shared" si="6"/>
        <v xml:space="preserve">Performing </v>
      </c>
      <c r="T14" t="s">
        <v>22</v>
      </c>
      <c r="U14" s="3">
        <f t="shared" si="7"/>
        <v>0.15202390570535829</v>
      </c>
      <c r="V14" t="str">
        <f t="shared" si="8"/>
        <v>Healthy</v>
      </c>
      <c r="W14" t="str">
        <f t="shared" si="9"/>
        <v>High Risk</v>
      </c>
      <c r="X14" s="5" t="str">
        <f t="shared" si="10"/>
        <v>High</v>
      </c>
      <c r="Y14" s="5" t="str">
        <f t="shared" si="11"/>
        <v>Medium</v>
      </c>
      <c r="Z14" s="5" t="str">
        <f>IF(B14=120,"NULL",IF(AND(V14="High Stress", W14="High Risk", Y14="Low"),"High Risk : Reject", IF(AND(V14="Healthy", W14="Good",Y14&lt;&gt;"Low"), "Low Risk : Approve", "Medium Risk : Review")))</f>
        <v>Medium Risk : Review</v>
      </c>
      <c r="AA14" s="5" t="str">
        <f t="shared" si="12"/>
        <v>Medium</v>
      </c>
    </row>
    <row r="15" spans="1:27" x14ac:dyDescent="0.2">
      <c r="A15">
        <v>24463</v>
      </c>
      <c r="B15">
        <v>26</v>
      </c>
      <c r="C15">
        <f t="shared" si="0"/>
        <v>26</v>
      </c>
      <c r="D15" t="s">
        <v>23</v>
      </c>
      <c r="E15" t="str">
        <f t="shared" si="1"/>
        <v>Self-Employed</v>
      </c>
      <c r="F15">
        <v>7918.16</v>
      </c>
      <c r="G15">
        <f>ABS(Table1[[#This Row],[Monthly_Income]])</f>
        <v>7918.16</v>
      </c>
      <c r="H15">
        <v>24529.94</v>
      </c>
      <c r="I15" s="5">
        <f t="shared" si="2"/>
        <v>24529.94</v>
      </c>
      <c r="J15">
        <v>60</v>
      </c>
      <c r="K15">
        <v>17.48</v>
      </c>
      <c r="L15">
        <v>1</v>
      </c>
      <c r="M15">
        <f t="shared" si="3"/>
        <v>1</v>
      </c>
      <c r="N15">
        <v>6.7</v>
      </c>
      <c r="O15">
        <f t="shared" si="4"/>
        <v>6.7</v>
      </c>
      <c r="P15">
        <v>0</v>
      </c>
      <c r="Q15">
        <f t="shared" si="5"/>
        <v>0</v>
      </c>
      <c r="R15" t="s">
        <v>24</v>
      </c>
      <c r="S15" t="str">
        <f t="shared" si="6"/>
        <v>Non-Performing</v>
      </c>
      <c r="T15" t="s">
        <v>25</v>
      </c>
      <c r="U15" s="3">
        <f t="shared" si="7"/>
        <v>5.1632239476511375E-2</v>
      </c>
      <c r="V15" t="str">
        <f t="shared" si="8"/>
        <v>Healthy</v>
      </c>
      <c r="W15" t="str">
        <f t="shared" si="9"/>
        <v>Good</v>
      </c>
      <c r="X15" s="5" t="str">
        <f t="shared" si="10"/>
        <v>Medium</v>
      </c>
      <c r="Y15" s="5" t="str">
        <f t="shared" si="11"/>
        <v>Medium</v>
      </c>
      <c r="Z15" s="5" t="str">
        <f>IF(B15=120,"NULL",IF(AND(V15="High Stress", W15="High Risk", Y15="Low"),"High Risk : Reject", IF(AND(V15="Healthy", W15="Good",Y15&lt;&gt;"Low"), "Low Risk : Approve", "Medium Risk : Review")))</f>
        <v>Low Risk : Approve</v>
      </c>
      <c r="AA15" s="5" t="str">
        <f t="shared" si="12"/>
        <v>Medium</v>
      </c>
    </row>
    <row r="16" spans="1:27" x14ac:dyDescent="0.2">
      <c r="A16">
        <v>22779</v>
      </c>
      <c r="B16">
        <v>41</v>
      </c>
      <c r="C16">
        <f t="shared" si="0"/>
        <v>41</v>
      </c>
      <c r="D16" t="s">
        <v>26</v>
      </c>
      <c r="E16" t="str">
        <f t="shared" si="1"/>
        <v>Salaried</v>
      </c>
      <c r="F16">
        <v>-1500</v>
      </c>
      <c r="G16">
        <f>ABS(Table1[[#This Row],[Monthly_Income]])</f>
        <v>1500</v>
      </c>
      <c r="H16">
        <v>20880.16</v>
      </c>
      <c r="I16" s="5">
        <f t="shared" si="2"/>
        <v>20880.16</v>
      </c>
      <c r="J16">
        <v>18</v>
      </c>
      <c r="K16">
        <v>16.53</v>
      </c>
      <c r="L16">
        <v>4</v>
      </c>
      <c r="M16">
        <f t="shared" si="3"/>
        <v>4</v>
      </c>
      <c r="N16">
        <v>3.1</v>
      </c>
      <c r="O16">
        <f t="shared" si="4"/>
        <v>3.1</v>
      </c>
      <c r="P16">
        <v>0</v>
      </c>
      <c r="Q16">
        <f t="shared" si="5"/>
        <v>0</v>
      </c>
      <c r="R16" t="s">
        <v>20</v>
      </c>
      <c r="S16" t="str">
        <f t="shared" si="6"/>
        <v>Written Off</v>
      </c>
      <c r="T16" t="s">
        <v>16</v>
      </c>
      <c r="U16" s="3">
        <f t="shared" si="7"/>
        <v>0.77333925925925928</v>
      </c>
      <c r="V16" t="str">
        <f t="shared" si="8"/>
        <v>High Stress</v>
      </c>
      <c r="W16" t="str">
        <f t="shared" si="9"/>
        <v>Good</v>
      </c>
      <c r="X16" s="5" t="str">
        <f t="shared" si="10"/>
        <v>Medium</v>
      </c>
      <c r="Y16" s="5" t="str">
        <f t="shared" si="11"/>
        <v>High</v>
      </c>
      <c r="Z16" s="5" t="str">
        <f>IF(B16=120,"NULL",IF(AND(V16="High Stress", W16="High Risk", Y16="Low"),"High Risk : Reject", IF(AND(V16="Healthy", W16="Good",Y16&lt;&gt;"Low"), "Low Risk : Approve", "Medium Risk : Review")))</f>
        <v>Medium Risk : Review</v>
      </c>
      <c r="AA16" s="5" t="str">
        <f t="shared" si="12"/>
        <v>Low</v>
      </c>
    </row>
    <row r="17" spans="1:27" x14ac:dyDescent="0.2">
      <c r="A17">
        <v>25001</v>
      </c>
      <c r="B17">
        <v>40</v>
      </c>
      <c r="C17">
        <f t="shared" si="0"/>
        <v>40</v>
      </c>
      <c r="D17" t="s">
        <v>26</v>
      </c>
      <c r="E17" t="str">
        <f t="shared" si="1"/>
        <v>Salaried</v>
      </c>
      <c r="F17">
        <v>3157.05</v>
      </c>
      <c r="G17">
        <f>ABS(Table1[[#This Row],[Monthly_Income]])</f>
        <v>3157.05</v>
      </c>
      <c r="H17">
        <v>19119.919999999998</v>
      </c>
      <c r="I17" s="5">
        <f t="shared" si="2"/>
        <v>19119.919999999998</v>
      </c>
      <c r="J17">
        <v>12</v>
      </c>
      <c r="K17">
        <v>8.19</v>
      </c>
      <c r="L17">
        <v>4</v>
      </c>
      <c r="M17">
        <f t="shared" si="3"/>
        <v>4</v>
      </c>
      <c r="N17">
        <v>15.7</v>
      </c>
      <c r="O17">
        <f t="shared" si="4"/>
        <v>15.7</v>
      </c>
      <c r="P17">
        <v>0</v>
      </c>
      <c r="Q17">
        <f t="shared" si="5"/>
        <v>0</v>
      </c>
      <c r="R17" t="s">
        <v>18</v>
      </c>
      <c r="S17" t="str">
        <f t="shared" si="6"/>
        <v>Non-Performing</v>
      </c>
      <c r="T17" t="s">
        <v>14</v>
      </c>
      <c r="U17" s="3">
        <f t="shared" si="7"/>
        <v>0.50468844860444606</v>
      </c>
      <c r="V17" t="str">
        <f t="shared" si="8"/>
        <v>High Stress</v>
      </c>
      <c r="W17" t="str">
        <f t="shared" si="9"/>
        <v>Good</v>
      </c>
      <c r="X17" s="5" t="str">
        <f t="shared" si="10"/>
        <v>Medium</v>
      </c>
      <c r="Y17" s="5" t="str">
        <f t="shared" si="11"/>
        <v>High</v>
      </c>
      <c r="Z17" s="5" t="str">
        <f>IF(B17=120,"NULL",IF(AND(V17="High Stress", W17="High Risk", Y17="Low"),"High Risk : Reject", IF(AND(V17="Healthy", W17="Good",Y17&lt;&gt;"Low"), "Low Risk : Approve", "Medium Risk : Review")))</f>
        <v>Medium Risk : Review</v>
      </c>
      <c r="AA17" s="5" t="str">
        <f t="shared" si="12"/>
        <v>Medium</v>
      </c>
    </row>
    <row r="18" spans="1:27" x14ac:dyDescent="0.2">
      <c r="A18">
        <v>23240</v>
      </c>
      <c r="B18">
        <v>61</v>
      </c>
      <c r="C18">
        <f t="shared" si="0"/>
        <v>61</v>
      </c>
      <c r="D18" t="s">
        <v>23</v>
      </c>
      <c r="E18" t="str">
        <f t="shared" si="1"/>
        <v>Self-Employed</v>
      </c>
      <c r="F18">
        <v>6608.54</v>
      </c>
      <c r="G18">
        <f>ABS(Table1[[#This Row],[Monthly_Income]])</f>
        <v>6608.54</v>
      </c>
      <c r="H18">
        <v>16723.009999999998</v>
      </c>
      <c r="I18" s="5">
        <f t="shared" si="2"/>
        <v>16723.009999999998</v>
      </c>
      <c r="J18">
        <v>24</v>
      </c>
      <c r="K18">
        <v>20.71</v>
      </c>
      <c r="L18">
        <v>4</v>
      </c>
      <c r="M18">
        <f t="shared" si="3"/>
        <v>4</v>
      </c>
      <c r="N18">
        <v>11.4</v>
      </c>
      <c r="O18">
        <f t="shared" si="4"/>
        <v>11.4</v>
      </c>
      <c r="P18">
        <v>120</v>
      </c>
      <c r="Q18">
        <f t="shared" si="5"/>
        <v>120</v>
      </c>
      <c r="R18" t="s">
        <v>24</v>
      </c>
      <c r="S18" t="str">
        <f t="shared" si="6"/>
        <v>Non-Performing</v>
      </c>
      <c r="T18" t="s">
        <v>19</v>
      </c>
      <c r="U18" s="3">
        <f t="shared" si="7"/>
        <v>0.10543812753396867</v>
      </c>
      <c r="V18" t="str">
        <f t="shared" si="8"/>
        <v>Healthy</v>
      </c>
      <c r="W18" t="str">
        <f t="shared" si="9"/>
        <v>High Risk</v>
      </c>
      <c r="X18" s="5" t="str">
        <f t="shared" si="10"/>
        <v>Medium</v>
      </c>
      <c r="Y18" s="5" t="str">
        <f t="shared" si="11"/>
        <v>Medium</v>
      </c>
      <c r="Z18" s="5" t="str">
        <f>IF(B18=120,"NULL",IF(AND(V18="High Stress", W18="High Risk", Y18="Low"),"High Risk : Reject", IF(AND(V18="Healthy", W18="Good",Y18&lt;&gt;"Low"), "Low Risk : Approve", "Medium Risk : Review")))</f>
        <v>Medium Risk : Review</v>
      </c>
      <c r="AA18" s="5" t="str">
        <f t="shared" si="12"/>
        <v>Medium</v>
      </c>
    </row>
    <row r="19" spans="1:27" x14ac:dyDescent="0.2">
      <c r="A19">
        <v>21093</v>
      </c>
      <c r="B19">
        <v>22</v>
      </c>
      <c r="C19">
        <f t="shared" si="0"/>
        <v>22</v>
      </c>
      <c r="D19" t="s">
        <v>23</v>
      </c>
      <c r="E19" t="str">
        <f t="shared" si="1"/>
        <v>Self-Employed</v>
      </c>
      <c r="F19">
        <v>8016.85</v>
      </c>
      <c r="G19">
        <f>ABS(Table1[[#This Row],[Monthly_Income]])</f>
        <v>8016.85</v>
      </c>
      <c r="H19">
        <v>9467.32</v>
      </c>
      <c r="I19" s="5">
        <f t="shared" si="2"/>
        <v>9467.32</v>
      </c>
      <c r="J19">
        <v>12</v>
      </c>
      <c r="K19">
        <v>23.05</v>
      </c>
      <c r="L19">
        <v>2</v>
      </c>
      <c r="M19">
        <f t="shared" si="3"/>
        <v>2</v>
      </c>
      <c r="N19">
        <v>8.6999999999999993</v>
      </c>
      <c r="O19">
        <f t="shared" si="4"/>
        <v>8.6999999999999993</v>
      </c>
      <c r="P19">
        <v>15</v>
      </c>
      <c r="Q19">
        <f t="shared" si="5"/>
        <v>15</v>
      </c>
      <c r="R19" t="s">
        <v>13</v>
      </c>
      <c r="S19" t="str">
        <f t="shared" si="6"/>
        <v>Performing</v>
      </c>
      <c r="T19" t="s">
        <v>16</v>
      </c>
      <c r="U19" s="3">
        <f t="shared" si="7"/>
        <v>9.8410639257730054E-2</v>
      </c>
      <c r="V19" t="str">
        <f t="shared" si="8"/>
        <v>Healthy</v>
      </c>
      <c r="W19" t="str">
        <f t="shared" si="9"/>
        <v>Good</v>
      </c>
      <c r="X19" s="5" t="str">
        <f t="shared" si="10"/>
        <v>Small</v>
      </c>
      <c r="Y19" s="5" t="str">
        <f t="shared" si="11"/>
        <v>Medium</v>
      </c>
      <c r="Z19" s="5" t="str">
        <f>IF(B19=120,"NULL",IF(AND(V19="High Stress", W19="High Risk", Y19="Low"),"High Risk : Reject", IF(AND(V19="Healthy", W19="Good",Y19&lt;&gt;"Low"), "Low Risk : Approve", "Medium Risk : Review")))</f>
        <v>Low Risk : Approve</v>
      </c>
      <c r="AA19" s="5" t="str">
        <f t="shared" si="12"/>
        <v>High</v>
      </c>
    </row>
    <row r="20" spans="1:27" x14ac:dyDescent="0.2">
      <c r="A20">
        <v>21457</v>
      </c>
      <c r="B20">
        <v>75</v>
      </c>
      <c r="C20">
        <f t="shared" si="0"/>
        <v>75</v>
      </c>
      <c r="D20" t="s">
        <v>26</v>
      </c>
      <c r="E20" t="str">
        <f t="shared" si="1"/>
        <v>Salaried</v>
      </c>
      <c r="F20">
        <v>6176.71</v>
      </c>
      <c r="G20">
        <f>ABS(Table1[[#This Row],[Monthly_Income]])</f>
        <v>6176.71</v>
      </c>
      <c r="H20">
        <v>21808.720000000001</v>
      </c>
      <c r="I20" s="5">
        <f t="shared" si="2"/>
        <v>21808.720000000001</v>
      </c>
      <c r="J20">
        <v>12</v>
      </c>
      <c r="K20">
        <v>28.97</v>
      </c>
      <c r="M20" t="str">
        <f t="shared" si="3"/>
        <v>NULL</v>
      </c>
      <c r="N20">
        <v>4.7</v>
      </c>
      <c r="O20">
        <f t="shared" si="4"/>
        <v>4.7</v>
      </c>
      <c r="P20">
        <v>0</v>
      </c>
      <c r="Q20">
        <f t="shared" si="5"/>
        <v>0</v>
      </c>
      <c r="R20" t="s">
        <v>13</v>
      </c>
      <c r="S20" t="str">
        <f t="shared" si="6"/>
        <v>Performing</v>
      </c>
      <c r="T20" t="s">
        <v>16</v>
      </c>
      <c r="U20" s="3">
        <f t="shared" si="7"/>
        <v>0.29423322988020051</v>
      </c>
      <c r="V20" t="str">
        <f t="shared" si="8"/>
        <v>Healthy</v>
      </c>
      <c r="W20" t="str">
        <f t="shared" si="9"/>
        <v>Good</v>
      </c>
      <c r="X20" s="5" t="str">
        <f t="shared" si="10"/>
        <v>Medium</v>
      </c>
      <c r="Y20" s="5" t="str">
        <f t="shared" si="11"/>
        <v>High</v>
      </c>
      <c r="Z20" s="5" t="str">
        <f>IF(B20=120,"NULL",IF(AND(V20="High Stress", W20="High Risk", Y20="Low"),"High Risk : Reject", IF(AND(V20="Healthy", W20="Good",Y20&lt;&gt;"Low"), "Low Risk : Approve", "Medium Risk : Review")))</f>
        <v>Low Risk : Approve</v>
      </c>
      <c r="AA20" s="5" t="str">
        <f t="shared" si="12"/>
        <v>Medium</v>
      </c>
    </row>
    <row r="21" spans="1:27" x14ac:dyDescent="0.2">
      <c r="A21">
        <v>20392</v>
      </c>
      <c r="B21">
        <v>36</v>
      </c>
      <c r="C21">
        <f t="shared" si="0"/>
        <v>36</v>
      </c>
      <c r="D21" t="s">
        <v>27</v>
      </c>
      <c r="E21" t="str">
        <f t="shared" si="1"/>
        <v>Unemployed</v>
      </c>
      <c r="F21">
        <v>5635.05</v>
      </c>
      <c r="G21">
        <f>ABS(Table1[[#This Row],[Monthly_Income]])</f>
        <v>5635.05</v>
      </c>
      <c r="H21">
        <v>31457.38</v>
      </c>
      <c r="I21" s="5">
        <f t="shared" si="2"/>
        <v>31457.38</v>
      </c>
      <c r="J21">
        <v>48</v>
      </c>
      <c r="K21">
        <v>24.57</v>
      </c>
      <c r="L21">
        <v>1</v>
      </c>
      <c r="M21">
        <f t="shared" si="3"/>
        <v>1</v>
      </c>
      <c r="N21">
        <v>11.3</v>
      </c>
      <c r="O21">
        <f t="shared" si="4"/>
        <v>11.3</v>
      </c>
      <c r="P21">
        <v>120</v>
      </c>
      <c r="Q21">
        <f t="shared" si="5"/>
        <v>120</v>
      </c>
      <c r="R21" t="s">
        <v>18</v>
      </c>
      <c r="S21" t="str">
        <f t="shared" si="6"/>
        <v>Non-Performing</v>
      </c>
      <c r="T21" t="s">
        <v>19</v>
      </c>
      <c r="U21" s="3">
        <f t="shared" si="7"/>
        <v>0.11630102365255558</v>
      </c>
      <c r="V21" t="str">
        <f t="shared" si="8"/>
        <v>Healthy</v>
      </c>
      <c r="W21" t="str">
        <f t="shared" si="9"/>
        <v>High Risk</v>
      </c>
      <c r="X21" s="5" t="str">
        <f t="shared" si="10"/>
        <v>High</v>
      </c>
      <c r="Y21" s="5" t="str">
        <f t="shared" si="11"/>
        <v>Low</v>
      </c>
      <c r="Z21" s="5" t="str">
        <f>IF(B21=120,"NULL",IF(AND(V21="High Stress", W21="High Risk", Y21="Low"),"High Risk : Reject", IF(AND(V21="Healthy", W21="Good",Y21&lt;&gt;"Low"), "Low Risk : Approve", "Medium Risk : Review")))</f>
        <v>Medium Risk : Review</v>
      </c>
      <c r="AA21" s="5" t="str">
        <f t="shared" si="12"/>
        <v>Medium</v>
      </c>
    </row>
    <row r="22" spans="1:27" x14ac:dyDescent="0.2">
      <c r="A22">
        <v>25196</v>
      </c>
      <c r="B22">
        <v>36</v>
      </c>
      <c r="C22">
        <f t="shared" si="0"/>
        <v>36</v>
      </c>
      <c r="D22" t="s">
        <v>12</v>
      </c>
      <c r="E22" t="str">
        <f t="shared" si="1"/>
        <v>Self-Employed</v>
      </c>
      <c r="F22">
        <v>4241.63</v>
      </c>
      <c r="G22">
        <f>ABS(Table1[[#This Row],[Monthly_Income]])</f>
        <v>4241.63</v>
      </c>
      <c r="H22">
        <v>38958.94</v>
      </c>
      <c r="I22" s="5">
        <f t="shared" si="2"/>
        <v>38958.94</v>
      </c>
      <c r="J22">
        <v>48</v>
      </c>
      <c r="K22">
        <v>24.96</v>
      </c>
      <c r="L22">
        <v>1</v>
      </c>
      <c r="M22">
        <f t="shared" si="3"/>
        <v>1</v>
      </c>
      <c r="N22">
        <v>4.3</v>
      </c>
      <c r="O22">
        <f t="shared" si="4"/>
        <v>4.3</v>
      </c>
      <c r="P22">
        <v>15</v>
      </c>
      <c r="Q22">
        <f t="shared" si="5"/>
        <v>15</v>
      </c>
      <c r="R22" t="s">
        <v>13</v>
      </c>
      <c r="S22" t="str">
        <f t="shared" si="6"/>
        <v>Performing</v>
      </c>
      <c r="T22" t="s">
        <v>14</v>
      </c>
      <c r="U22" s="3">
        <f t="shared" si="7"/>
        <v>0.19135204705109438</v>
      </c>
      <c r="V22" t="str">
        <f t="shared" si="8"/>
        <v>Healthy</v>
      </c>
      <c r="W22" t="str">
        <f t="shared" si="9"/>
        <v>Good</v>
      </c>
      <c r="X22" s="5" t="str">
        <f t="shared" si="10"/>
        <v>High</v>
      </c>
      <c r="Y22" s="5" t="str">
        <f t="shared" si="11"/>
        <v>Medium</v>
      </c>
      <c r="Z22" s="5" t="str">
        <f>IF(B22=120,"NULL",IF(AND(V22="High Stress", W22="High Risk", Y22="Low"),"High Risk : Reject", IF(AND(V22="Healthy", W22="Good",Y22&lt;&gt;"Low"), "Low Risk : Approve", "Medium Risk : Review")))</f>
        <v>Low Risk : Approve</v>
      </c>
      <c r="AA22" s="5" t="str">
        <f t="shared" si="12"/>
        <v>Medium</v>
      </c>
    </row>
    <row r="23" spans="1:27" x14ac:dyDescent="0.2">
      <c r="A23">
        <v>22872</v>
      </c>
      <c r="B23">
        <v>38</v>
      </c>
      <c r="C23">
        <f t="shared" si="0"/>
        <v>38</v>
      </c>
      <c r="D23" t="s">
        <v>23</v>
      </c>
      <c r="E23" t="str">
        <f t="shared" si="1"/>
        <v>Self-Employed</v>
      </c>
      <c r="F23">
        <v>3759.17</v>
      </c>
      <c r="G23">
        <f>ABS(Table1[[#This Row],[Monthly_Income]])</f>
        <v>3759.17</v>
      </c>
      <c r="H23">
        <v>8771.09</v>
      </c>
      <c r="I23" s="5">
        <f t="shared" si="2"/>
        <v>8771.09</v>
      </c>
      <c r="J23">
        <v>36</v>
      </c>
      <c r="K23">
        <v>14.17</v>
      </c>
      <c r="L23">
        <v>3</v>
      </c>
      <c r="M23">
        <f t="shared" si="3"/>
        <v>3</v>
      </c>
      <c r="N23">
        <v>8.4</v>
      </c>
      <c r="O23">
        <f t="shared" si="4"/>
        <v>8.4</v>
      </c>
      <c r="P23">
        <v>90</v>
      </c>
      <c r="Q23">
        <f t="shared" si="5"/>
        <v>90</v>
      </c>
      <c r="R23" t="s">
        <v>20</v>
      </c>
      <c r="S23" t="str">
        <f t="shared" si="6"/>
        <v>Written Off</v>
      </c>
      <c r="T23" t="s">
        <v>22</v>
      </c>
      <c r="U23" s="3">
        <f t="shared" si="7"/>
        <v>6.4812548751157537E-2</v>
      </c>
      <c r="V23" t="str">
        <f t="shared" si="8"/>
        <v>Healthy</v>
      </c>
      <c r="W23" t="str">
        <f t="shared" si="9"/>
        <v>High Risk</v>
      </c>
      <c r="X23" s="5" t="str">
        <f t="shared" si="10"/>
        <v>Small</v>
      </c>
      <c r="Y23" s="5" t="str">
        <f t="shared" si="11"/>
        <v>Medium</v>
      </c>
      <c r="Z23" s="5" t="str">
        <f>IF(B23=120,"NULL",IF(AND(V23="High Stress", W23="High Risk", Y23="Low"),"High Risk : Reject", IF(AND(V23="Healthy", W23="Good",Y23&lt;&gt;"Low"), "Low Risk : Approve", "Medium Risk : Review")))</f>
        <v>Medium Risk : Review</v>
      </c>
      <c r="AA23" s="5" t="str">
        <f t="shared" si="12"/>
        <v>Medium</v>
      </c>
    </row>
    <row r="24" spans="1:27" x14ac:dyDescent="0.2">
      <c r="A24">
        <v>22299</v>
      </c>
      <c r="B24">
        <v>30</v>
      </c>
      <c r="C24">
        <f t="shared" si="0"/>
        <v>30</v>
      </c>
      <c r="D24" t="s">
        <v>17</v>
      </c>
      <c r="E24" t="str">
        <f t="shared" si="1"/>
        <v>Contract</v>
      </c>
      <c r="F24">
        <v>5246.4</v>
      </c>
      <c r="G24">
        <f>ABS(Table1[[#This Row],[Monthly_Income]])</f>
        <v>5246.4</v>
      </c>
      <c r="H24">
        <v>13174.55</v>
      </c>
      <c r="I24" s="5">
        <f t="shared" si="2"/>
        <v>13174.55</v>
      </c>
      <c r="J24">
        <v>12</v>
      </c>
      <c r="K24">
        <v>15.31</v>
      </c>
      <c r="L24">
        <v>2</v>
      </c>
      <c r="M24">
        <f t="shared" si="3"/>
        <v>2</v>
      </c>
      <c r="N24">
        <v>12.3</v>
      </c>
      <c r="O24">
        <f t="shared" si="4"/>
        <v>12.3</v>
      </c>
      <c r="P24">
        <v>90</v>
      </c>
      <c r="Q24">
        <f t="shared" si="5"/>
        <v>90</v>
      </c>
      <c r="R24" t="s">
        <v>13</v>
      </c>
      <c r="S24" t="str">
        <f t="shared" si="6"/>
        <v>Performing</v>
      </c>
      <c r="T24" t="s">
        <v>16</v>
      </c>
      <c r="U24" s="3">
        <f t="shared" si="7"/>
        <v>0.20926333612890108</v>
      </c>
      <c r="V24" t="str">
        <f t="shared" si="8"/>
        <v>Healthy</v>
      </c>
      <c r="W24" t="str">
        <f t="shared" si="9"/>
        <v>High Risk</v>
      </c>
      <c r="X24" s="5" t="str">
        <f t="shared" si="10"/>
        <v>Medium</v>
      </c>
      <c r="Y24" s="5" t="str">
        <f t="shared" si="11"/>
        <v>Low</v>
      </c>
      <c r="Z24" s="5" t="str">
        <f>IF(B24=120,"NULL",IF(AND(V24="High Stress", W24="High Risk", Y24="Low"),"High Risk : Reject", IF(AND(V24="Healthy", W24="Good",Y24&lt;&gt;"Low"), "Low Risk : Approve", "Medium Risk : Review")))</f>
        <v>Medium Risk : Review</v>
      </c>
      <c r="AA24" s="5" t="str">
        <f t="shared" si="12"/>
        <v>Medium</v>
      </c>
    </row>
    <row r="25" spans="1:27" x14ac:dyDescent="0.2">
      <c r="A25">
        <v>23517</v>
      </c>
      <c r="B25">
        <v>46</v>
      </c>
      <c r="C25">
        <f t="shared" si="0"/>
        <v>46</v>
      </c>
      <c r="D25" t="s">
        <v>12</v>
      </c>
      <c r="E25" t="str">
        <f t="shared" si="1"/>
        <v>Self-Employed</v>
      </c>
      <c r="F25">
        <v>1938.73</v>
      </c>
      <c r="G25">
        <f>ABS(Table1[[#This Row],[Monthly_Income]])</f>
        <v>1938.73</v>
      </c>
      <c r="H25">
        <v>31791.33</v>
      </c>
      <c r="I25" s="5">
        <f t="shared" si="2"/>
        <v>31791.33</v>
      </c>
      <c r="J25">
        <v>36</v>
      </c>
      <c r="K25">
        <v>20.46</v>
      </c>
      <c r="M25" t="str">
        <f t="shared" si="3"/>
        <v>NULL</v>
      </c>
      <c r="N25">
        <v>5.0999999999999996</v>
      </c>
      <c r="O25">
        <f t="shared" si="4"/>
        <v>5.0999999999999996</v>
      </c>
      <c r="P25">
        <v>0</v>
      </c>
      <c r="Q25">
        <f t="shared" si="5"/>
        <v>0</v>
      </c>
      <c r="R25" t="s">
        <v>20</v>
      </c>
      <c r="S25" t="str">
        <f t="shared" si="6"/>
        <v>Written Off</v>
      </c>
      <c r="T25" t="s">
        <v>14</v>
      </c>
      <c r="U25" s="3">
        <f t="shared" si="7"/>
        <v>0.45550050806455777</v>
      </c>
      <c r="V25" t="str">
        <f t="shared" si="8"/>
        <v>High Stress</v>
      </c>
      <c r="W25" t="str">
        <f t="shared" si="9"/>
        <v>Good</v>
      </c>
      <c r="X25" s="5" t="str">
        <f t="shared" si="10"/>
        <v>High</v>
      </c>
      <c r="Y25" s="5" t="str">
        <f t="shared" si="11"/>
        <v>Medium</v>
      </c>
      <c r="Z25" s="5" t="str">
        <f>IF(B25=120,"NULL",IF(AND(V25="High Stress", W25="High Risk", Y25="Low"),"High Risk : Reject", IF(AND(V25="Healthy", W25="Good",Y25&lt;&gt;"Low"), "Low Risk : Approve", "Medium Risk : Review")))</f>
        <v>Medium Risk : Review</v>
      </c>
      <c r="AA25" s="5" t="str">
        <f t="shared" si="12"/>
        <v>Low</v>
      </c>
    </row>
    <row r="26" spans="1:27" x14ac:dyDescent="0.2">
      <c r="A26">
        <v>23117</v>
      </c>
      <c r="B26">
        <v>54</v>
      </c>
      <c r="C26">
        <f t="shared" si="0"/>
        <v>54</v>
      </c>
      <c r="D26" t="s">
        <v>12</v>
      </c>
      <c r="E26" t="str">
        <f t="shared" si="1"/>
        <v>Self-Employed</v>
      </c>
      <c r="F26">
        <v>8065.05</v>
      </c>
      <c r="G26">
        <f>ABS(Table1[[#This Row],[Monthly_Income]])</f>
        <v>8065.05</v>
      </c>
      <c r="H26">
        <v>28728.53</v>
      </c>
      <c r="I26" s="5">
        <f t="shared" si="2"/>
        <v>28728.53</v>
      </c>
      <c r="J26">
        <v>60</v>
      </c>
      <c r="K26">
        <v>19.32</v>
      </c>
      <c r="L26">
        <v>0</v>
      </c>
      <c r="M26">
        <f t="shared" si="3"/>
        <v>0</v>
      </c>
      <c r="N26">
        <v>6.8</v>
      </c>
      <c r="O26">
        <f t="shared" si="4"/>
        <v>6.8</v>
      </c>
      <c r="P26">
        <v>0</v>
      </c>
      <c r="Q26">
        <f t="shared" si="5"/>
        <v>0</v>
      </c>
      <c r="R26" t="s">
        <v>20</v>
      </c>
      <c r="S26" t="str">
        <f t="shared" si="6"/>
        <v>Written Off</v>
      </c>
      <c r="T26" t="s">
        <v>16</v>
      </c>
      <c r="U26" s="3">
        <f t="shared" si="7"/>
        <v>5.936836514756056E-2</v>
      </c>
      <c r="V26" t="str">
        <f t="shared" si="8"/>
        <v>Healthy</v>
      </c>
      <c r="W26" t="str">
        <f t="shared" si="9"/>
        <v>Good</v>
      </c>
      <c r="X26" s="5" t="str">
        <f t="shared" si="10"/>
        <v>Medium</v>
      </c>
      <c r="Y26" s="5" t="str">
        <f t="shared" si="11"/>
        <v>Medium</v>
      </c>
      <c r="Z26" s="5" t="str">
        <f>IF(B26=120,"NULL",IF(AND(V26="High Stress", W26="High Risk", Y26="Low"),"High Risk : Reject", IF(AND(V26="Healthy", W26="Good",Y26&lt;&gt;"Low"), "Low Risk : Approve", "Medium Risk : Review")))</f>
        <v>Low Risk : Approve</v>
      </c>
      <c r="AA26" s="5" t="str">
        <f t="shared" si="12"/>
        <v>High</v>
      </c>
    </row>
    <row r="27" spans="1:27" x14ac:dyDescent="0.2">
      <c r="A27">
        <v>23776</v>
      </c>
      <c r="B27">
        <v>23</v>
      </c>
      <c r="C27">
        <f t="shared" si="0"/>
        <v>23</v>
      </c>
      <c r="D27" t="s">
        <v>12</v>
      </c>
      <c r="E27" t="str">
        <f t="shared" si="1"/>
        <v>Self-Employed</v>
      </c>
      <c r="F27">
        <v>5365.6</v>
      </c>
      <c r="G27">
        <f>ABS(Table1[[#This Row],[Monthly_Income]])</f>
        <v>5365.6</v>
      </c>
      <c r="H27">
        <v>21754.09</v>
      </c>
      <c r="I27" s="5">
        <f t="shared" si="2"/>
        <v>21754.09</v>
      </c>
      <c r="J27">
        <v>6</v>
      </c>
      <c r="K27">
        <v>21.54</v>
      </c>
      <c r="L27">
        <v>4</v>
      </c>
      <c r="M27">
        <f t="shared" si="3"/>
        <v>4</v>
      </c>
      <c r="N27">
        <v>5.2</v>
      </c>
      <c r="O27">
        <f t="shared" si="4"/>
        <v>5.2</v>
      </c>
      <c r="P27">
        <v>120</v>
      </c>
      <c r="Q27">
        <f t="shared" si="5"/>
        <v>120</v>
      </c>
      <c r="R27" t="s">
        <v>15</v>
      </c>
      <c r="S27" t="str">
        <f t="shared" si="6"/>
        <v xml:space="preserve">Performing </v>
      </c>
      <c r="T27" t="s">
        <v>25</v>
      </c>
      <c r="U27" s="3">
        <f t="shared" si="7"/>
        <v>0.67572716316286463</v>
      </c>
      <c r="V27" t="str">
        <f t="shared" si="8"/>
        <v>High Stress</v>
      </c>
      <c r="W27" t="str">
        <f t="shared" si="9"/>
        <v>High Risk</v>
      </c>
      <c r="X27" s="5" t="str">
        <f t="shared" si="10"/>
        <v>Medium</v>
      </c>
      <c r="Y27" s="5" t="str">
        <f t="shared" si="11"/>
        <v>Medium</v>
      </c>
      <c r="Z27" s="5" t="str">
        <f>IF(B27=120,"NULL",IF(AND(V27="High Stress", W27="High Risk", Y27="Low"),"High Risk : Reject", IF(AND(V27="Healthy", W27="Good",Y27&lt;&gt;"Low"), "Low Risk : Approve", "Medium Risk : Review")))</f>
        <v>Medium Risk : Review</v>
      </c>
      <c r="AA27" s="5" t="str">
        <f t="shared" si="12"/>
        <v>Medium</v>
      </c>
    </row>
    <row r="28" spans="1:27" x14ac:dyDescent="0.2">
      <c r="A28">
        <v>21350</v>
      </c>
      <c r="B28">
        <v>59</v>
      </c>
      <c r="C28">
        <f t="shared" si="0"/>
        <v>59</v>
      </c>
      <c r="D28" t="s">
        <v>26</v>
      </c>
      <c r="E28" t="str">
        <f t="shared" si="1"/>
        <v>Salaried</v>
      </c>
      <c r="F28">
        <v>3838.26</v>
      </c>
      <c r="G28">
        <f>ABS(Table1[[#This Row],[Monthly_Income]])</f>
        <v>3838.26</v>
      </c>
      <c r="H28">
        <v>19966.7</v>
      </c>
      <c r="I28" s="5">
        <f t="shared" si="2"/>
        <v>19966.7</v>
      </c>
      <c r="J28">
        <v>48</v>
      </c>
      <c r="K28">
        <v>20.86</v>
      </c>
      <c r="L28">
        <v>2</v>
      </c>
      <c r="M28">
        <f t="shared" si="3"/>
        <v>2</v>
      </c>
      <c r="N28">
        <v>11.4</v>
      </c>
      <c r="O28">
        <f t="shared" si="4"/>
        <v>11.4</v>
      </c>
      <c r="P28">
        <v>0</v>
      </c>
      <c r="Q28">
        <f t="shared" si="5"/>
        <v>0</v>
      </c>
      <c r="R28" t="s">
        <v>15</v>
      </c>
      <c r="S28" t="str">
        <f t="shared" si="6"/>
        <v xml:space="preserve">Performing </v>
      </c>
      <c r="T28" t="s">
        <v>19</v>
      </c>
      <c r="U28" s="3">
        <f t="shared" si="7"/>
        <v>0.10837538797962271</v>
      </c>
      <c r="V28" t="str">
        <f t="shared" si="8"/>
        <v>Healthy</v>
      </c>
      <c r="W28" t="str">
        <f t="shared" si="9"/>
        <v>Good</v>
      </c>
      <c r="X28" s="5" t="str">
        <f t="shared" si="10"/>
        <v>Medium</v>
      </c>
      <c r="Y28" s="5" t="str">
        <f t="shared" si="11"/>
        <v>High</v>
      </c>
      <c r="Z28" s="5" t="str">
        <f>IF(B28=120,"NULL",IF(AND(V28="High Stress", W28="High Risk", Y28="Low"),"High Risk : Reject", IF(AND(V28="Healthy", W28="Good",Y28&lt;&gt;"Low"), "Low Risk : Approve", "Medium Risk : Review")))</f>
        <v>Low Risk : Approve</v>
      </c>
      <c r="AA28" s="5" t="str">
        <f t="shared" si="12"/>
        <v>Medium</v>
      </c>
    </row>
    <row r="29" spans="1:27" x14ac:dyDescent="0.2">
      <c r="A29">
        <v>23897</v>
      </c>
      <c r="B29">
        <v>21</v>
      </c>
      <c r="C29">
        <f t="shared" si="0"/>
        <v>21</v>
      </c>
      <c r="D29" t="s">
        <v>26</v>
      </c>
      <c r="E29" t="str">
        <f t="shared" si="1"/>
        <v>Salaried</v>
      </c>
      <c r="F29">
        <v>6227.16</v>
      </c>
      <c r="G29">
        <f>ABS(Table1[[#This Row],[Monthly_Income]])</f>
        <v>6227.16</v>
      </c>
      <c r="H29">
        <v>20328.91</v>
      </c>
      <c r="I29" s="5">
        <f t="shared" si="2"/>
        <v>20328.91</v>
      </c>
      <c r="J29">
        <v>6</v>
      </c>
      <c r="K29">
        <v>14.27</v>
      </c>
      <c r="M29" t="str">
        <f t="shared" si="3"/>
        <v>NULL</v>
      </c>
      <c r="N29">
        <v>-0.8</v>
      </c>
      <c r="O29">
        <f t="shared" si="4"/>
        <v>0.8</v>
      </c>
      <c r="P29">
        <v>60</v>
      </c>
      <c r="Q29">
        <f t="shared" si="5"/>
        <v>60</v>
      </c>
      <c r="R29" t="s">
        <v>20</v>
      </c>
      <c r="S29" t="str">
        <f t="shared" si="6"/>
        <v>Written Off</v>
      </c>
      <c r="T29" t="s">
        <v>25</v>
      </c>
      <c r="U29" s="3">
        <f t="shared" si="7"/>
        <v>0.54409259865920689</v>
      </c>
      <c r="V29" t="str">
        <f t="shared" si="8"/>
        <v>High Stress</v>
      </c>
      <c r="W29" t="str">
        <f t="shared" si="9"/>
        <v>High Risk</v>
      </c>
      <c r="X29" s="5" t="str">
        <f t="shared" si="10"/>
        <v>Medium</v>
      </c>
      <c r="Y29" s="5" t="str">
        <f t="shared" si="11"/>
        <v>High</v>
      </c>
      <c r="Z29" s="5" t="str">
        <f>IF(B29=120,"NULL",IF(AND(V29="High Stress", W29="High Risk", Y29="Low"),"High Risk : Reject", IF(AND(V29="Healthy", W29="Good",Y29&lt;&gt;"Low"), "Low Risk : Approve", "Medium Risk : Review")))</f>
        <v>Medium Risk : Review</v>
      </c>
      <c r="AA29" s="5" t="str">
        <f t="shared" si="12"/>
        <v>Medium</v>
      </c>
    </row>
    <row r="30" spans="1:27" x14ac:dyDescent="0.2">
      <c r="A30">
        <v>21177</v>
      </c>
      <c r="B30">
        <v>49</v>
      </c>
      <c r="C30">
        <f t="shared" si="0"/>
        <v>49</v>
      </c>
      <c r="D30" t="s">
        <v>17</v>
      </c>
      <c r="E30" t="str">
        <f t="shared" si="1"/>
        <v>Contract</v>
      </c>
      <c r="F30">
        <v>2576.19</v>
      </c>
      <c r="G30">
        <f>ABS(Table1[[#This Row],[Monthly_Income]])</f>
        <v>2576.19</v>
      </c>
      <c r="H30">
        <v>15161.91</v>
      </c>
      <c r="I30" s="5">
        <f t="shared" si="2"/>
        <v>15161.91</v>
      </c>
      <c r="J30">
        <v>36</v>
      </c>
      <c r="K30">
        <v>19.3</v>
      </c>
      <c r="L30">
        <v>3</v>
      </c>
      <c r="M30">
        <f t="shared" si="3"/>
        <v>3</v>
      </c>
      <c r="N30">
        <v>12.6</v>
      </c>
      <c r="O30">
        <f t="shared" si="4"/>
        <v>12.6</v>
      </c>
      <c r="P30">
        <v>0</v>
      </c>
      <c r="Q30">
        <f t="shared" si="5"/>
        <v>0</v>
      </c>
      <c r="R30" t="s">
        <v>15</v>
      </c>
      <c r="S30" t="str">
        <f t="shared" si="6"/>
        <v xml:space="preserve">Performing </v>
      </c>
      <c r="T30" t="s">
        <v>22</v>
      </c>
      <c r="U30" s="3">
        <f t="shared" si="7"/>
        <v>0.16348334814849319</v>
      </c>
      <c r="V30" t="str">
        <f t="shared" si="8"/>
        <v>Healthy</v>
      </c>
      <c r="W30" t="str">
        <f t="shared" si="9"/>
        <v>Good</v>
      </c>
      <c r="X30" s="5" t="str">
        <f t="shared" si="10"/>
        <v>Medium</v>
      </c>
      <c r="Y30" s="5" t="str">
        <f t="shared" si="11"/>
        <v>Low</v>
      </c>
      <c r="Z30" s="5" t="str">
        <f>IF(B30=120,"NULL",IF(AND(V30="High Stress", W30="High Risk", Y30="Low"),"High Risk : Reject", IF(AND(V30="Healthy", W30="Good",Y30&lt;&gt;"Low"), "Low Risk : Approve", "Medium Risk : Review")))</f>
        <v>Medium Risk : Review</v>
      </c>
      <c r="AA30" s="5" t="str">
        <f t="shared" si="12"/>
        <v>Medium</v>
      </c>
    </row>
    <row r="31" spans="1:27" x14ac:dyDescent="0.2">
      <c r="A31">
        <v>24280</v>
      </c>
      <c r="B31">
        <v>21</v>
      </c>
      <c r="C31">
        <f t="shared" si="0"/>
        <v>21</v>
      </c>
      <c r="D31" t="s">
        <v>12</v>
      </c>
      <c r="E31" t="str">
        <f t="shared" si="1"/>
        <v>Self-Employed</v>
      </c>
      <c r="F31">
        <v>3108.58</v>
      </c>
      <c r="G31">
        <f>ABS(Table1[[#This Row],[Monthly_Income]])</f>
        <v>3108.58</v>
      </c>
      <c r="H31">
        <v>12446.73</v>
      </c>
      <c r="I31" s="5">
        <f t="shared" si="2"/>
        <v>12446.73</v>
      </c>
      <c r="J31">
        <v>18</v>
      </c>
      <c r="K31">
        <v>19.04</v>
      </c>
      <c r="L31">
        <v>0</v>
      </c>
      <c r="M31">
        <f t="shared" si="3"/>
        <v>0</v>
      </c>
      <c r="N31">
        <v>5.2</v>
      </c>
      <c r="O31">
        <f t="shared" si="4"/>
        <v>5.2</v>
      </c>
      <c r="P31">
        <v>60</v>
      </c>
      <c r="Q31">
        <f t="shared" si="5"/>
        <v>60</v>
      </c>
      <c r="R31" t="s">
        <v>13</v>
      </c>
      <c r="S31" t="str">
        <f t="shared" si="6"/>
        <v>Performing</v>
      </c>
      <c r="T31" t="s">
        <v>25</v>
      </c>
      <c r="U31" s="3">
        <f t="shared" si="7"/>
        <v>0.22244400980512</v>
      </c>
      <c r="V31" t="str">
        <f t="shared" si="8"/>
        <v>Healthy</v>
      </c>
      <c r="W31" t="str">
        <f t="shared" si="9"/>
        <v>High Risk</v>
      </c>
      <c r="X31" s="5" t="str">
        <f t="shared" si="10"/>
        <v>Medium</v>
      </c>
      <c r="Y31" s="5" t="str">
        <f t="shared" si="11"/>
        <v>Medium</v>
      </c>
      <c r="Z31" s="5" t="str">
        <f>IF(B31=120,"NULL",IF(AND(V31="High Stress", W31="High Risk", Y31="Low"),"High Risk : Reject", IF(AND(V31="Healthy", W31="Good",Y31&lt;&gt;"Low"), "Low Risk : Approve", "Medium Risk : Review")))</f>
        <v>Medium Risk : Review</v>
      </c>
      <c r="AA31" s="5" t="str">
        <f t="shared" si="12"/>
        <v>Medium</v>
      </c>
    </row>
    <row r="32" spans="1:27" x14ac:dyDescent="0.2">
      <c r="A32">
        <v>22998</v>
      </c>
      <c r="B32">
        <v>29</v>
      </c>
      <c r="C32">
        <f t="shared" si="0"/>
        <v>29</v>
      </c>
      <c r="D32" t="s">
        <v>12</v>
      </c>
      <c r="E32" t="str">
        <f t="shared" si="1"/>
        <v>Self-Employed</v>
      </c>
      <c r="F32">
        <v>5719.12</v>
      </c>
      <c r="G32">
        <f>ABS(Table1[[#This Row],[Monthly_Income]])</f>
        <v>5719.12</v>
      </c>
      <c r="H32">
        <v>22304.639999999999</v>
      </c>
      <c r="I32" s="5">
        <f t="shared" si="2"/>
        <v>22304.639999999999</v>
      </c>
      <c r="J32">
        <v>12</v>
      </c>
      <c r="K32">
        <v>11.99</v>
      </c>
      <c r="L32">
        <v>3</v>
      </c>
      <c r="M32">
        <f t="shared" si="3"/>
        <v>3</v>
      </c>
      <c r="N32">
        <v>12.2</v>
      </c>
      <c r="O32">
        <f t="shared" si="4"/>
        <v>12.2</v>
      </c>
      <c r="P32">
        <v>0</v>
      </c>
      <c r="Q32">
        <f t="shared" si="5"/>
        <v>0</v>
      </c>
      <c r="R32" t="s">
        <v>13</v>
      </c>
      <c r="S32" t="str">
        <f t="shared" si="6"/>
        <v>Performing</v>
      </c>
      <c r="T32" t="s">
        <v>14</v>
      </c>
      <c r="U32" s="3">
        <f t="shared" si="7"/>
        <v>0.32500104911245087</v>
      </c>
      <c r="V32" t="str">
        <f t="shared" si="8"/>
        <v>Stretched</v>
      </c>
      <c r="W32" t="str">
        <f t="shared" si="9"/>
        <v>Good</v>
      </c>
      <c r="X32" s="5" t="str">
        <f t="shared" si="10"/>
        <v>Medium</v>
      </c>
      <c r="Y32" s="5" t="str">
        <f t="shared" si="11"/>
        <v>Medium</v>
      </c>
      <c r="Z32" s="5" t="str">
        <f>IF(B32=120,"NULL",IF(AND(V32="High Stress", W32="High Risk", Y32="Low"),"High Risk : Reject", IF(AND(V32="Healthy", W32="Good",Y32&lt;&gt;"Low"), "Low Risk : Approve", "Medium Risk : Review")))</f>
        <v>Medium Risk : Review</v>
      </c>
      <c r="AA32" s="5" t="str">
        <f t="shared" si="12"/>
        <v>Medium</v>
      </c>
    </row>
    <row r="33" spans="1:27" x14ac:dyDescent="0.2">
      <c r="A33">
        <v>24860</v>
      </c>
      <c r="B33">
        <v>27</v>
      </c>
      <c r="C33">
        <f t="shared" si="0"/>
        <v>27</v>
      </c>
      <c r="D33" t="s">
        <v>26</v>
      </c>
      <c r="E33" t="str">
        <f t="shared" si="1"/>
        <v>Salaried</v>
      </c>
      <c r="F33">
        <v>4341.58</v>
      </c>
      <c r="G33">
        <f>ABS(Table1[[#This Row],[Monthly_Income]])</f>
        <v>4341.58</v>
      </c>
      <c r="H33">
        <v>4480.5200000000004</v>
      </c>
      <c r="I33" s="5">
        <f t="shared" si="2"/>
        <v>4480.5200000000004</v>
      </c>
      <c r="J33">
        <v>60</v>
      </c>
      <c r="K33">
        <v>21.9</v>
      </c>
      <c r="L33">
        <v>2</v>
      </c>
      <c r="M33">
        <f t="shared" si="3"/>
        <v>2</v>
      </c>
      <c r="N33">
        <v>5.9</v>
      </c>
      <c r="O33">
        <f t="shared" si="4"/>
        <v>5.9</v>
      </c>
      <c r="P33">
        <v>120</v>
      </c>
      <c r="Q33">
        <f t="shared" si="5"/>
        <v>120</v>
      </c>
      <c r="R33" t="s">
        <v>15</v>
      </c>
      <c r="S33" t="str">
        <f t="shared" si="6"/>
        <v xml:space="preserve">Performing </v>
      </c>
      <c r="T33" t="s">
        <v>19</v>
      </c>
      <c r="U33" s="3">
        <f t="shared" si="7"/>
        <v>1.7200036238727224E-2</v>
      </c>
      <c r="V33" t="str">
        <f t="shared" si="8"/>
        <v>Healthy</v>
      </c>
      <c r="W33" t="str">
        <f t="shared" si="9"/>
        <v>High Risk</v>
      </c>
      <c r="X33" s="5" t="str">
        <f t="shared" si="10"/>
        <v>Small</v>
      </c>
      <c r="Y33" s="5" t="str">
        <f t="shared" si="11"/>
        <v>High</v>
      </c>
      <c r="Z33" s="5" t="str">
        <f>IF(B33=120,"NULL",IF(AND(V33="High Stress", W33="High Risk", Y33="Low"),"High Risk : Reject", IF(AND(V33="Healthy", W33="Good",Y33&lt;&gt;"Low"), "Low Risk : Approve", "Medium Risk : Review")))</f>
        <v>Medium Risk : Review</v>
      </c>
      <c r="AA33" s="5" t="str">
        <f t="shared" si="12"/>
        <v>Medium</v>
      </c>
    </row>
    <row r="34" spans="1:27" x14ac:dyDescent="0.2">
      <c r="A34">
        <v>24033</v>
      </c>
      <c r="B34">
        <v>49</v>
      </c>
      <c r="C34">
        <f t="shared" si="0"/>
        <v>49</v>
      </c>
      <c r="D34" t="s">
        <v>21</v>
      </c>
      <c r="E34" t="str">
        <f t="shared" si="1"/>
        <v>Salaried</v>
      </c>
      <c r="F34">
        <v>6227.68</v>
      </c>
      <c r="G34">
        <f>ABS(Table1[[#This Row],[Monthly_Income]])</f>
        <v>6227.68</v>
      </c>
      <c r="H34">
        <v>17997</v>
      </c>
      <c r="I34" s="5">
        <f t="shared" si="2"/>
        <v>17997</v>
      </c>
      <c r="J34">
        <v>36</v>
      </c>
      <c r="K34">
        <v>27.97</v>
      </c>
      <c r="L34">
        <v>0</v>
      </c>
      <c r="M34">
        <f t="shared" si="3"/>
        <v>0</v>
      </c>
      <c r="O34" t="str">
        <f t="shared" si="4"/>
        <v>NULL</v>
      </c>
      <c r="P34">
        <v>0</v>
      </c>
      <c r="Q34">
        <f t="shared" si="5"/>
        <v>0</v>
      </c>
      <c r="R34" t="s">
        <v>18</v>
      </c>
      <c r="S34" t="str">
        <f t="shared" si="6"/>
        <v>Non-Performing</v>
      </c>
      <c r="T34" t="s">
        <v>22</v>
      </c>
      <c r="U34" s="3">
        <f t="shared" si="7"/>
        <v>8.0273338814240078E-2</v>
      </c>
      <c r="V34" t="str">
        <f t="shared" si="8"/>
        <v>Healthy</v>
      </c>
      <c r="W34" t="str">
        <f t="shared" si="9"/>
        <v>Good</v>
      </c>
      <c r="X34" s="5" t="str">
        <f t="shared" si="10"/>
        <v>Medium</v>
      </c>
      <c r="Y34" s="5" t="str">
        <f t="shared" si="11"/>
        <v>High</v>
      </c>
      <c r="Z34" s="5" t="str">
        <f>IF(B34=120,"NULL",IF(AND(V34="High Stress", W34="High Risk", Y34="Low"),"High Risk : Reject", IF(AND(V34="Healthy", W34="Good",Y34&lt;&gt;"Low"), "Low Risk : Approve", "Medium Risk : Review")))</f>
        <v>Low Risk : Approve</v>
      </c>
      <c r="AA34" s="5" t="str">
        <f t="shared" si="12"/>
        <v>Medium</v>
      </c>
    </row>
    <row r="35" spans="1:27" x14ac:dyDescent="0.2">
      <c r="A35">
        <v>24387</v>
      </c>
      <c r="B35">
        <v>49</v>
      </c>
      <c r="C35">
        <f t="shared" si="0"/>
        <v>49</v>
      </c>
      <c r="D35" t="s">
        <v>12</v>
      </c>
      <c r="E35" t="str">
        <f t="shared" si="1"/>
        <v>Self-Employed</v>
      </c>
      <c r="F35">
        <v>6408.13</v>
      </c>
      <c r="G35">
        <f>ABS(Table1[[#This Row],[Monthly_Income]])</f>
        <v>6408.13</v>
      </c>
      <c r="H35">
        <v>21749.37</v>
      </c>
      <c r="I35" s="5">
        <f t="shared" si="2"/>
        <v>21749.37</v>
      </c>
      <c r="J35">
        <v>48</v>
      </c>
      <c r="K35">
        <v>12.71</v>
      </c>
      <c r="L35">
        <v>3</v>
      </c>
      <c r="M35">
        <f t="shared" si="3"/>
        <v>3</v>
      </c>
      <c r="N35">
        <v>7.1</v>
      </c>
      <c r="O35">
        <f t="shared" si="4"/>
        <v>7.1</v>
      </c>
      <c r="P35">
        <v>0</v>
      </c>
      <c r="Q35">
        <f t="shared" si="5"/>
        <v>0</v>
      </c>
      <c r="R35" t="s">
        <v>13</v>
      </c>
      <c r="S35" t="str">
        <f t="shared" si="6"/>
        <v>Performing</v>
      </c>
      <c r="T35" t="s">
        <v>25</v>
      </c>
      <c r="U35" s="3">
        <f t="shared" si="7"/>
        <v>7.0708908058981321E-2</v>
      </c>
      <c r="V35" t="str">
        <f t="shared" si="8"/>
        <v>Healthy</v>
      </c>
      <c r="W35" t="str">
        <f t="shared" si="9"/>
        <v>Good</v>
      </c>
      <c r="X35" s="5" t="str">
        <f t="shared" si="10"/>
        <v>Medium</v>
      </c>
      <c r="Y35" s="5" t="str">
        <f t="shared" si="11"/>
        <v>Medium</v>
      </c>
      <c r="Z35" s="5" t="str">
        <f>IF(B35=120,"NULL",IF(AND(V35="High Stress", W35="High Risk", Y35="Low"),"High Risk : Reject", IF(AND(V35="Healthy", W35="Good",Y35&lt;&gt;"Low"), "Low Risk : Approve", "Medium Risk : Review")))</f>
        <v>Low Risk : Approve</v>
      </c>
      <c r="AA35" s="5" t="str">
        <f t="shared" si="12"/>
        <v>Medium</v>
      </c>
    </row>
    <row r="36" spans="1:27" x14ac:dyDescent="0.2">
      <c r="A36">
        <v>20313</v>
      </c>
      <c r="B36">
        <v>53</v>
      </c>
      <c r="C36">
        <f t="shared" si="0"/>
        <v>53</v>
      </c>
      <c r="D36" t="s">
        <v>23</v>
      </c>
      <c r="E36" t="str">
        <f t="shared" si="1"/>
        <v>Self-Employed</v>
      </c>
      <c r="F36">
        <v>8056.71</v>
      </c>
      <c r="G36">
        <f>ABS(Table1[[#This Row],[Monthly_Income]])</f>
        <v>8056.71</v>
      </c>
      <c r="H36">
        <v>26859.22</v>
      </c>
      <c r="I36" s="5">
        <f t="shared" si="2"/>
        <v>26859.22</v>
      </c>
      <c r="J36">
        <v>36</v>
      </c>
      <c r="K36">
        <v>18.989999999999998</v>
      </c>
      <c r="M36" t="str">
        <f t="shared" si="3"/>
        <v>NULL</v>
      </c>
      <c r="N36">
        <v>10.6</v>
      </c>
      <c r="O36">
        <f t="shared" si="4"/>
        <v>10.6</v>
      </c>
      <c r="P36">
        <v>0</v>
      </c>
      <c r="Q36">
        <f t="shared" si="5"/>
        <v>0</v>
      </c>
      <c r="R36" t="s">
        <v>15</v>
      </c>
      <c r="S36" t="str">
        <f t="shared" si="6"/>
        <v xml:space="preserve">Performing </v>
      </c>
      <c r="T36" t="s">
        <v>25</v>
      </c>
      <c r="U36" s="3">
        <f t="shared" si="7"/>
        <v>9.2604728784385248E-2</v>
      </c>
      <c r="V36" t="str">
        <f t="shared" si="8"/>
        <v>Healthy</v>
      </c>
      <c r="W36" t="str">
        <f t="shared" si="9"/>
        <v>Good</v>
      </c>
      <c r="X36" s="5" t="str">
        <f t="shared" si="10"/>
        <v>Medium</v>
      </c>
      <c r="Y36" s="5" t="str">
        <f t="shared" si="11"/>
        <v>Medium</v>
      </c>
      <c r="Z36" s="5" t="str">
        <f>IF(B36=120,"NULL",IF(AND(V36="High Stress", W36="High Risk", Y36="Low"),"High Risk : Reject", IF(AND(V36="Healthy", W36="Good",Y36&lt;&gt;"Low"), "Low Risk : Approve", "Medium Risk : Review")))</f>
        <v>Low Risk : Approve</v>
      </c>
      <c r="AA36" s="5" t="str">
        <f t="shared" si="12"/>
        <v>High</v>
      </c>
    </row>
    <row r="37" spans="1:27" x14ac:dyDescent="0.2">
      <c r="A37">
        <v>25583</v>
      </c>
      <c r="B37">
        <v>38</v>
      </c>
      <c r="C37">
        <f t="shared" si="0"/>
        <v>38</v>
      </c>
      <c r="D37" t="s">
        <v>26</v>
      </c>
      <c r="E37" t="str">
        <f t="shared" si="1"/>
        <v>Salaried</v>
      </c>
      <c r="F37">
        <v>1820.56</v>
      </c>
      <c r="G37">
        <f>ABS(Table1[[#This Row],[Monthly_Income]])</f>
        <v>1820.56</v>
      </c>
      <c r="H37">
        <v>12331.18</v>
      </c>
      <c r="I37" s="5">
        <f t="shared" si="2"/>
        <v>12331.18</v>
      </c>
      <c r="J37">
        <v>24</v>
      </c>
      <c r="K37">
        <v>15.97</v>
      </c>
      <c r="L37">
        <v>2</v>
      </c>
      <c r="M37">
        <f t="shared" si="3"/>
        <v>2</v>
      </c>
      <c r="N37">
        <v>9.6999999999999993</v>
      </c>
      <c r="O37">
        <f t="shared" si="4"/>
        <v>9.6999999999999993</v>
      </c>
      <c r="P37">
        <v>120</v>
      </c>
      <c r="Q37">
        <f t="shared" si="5"/>
        <v>120</v>
      </c>
      <c r="R37" t="s">
        <v>18</v>
      </c>
      <c r="S37" t="str">
        <f t="shared" si="6"/>
        <v>Non-Performing</v>
      </c>
      <c r="T37" t="s">
        <v>19</v>
      </c>
      <c r="U37" s="3">
        <f t="shared" si="7"/>
        <v>0.28222039738688459</v>
      </c>
      <c r="V37" t="str">
        <f t="shared" si="8"/>
        <v>Healthy</v>
      </c>
      <c r="W37" t="str">
        <f t="shared" si="9"/>
        <v>High Risk</v>
      </c>
      <c r="X37" s="5" t="str">
        <f t="shared" si="10"/>
        <v>Medium</v>
      </c>
      <c r="Y37" s="5" t="str">
        <f t="shared" si="11"/>
        <v>High</v>
      </c>
      <c r="Z37" s="5" t="str">
        <f>IF(B37=120,"NULL",IF(AND(V37="High Stress", W37="High Risk", Y37="Low"),"High Risk : Reject", IF(AND(V37="Healthy", W37="Good",Y37&lt;&gt;"Low"), "Low Risk : Approve", "Medium Risk : Review")))</f>
        <v>Medium Risk : Review</v>
      </c>
      <c r="AA37" s="5" t="str">
        <f t="shared" si="12"/>
        <v>Low</v>
      </c>
    </row>
    <row r="38" spans="1:27" x14ac:dyDescent="0.2">
      <c r="A38">
        <v>20773</v>
      </c>
      <c r="B38">
        <v>42</v>
      </c>
      <c r="C38">
        <f t="shared" si="0"/>
        <v>42</v>
      </c>
      <c r="D38" t="s">
        <v>23</v>
      </c>
      <c r="E38" t="str">
        <f t="shared" si="1"/>
        <v>Self-Employed</v>
      </c>
      <c r="F38">
        <v>4022.39</v>
      </c>
      <c r="G38">
        <f>ABS(Table1[[#This Row],[Monthly_Income]])</f>
        <v>4022.39</v>
      </c>
      <c r="H38">
        <v>28390.76</v>
      </c>
      <c r="I38" s="5">
        <f t="shared" si="2"/>
        <v>28390.76</v>
      </c>
      <c r="J38">
        <v>24</v>
      </c>
      <c r="K38">
        <v>26.48</v>
      </c>
      <c r="L38">
        <v>3</v>
      </c>
      <c r="M38">
        <f t="shared" si="3"/>
        <v>3</v>
      </c>
      <c r="N38">
        <v>-0.8</v>
      </c>
      <c r="O38">
        <f t="shared" si="4"/>
        <v>0.8</v>
      </c>
      <c r="P38">
        <v>120</v>
      </c>
      <c r="Q38">
        <f t="shared" si="5"/>
        <v>120</v>
      </c>
      <c r="R38" t="s">
        <v>20</v>
      </c>
      <c r="S38" t="str">
        <f t="shared" si="6"/>
        <v>Written Off</v>
      </c>
      <c r="T38" t="s">
        <v>14</v>
      </c>
      <c r="U38" s="3">
        <f t="shared" si="7"/>
        <v>0.29409090946758848</v>
      </c>
      <c r="V38" t="str">
        <f t="shared" si="8"/>
        <v>Healthy</v>
      </c>
      <c r="W38" t="str">
        <f t="shared" si="9"/>
        <v>High Risk</v>
      </c>
      <c r="X38" s="5" t="str">
        <f t="shared" si="10"/>
        <v>Medium</v>
      </c>
      <c r="Y38" s="5" t="str">
        <f t="shared" si="11"/>
        <v>Medium</v>
      </c>
      <c r="Z38" s="5" t="str">
        <f>IF(B38=120,"NULL",IF(AND(V38="High Stress", W38="High Risk", Y38="Low"),"High Risk : Reject", IF(AND(V38="Healthy", W38="Good",Y38&lt;&gt;"Low"), "Low Risk : Approve", "Medium Risk : Review")))</f>
        <v>Medium Risk : Review</v>
      </c>
      <c r="AA38" s="5" t="str">
        <f t="shared" si="12"/>
        <v>Medium</v>
      </c>
    </row>
    <row r="39" spans="1:27" x14ac:dyDescent="0.2">
      <c r="A39">
        <v>21162</v>
      </c>
      <c r="B39">
        <v>54</v>
      </c>
      <c r="C39">
        <f t="shared" si="0"/>
        <v>54</v>
      </c>
      <c r="D39" t="s">
        <v>12</v>
      </c>
      <c r="E39" t="str">
        <f t="shared" si="1"/>
        <v>Self-Employed</v>
      </c>
      <c r="F39">
        <v>7062.88</v>
      </c>
      <c r="G39">
        <f>ABS(Table1[[#This Row],[Monthly_Income]])</f>
        <v>7062.88</v>
      </c>
      <c r="H39">
        <v>-5864.6</v>
      </c>
      <c r="I39" s="5">
        <f t="shared" si="2"/>
        <v>5864.6</v>
      </c>
      <c r="J39">
        <v>12</v>
      </c>
      <c r="K39">
        <v>18.440000000000001</v>
      </c>
      <c r="L39">
        <v>0</v>
      </c>
      <c r="M39">
        <f t="shared" si="3"/>
        <v>0</v>
      </c>
      <c r="N39">
        <v>10.4</v>
      </c>
      <c r="O39">
        <f t="shared" si="4"/>
        <v>10.4</v>
      </c>
      <c r="P39">
        <v>0</v>
      </c>
      <c r="Q39">
        <f t="shared" si="5"/>
        <v>0</v>
      </c>
      <c r="R39" t="s">
        <v>24</v>
      </c>
      <c r="S39" t="str">
        <f t="shared" si="6"/>
        <v>Non-Performing</v>
      </c>
      <c r="T39" t="s">
        <v>16</v>
      </c>
      <c r="U39" s="3">
        <f t="shared" si="7"/>
        <v>6.9195096995371116E-2</v>
      </c>
      <c r="V39" t="str">
        <f t="shared" si="8"/>
        <v>Healthy</v>
      </c>
      <c r="W39" t="str">
        <f t="shared" si="9"/>
        <v>Good</v>
      </c>
      <c r="X39" s="5" t="str">
        <f t="shared" si="10"/>
        <v>Small</v>
      </c>
      <c r="Y39" s="5" t="str">
        <f t="shared" si="11"/>
        <v>Medium</v>
      </c>
      <c r="Z39" s="5" t="str">
        <f>IF(B39=120,"NULL",IF(AND(V39="High Stress", W39="High Risk", Y39="Low"),"High Risk : Reject", IF(AND(V39="Healthy", W39="Good",Y39&lt;&gt;"Low"), "Low Risk : Approve", "Medium Risk : Review")))</f>
        <v>Low Risk : Approve</v>
      </c>
      <c r="AA39" s="5" t="str">
        <f t="shared" si="12"/>
        <v>Medium</v>
      </c>
    </row>
    <row r="40" spans="1:27" x14ac:dyDescent="0.2">
      <c r="A40">
        <v>21220</v>
      </c>
      <c r="B40">
        <v>28</v>
      </c>
      <c r="C40">
        <f t="shared" si="0"/>
        <v>28</v>
      </c>
      <c r="D40" t="s">
        <v>21</v>
      </c>
      <c r="E40" t="str">
        <f t="shared" si="1"/>
        <v>Salaried</v>
      </c>
      <c r="F40">
        <v>4787.5600000000004</v>
      </c>
      <c r="G40">
        <f>ABS(Table1[[#This Row],[Monthly_Income]])</f>
        <v>4787.5600000000004</v>
      </c>
      <c r="H40">
        <v>15260.31</v>
      </c>
      <c r="I40" s="5">
        <f t="shared" si="2"/>
        <v>15260.31</v>
      </c>
      <c r="J40">
        <v>24</v>
      </c>
      <c r="K40">
        <v>12.43</v>
      </c>
      <c r="L40">
        <v>0</v>
      </c>
      <c r="M40">
        <f t="shared" si="3"/>
        <v>0</v>
      </c>
      <c r="N40">
        <v>0.5</v>
      </c>
      <c r="O40">
        <f t="shared" si="4"/>
        <v>0.5</v>
      </c>
      <c r="P40">
        <v>0</v>
      </c>
      <c r="Q40">
        <f t="shared" si="5"/>
        <v>0</v>
      </c>
      <c r="R40" t="s">
        <v>13</v>
      </c>
      <c r="S40" t="str">
        <f t="shared" si="6"/>
        <v>Performing</v>
      </c>
      <c r="T40" t="s">
        <v>16</v>
      </c>
      <c r="U40" s="3">
        <f t="shared" si="7"/>
        <v>0.13281217363333306</v>
      </c>
      <c r="V40" t="str">
        <f t="shared" si="8"/>
        <v>Healthy</v>
      </c>
      <c r="W40" t="str">
        <f t="shared" si="9"/>
        <v>Good</v>
      </c>
      <c r="X40" s="5" t="str">
        <f t="shared" si="10"/>
        <v>Medium</v>
      </c>
      <c r="Y40" s="5" t="str">
        <f t="shared" si="11"/>
        <v>High</v>
      </c>
      <c r="Z40" s="5" t="str">
        <f>IF(B40=120,"NULL",IF(AND(V40="High Stress", W40="High Risk", Y40="Low"),"High Risk : Reject", IF(AND(V40="Healthy", W40="Good",Y40&lt;&gt;"Low"), "Low Risk : Approve", "Medium Risk : Review")))</f>
        <v>Low Risk : Approve</v>
      </c>
      <c r="AA40" s="5" t="str">
        <f t="shared" si="12"/>
        <v>Medium</v>
      </c>
    </row>
    <row r="41" spans="1:27" x14ac:dyDescent="0.2">
      <c r="A41">
        <v>25041</v>
      </c>
      <c r="B41">
        <v>25</v>
      </c>
      <c r="C41">
        <f t="shared" si="0"/>
        <v>25</v>
      </c>
      <c r="D41" t="s">
        <v>12</v>
      </c>
      <c r="E41" t="str">
        <f t="shared" si="1"/>
        <v>Self-Employed</v>
      </c>
      <c r="F41">
        <v>4151.49</v>
      </c>
      <c r="G41">
        <f>ABS(Table1[[#This Row],[Monthly_Income]])</f>
        <v>4151.49</v>
      </c>
      <c r="H41">
        <v>13668.85</v>
      </c>
      <c r="I41" s="5">
        <f t="shared" si="2"/>
        <v>13668.85</v>
      </c>
      <c r="J41">
        <v>24</v>
      </c>
      <c r="K41">
        <v>25.86</v>
      </c>
      <c r="L41">
        <v>0</v>
      </c>
      <c r="M41">
        <f t="shared" si="3"/>
        <v>0</v>
      </c>
      <c r="N41">
        <v>3.6</v>
      </c>
      <c r="O41">
        <f t="shared" si="4"/>
        <v>3.6</v>
      </c>
      <c r="P41">
        <v>90</v>
      </c>
      <c r="Q41">
        <f t="shared" si="5"/>
        <v>90</v>
      </c>
      <c r="R41" t="s">
        <v>24</v>
      </c>
      <c r="S41" t="str">
        <f t="shared" si="6"/>
        <v>Non-Performing</v>
      </c>
      <c r="T41" t="s">
        <v>14</v>
      </c>
      <c r="U41" s="3">
        <f t="shared" si="7"/>
        <v>0.13718819427884127</v>
      </c>
      <c r="V41" t="str">
        <f t="shared" si="8"/>
        <v>Healthy</v>
      </c>
      <c r="W41" t="str">
        <f t="shared" si="9"/>
        <v>High Risk</v>
      </c>
      <c r="X41" s="5" t="str">
        <f t="shared" si="10"/>
        <v>Medium</v>
      </c>
      <c r="Y41" s="5" t="str">
        <f t="shared" si="11"/>
        <v>Medium</v>
      </c>
      <c r="Z41" s="5" t="str">
        <f>IF(B41=120,"NULL",IF(AND(V41="High Stress", W41="High Risk", Y41="Low"),"High Risk : Reject", IF(AND(V41="Healthy", W41="Good",Y41&lt;&gt;"Low"), "Low Risk : Approve", "Medium Risk : Review")))</f>
        <v>Medium Risk : Review</v>
      </c>
      <c r="AA41" s="5" t="str">
        <f t="shared" si="12"/>
        <v>Medium</v>
      </c>
    </row>
    <row r="42" spans="1:27" x14ac:dyDescent="0.2">
      <c r="A42">
        <v>20258</v>
      </c>
      <c r="B42">
        <v>26</v>
      </c>
      <c r="C42">
        <f t="shared" si="0"/>
        <v>26</v>
      </c>
      <c r="D42" t="s">
        <v>26</v>
      </c>
      <c r="E42" t="str">
        <f t="shared" si="1"/>
        <v>Salaried</v>
      </c>
      <c r="F42">
        <v>3796.61</v>
      </c>
      <c r="G42">
        <f>ABS(Table1[[#This Row],[Monthly_Income]])</f>
        <v>3796.61</v>
      </c>
      <c r="H42">
        <v>6193.06</v>
      </c>
      <c r="I42" s="5">
        <f t="shared" si="2"/>
        <v>6193.06</v>
      </c>
      <c r="J42">
        <v>6</v>
      </c>
      <c r="K42">
        <v>16.45</v>
      </c>
      <c r="L42">
        <v>2</v>
      </c>
      <c r="M42">
        <f t="shared" si="3"/>
        <v>2</v>
      </c>
      <c r="O42" t="str">
        <f t="shared" si="4"/>
        <v>NULL</v>
      </c>
      <c r="P42">
        <v>120</v>
      </c>
      <c r="Q42">
        <f t="shared" si="5"/>
        <v>120</v>
      </c>
      <c r="R42" t="s">
        <v>15</v>
      </c>
      <c r="S42" t="str">
        <f t="shared" si="6"/>
        <v xml:space="preserve">Performing </v>
      </c>
      <c r="T42" t="s">
        <v>19</v>
      </c>
      <c r="U42" s="3">
        <f t="shared" si="7"/>
        <v>0.27186797344648694</v>
      </c>
      <c r="V42" t="str">
        <f t="shared" si="8"/>
        <v>Healthy</v>
      </c>
      <c r="W42" t="str">
        <f t="shared" si="9"/>
        <v>High Risk</v>
      </c>
      <c r="X42" s="5" t="str">
        <f t="shared" si="10"/>
        <v>Small</v>
      </c>
      <c r="Y42" s="5" t="str">
        <f t="shared" si="11"/>
        <v>High</v>
      </c>
      <c r="Z42" s="5" t="str">
        <f>IF(B42=120,"NULL",IF(AND(V42="High Stress", W42="High Risk", Y42="Low"),"High Risk : Reject", IF(AND(V42="Healthy", W42="Good",Y42&lt;&gt;"Low"), "Low Risk : Approve", "Medium Risk : Review")))</f>
        <v>Medium Risk : Review</v>
      </c>
      <c r="AA42" s="5" t="str">
        <f t="shared" si="12"/>
        <v>Medium</v>
      </c>
    </row>
    <row r="43" spans="1:27" x14ac:dyDescent="0.2">
      <c r="A43">
        <v>21729</v>
      </c>
      <c r="B43">
        <v>58</v>
      </c>
      <c r="C43">
        <f t="shared" si="0"/>
        <v>58</v>
      </c>
      <c r="D43" t="s">
        <v>17</v>
      </c>
      <c r="E43" t="str">
        <f t="shared" si="1"/>
        <v>Contract</v>
      </c>
      <c r="F43">
        <v>8909.2800000000007</v>
      </c>
      <c r="G43">
        <f>ABS(Table1[[#This Row],[Monthly_Income]])</f>
        <v>8909.2800000000007</v>
      </c>
      <c r="H43">
        <v>20658.150000000001</v>
      </c>
      <c r="I43" s="5">
        <f t="shared" si="2"/>
        <v>20658.150000000001</v>
      </c>
      <c r="J43">
        <v>24</v>
      </c>
      <c r="K43">
        <v>15.33</v>
      </c>
      <c r="M43" t="str">
        <f t="shared" si="3"/>
        <v>NULL</v>
      </c>
      <c r="N43">
        <v>1.7</v>
      </c>
      <c r="O43">
        <f t="shared" si="4"/>
        <v>1.7</v>
      </c>
      <c r="P43">
        <v>120</v>
      </c>
      <c r="Q43">
        <f t="shared" si="5"/>
        <v>120</v>
      </c>
      <c r="R43" t="s">
        <v>13</v>
      </c>
      <c r="S43" t="str">
        <f t="shared" si="6"/>
        <v>Performing</v>
      </c>
      <c r="T43" t="s">
        <v>14</v>
      </c>
      <c r="U43" s="3">
        <f t="shared" si="7"/>
        <v>9.6613446877862177E-2</v>
      </c>
      <c r="V43" t="str">
        <f t="shared" si="8"/>
        <v>Healthy</v>
      </c>
      <c r="W43" t="str">
        <f t="shared" si="9"/>
        <v>High Risk</v>
      </c>
      <c r="X43" s="5" t="str">
        <f t="shared" si="10"/>
        <v>Medium</v>
      </c>
      <c r="Y43" s="5" t="str">
        <f t="shared" si="11"/>
        <v>Low</v>
      </c>
      <c r="Z43" s="5" t="str">
        <f>IF(B43=120,"NULL",IF(AND(V43="High Stress", W43="High Risk", Y43="Low"),"High Risk : Reject", IF(AND(V43="Healthy", W43="Good",Y43&lt;&gt;"Low"), "Low Risk : Approve", "Medium Risk : Review")))</f>
        <v>Medium Risk : Review</v>
      </c>
      <c r="AA43" s="5" t="str">
        <f t="shared" si="12"/>
        <v>High</v>
      </c>
    </row>
    <row r="44" spans="1:27" x14ac:dyDescent="0.2">
      <c r="A44">
        <v>22449</v>
      </c>
      <c r="B44">
        <v>51</v>
      </c>
      <c r="C44">
        <f t="shared" si="0"/>
        <v>51</v>
      </c>
      <c r="D44" t="s">
        <v>27</v>
      </c>
      <c r="E44" t="str">
        <f t="shared" si="1"/>
        <v>Unemployed</v>
      </c>
      <c r="F44">
        <v>5344.65</v>
      </c>
      <c r="G44">
        <f>ABS(Table1[[#This Row],[Monthly_Income]])</f>
        <v>5344.65</v>
      </c>
      <c r="H44">
        <v>11473.46</v>
      </c>
      <c r="I44" s="5">
        <f t="shared" si="2"/>
        <v>11473.46</v>
      </c>
      <c r="J44">
        <v>48</v>
      </c>
      <c r="K44">
        <v>22.53</v>
      </c>
      <c r="L44">
        <v>4</v>
      </c>
      <c r="M44">
        <f t="shared" si="3"/>
        <v>4</v>
      </c>
      <c r="N44">
        <v>7.9</v>
      </c>
      <c r="O44">
        <f t="shared" si="4"/>
        <v>7.9</v>
      </c>
      <c r="P44">
        <v>90</v>
      </c>
      <c r="Q44">
        <f t="shared" si="5"/>
        <v>90</v>
      </c>
      <c r="R44" t="s">
        <v>24</v>
      </c>
      <c r="S44" t="str">
        <f t="shared" si="6"/>
        <v>Non-Performing</v>
      </c>
      <c r="T44" t="s">
        <v>22</v>
      </c>
      <c r="U44" s="3">
        <f t="shared" si="7"/>
        <v>4.472330586037751E-2</v>
      </c>
      <c r="V44" t="str">
        <f t="shared" si="8"/>
        <v>Healthy</v>
      </c>
      <c r="W44" t="str">
        <f t="shared" si="9"/>
        <v>High Risk</v>
      </c>
      <c r="X44" s="5" t="str">
        <f t="shared" si="10"/>
        <v>Medium</v>
      </c>
      <c r="Y44" s="5" t="str">
        <f t="shared" si="11"/>
        <v>Low</v>
      </c>
      <c r="Z44" s="5" t="str">
        <f>IF(B44=120,"NULL",IF(AND(V44="High Stress", W44="High Risk", Y44="Low"),"High Risk : Reject", IF(AND(V44="Healthy", W44="Good",Y44&lt;&gt;"Low"), "Low Risk : Approve", "Medium Risk : Review")))</f>
        <v>Medium Risk : Review</v>
      </c>
      <c r="AA44" s="5" t="str">
        <f t="shared" si="12"/>
        <v>Medium</v>
      </c>
    </row>
    <row r="45" spans="1:27" x14ac:dyDescent="0.2">
      <c r="A45">
        <v>25470</v>
      </c>
      <c r="B45">
        <v>50</v>
      </c>
      <c r="C45">
        <f t="shared" si="0"/>
        <v>50</v>
      </c>
      <c r="D45" t="s">
        <v>27</v>
      </c>
      <c r="E45" t="str">
        <f t="shared" si="1"/>
        <v>Unemployed</v>
      </c>
      <c r="F45">
        <v>3786.52</v>
      </c>
      <c r="G45">
        <f>ABS(Table1[[#This Row],[Monthly_Income]])</f>
        <v>3786.52</v>
      </c>
      <c r="H45">
        <v>20818.849999999999</v>
      </c>
      <c r="I45" s="5">
        <f t="shared" si="2"/>
        <v>20818.849999999999</v>
      </c>
      <c r="J45">
        <v>60</v>
      </c>
      <c r="K45">
        <v>19.239999999999998</v>
      </c>
      <c r="L45">
        <v>1</v>
      </c>
      <c r="M45">
        <f t="shared" si="3"/>
        <v>1</v>
      </c>
      <c r="N45">
        <v>10.8</v>
      </c>
      <c r="O45">
        <f t="shared" si="4"/>
        <v>10.8</v>
      </c>
      <c r="P45">
        <v>30</v>
      </c>
      <c r="Q45">
        <f t="shared" si="5"/>
        <v>30</v>
      </c>
      <c r="R45" t="s">
        <v>24</v>
      </c>
      <c r="S45" t="str">
        <f t="shared" si="6"/>
        <v>Non-Performing</v>
      </c>
      <c r="T45" t="s">
        <v>16</v>
      </c>
      <c r="U45" s="3">
        <f t="shared" si="7"/>
        <v>9.1635811598336545E-2</v>
      </c>
      <c r="V45" t="str">
        <f t="shared" si="8"/>
        <v>Healthy</v>
      </c>
      <c r="W45" t="str">
        <f t="shared" si="9"/>
        <v>At Risk</v>
      </c>
      <c r="X45" s="5" t="str">
        <f t="shared" si="10"/>
        <v>Medium</v>
      </c>
      <c r="Y45" s="5" t="str">
        <f t="shared" si="11"/>
        <v>Low</v>
      </c>
      <c r="Z45" s="5" t="str">
        <f>IF(B45=120,"NULL",IF(AND(V45="High Stress", W45="High Risk", Y45="Low"),"High Risk : Reject", IF(AND(V45="Healthy", W45="Good",Y45&lt;&gt;"Low"), "Low Risk : Approve", "Medium Risk : Review")))</f>
        <v>Medium Risk : Review</v>
      </c>
      <c r="AA45" s="5" t="str">
        <f t="shared" si="12"/>
        <v>Medium</v>
      </c>
    </row>
    <row r="46" spans="1:27" x14ac:dyDescent="0.2">
      <c r="A46">
        <v>22989</v>
      </c>
      <c r="B46">
        <v>54</v>
      </c>
      <c r="C46">
        <f t="shared" si="0"/>
        <v>54</v>
      </c>
      <c r="D46" t="s">
        <v>12</v>
      </c>
      <c r="E46" t="str">
        <f t="shared" si="1"/>
        <v>Self-Employed</v>
      </c>
      <c r="F46">
        <v>4609.5600000000004</v>
      </c>
      <c r="G46">
        <f>ABS(Table1[[#This Row],[Monthly_Income]])</f>
        <v>4609.5600000000004</v>
      </c>
      <c r="H46"/>
      <c r="I46" s="5" t="str">
        <f t="shared" si="2"/>
        <v>NULL</v>
      </c>
      <c r="J46">
        <v>48</v>
      </c>
      <c r="K46">
        <v>20.48</v>
      </c>
      <c r="L46">
        <v>2</v>
      </c>
      <c r="M46">
        <f t="shared" si="3"/>
        <v>2</v>
      </c>
      <c r="N46">
        <v>1.9</v>
      </c>
      <c r="O46">
        <f t="shared" si="4"/>
        <v>1.9</v>
      </c>
      <c r="P46">
        <v>60</v>
      </c>
      <c r="Q46">
        <f t="shared" si="5"/>
        <v>60</v>
      </c>
      <c r="R46" t="s">
        <v>13</v>
      </c>
      <c r="S46" t="str">
        <f t="shared" si="6"/>
        <v>Performing</v>
      </c>
      <c r="T46" t="s">
        <v>14</v>
      </c>
      <c r="U46" s="3" t="str">
        <f t="shared" si="7"/>
        <v>NULL</v>
      </c>
      <c r="V46" t="str">
        <f t="shared" si="8"/>
        <v>NULL</v>
      </c>
      <c r="W46" t="str">
        <f t="shared" si="9"/>
        <v>High Risk</v>
      </c>
      <c r="X46" s="5" t="str">
        <f t="shared" si="10"/>
        <v>High</v>
      </c>
      <c r="Y46" s="5" t="str">
        <f t="shared" si="11"/>
        <v>Medium</v>
      </c>
      <c r="Z46" s="5" t="str">
        <f>IF(B46=120,"NULL",IF(AND(V46="High Stress", W46="High Risk", Y46="Low"),"High Risk : Reject", IF(AND(V46="Healthy", W46="Good",Y46&lt;&gt;"Low"), "Low Risk : Approve", "Medium Risk : Review")))</f>
        <v>Medium Risk : Review</v>
      </c>
      <c r="AA46" s="5" t="str">
        <f t="shared" si="12"/>
        <v>Medium</v>
      </c>
    </row>
    <row r="47" spans="1:27" x14ac:dyDescent="0.2">
      <c r="A47">
        <v>20765</v>
      </c>
      <c r="B47">
        <v>26</v>
      </c>
      <c r="C47">
        <f t="shared" si="0"/>
        <v>26</v>
      </c>
      <c r="D47" t="s">
        <v>21</v>
      </c>
      <c r="E47" t="str">
        <f t="shared" si="1"/>
        <v>Salaried</v>
      </c>
      <c r="F47">
        <v>5271.12</v>
      </c>
      <c r="G47">
        <f>ABS(Table1[[#This Row],[Monthly_Income]])</f>
        <v>5271.12</v>
      </c>
      <c r="H47">
        <v>36559.660000000003</v>
      </c>
      <c r="I47" s="5">
        <f t="shared" si="2"/>
        <v>36559.660000000003</v>
      </c>
      <c r="J47">
        <v>12</v>
      </c>
      <c r="K47">
        <v>10.87</v>
      </c>
      <c r="L47">
        <v>0</v>
      </c>
      <c r="M47">
        <f t="shared" si="3"/>
        <v>0</v>
      </c>
      <c r="N47">
        <v>8</v>
      </c>
      <c r="O47">
        <f t="shared" si="4"/>
        <v>8</v>
      </c>
      <c r="P47">
        <v>0</v>
      </c>
      <c r="Q47">
        <f t="shared" si="5"/>
        <v>0</v>
      </c>
      <c r="R47" t="s">
        <v>15</v>
      </c>
      <c r="S47" t="str">
        <f t="shared" si="6"/>
        <v xml:space="preserve">Performing </v>
      </c>
      <c r="T47" t="s">
        <v>19</v>
      </c>
      <c r="U47" s="3">
        <f t="shared" si="7"/>
        <v>0.57798690474383685</v>
      </c>
      <c r="V47" t="str">
        <f t="shared" si="8"/>
        <v>High Stress</v>
      </c>
      <c r="W47" t="str">
        <f t="shared" si="9"/>
        <v>Good</v>
      </c>
      <c r="X47" s="5" t="str">
        <f t="shared" si="10"/>
        <v>High</v>
      </c>
      <c r="Y47" s="5" t="str">
        <f t="shared" si="11"/>
        <v>High</v>
      </c>
      <c r="Z47" s="5" t="str">
        <f>IF(B47=120,"NULL",IF(AND(V47="High Stress", W47="High Risk", Y47="Low"),"High Risk : Reject", IF(AND(V47="Healthy", W47="Good",Y47&lt;&gt;"Low"), "Low Risk : Approve", "Medium Risk : Review")))</f>
        <v>Medium Risk : Review</v>
      </c>
      <c r="AA47" s="5" t="str">
        <f t="shared" si="12"/>
        <v>Medium</v>
      </c>
    </row>
    <row r="48" spans="1:27" x14ac:dyDescent="0.2">
      <c r="A48">
        <v>25704</v>
      </c>
      <c r="B48">
        <v>45</v>
      </c>
      <c r="C48">
        <f t="shared" si="0"/>
        <v>45</v>
      </c>
      <c r="D48" t="s">
        <v>26</v>
      </c>
      <c r="E48" t="str">
        <f t="shared" si="1"/>
        <v>Salaried</v>
      </c>
      <c r="F48">
        <v>9798.31</v>
      </c>
      <c r="G48">
        <f>ABS(Table1[[#This Row],[Monthly_Income]])</f>
        <v>9798.31</v>
      </c>
      <c r="H48">
        <v>14844.9</v>
      </c>
      <c r="I48" s="5">
        <f t="shared" si="2"/>
        <v>14844.9</v>
      </c>
      <c r="J48">
        <v>24</v>
      </c>
      <c r="K48">
        <v>17.82</v>
      </c>
      <c r="L48">
        <v>1</v>
      </c>
      <c r="M48">
        <f t="shared" si="3"/>
        <v>1</v>
      </c>
      <c r="N48">
        <v>7.8</v>
      </c>
      <c r="O48">
        <f t="shared" si="4"/>
        <v>7.8</v>
      </c>
      <c r="P48">
        <v>120</v>
      </c>
      <c r="Q48">
        <f t="shared" si="5"/>
        <v>120</v>
      </c>
      <c r="R48" t="s">
        <v>20</v>
      </c>
      <c r="S48" t="str">
        <f t="shared" si="6"/>
        <v>Written Off</v>
      </c>
      <c r="T48" t="s">
        <v>14</v>
      </c>
      <c r="U48" s="3">
        <f t="shared" si="7"/>
        <v>6.3126957607995665E-2</v>
      </c>
      <c r="V48" t="str">
        <f t="shared" si="8"/>
        <v>Healthy</v>
      </c>
      <c r="W48" t="str">
        <f t="shared" si="9"/>
        <v>High Risk</v>
      </c>
      <c r="X48" s="5" t="str">
        <f t="shared" si="10"/>
        <v>Medium</v>
      </c>
      <c r="Y48" s="5" t="str">
        <f t="shared" si="11"/>
        <v>High</v>
      </c>
      <c r="Z48" s="5" t="str">
        <f>IF(B48=120,"NULL",IF(AND(V48="High Stress", W48="High Risk", Y48="Low"),"High Risk : Reject", IF(AND(V48="Healthy", W48="Good",Y48&lt;&gt;"Low"), "Low Risk : Approve", "Medium Risk : Review")))</f>
        <v>Medium Risk : Review</v>
      </c>
      <c r="AA48" s="5" t="str">
        <f t="shared" si="12"/>
        <v>High</v>
      </c>
    </row>
    <row r="49" spans="1:27" x14ac:dyDescent="0.2">
      <c r="A49">
        <v>22794</v>
      </c>
      <c r="B49">
        <v>21</v>
      </c>
      <c r="C49">
        <f t="shared" si="0"/>
        <v>21</v>
      </c>
      <c r="D49" t="s">
        <v>27</v>
      </c>
      <c r="E49" t="str">
        <f t="shared" si="1"/>
        <v>Unemployed</v>
      </c>
      <c r="F49">
        <v>4205</v>
      </c>
      <c r="G49">
        <f>ABS(Table1[[#This Row],[Monthly_Income]])</f>
        <v>4205</v>
      </c>
      <c r="H49">
        <v>29182.51</v>
      </c>
      <c r="I49" s="5">
        <f t="shared" si="2"/>
        <v>29182.51</v>
      </c>
      <c r="J49">
        <v>24</v>
      </c>
      <c r="K49">
        <v>15.2</v>
      </c>
      <c r="M49" t="str">
        <f t="shared" si="3"/>
        <v>NULL</v>
      </c>
      <c r="N49">
        <v>6.2</v>
      </c>
      <c r="O49">
        <f t="shared" si="4"/>
        <v>6.2</v>
      </c>
      <c r="Q49" t="str">
        <f t="shared" si="5"/>
        <v>NULL</v>
      </c>
      <c r="R49" t="s">
        <v>15</v>
      </c>
      <c r="S49" t="str">
        <f t="shared" si="6"/>
        <v xml:space="preserve">Performing </v>
      </c>
      <c r="T49" t="s">
        <v>16</v>
      </c>
      <c r="U49" s="3">
        <f t="shared" si="7"/>
        <v>0.28916478398731665</v>
      </c>
      <c r="V49" t="str">
        <f t="shared" si="8"/>
        <v>Healthy</v>
      </c>
      <c r="W49" t="str">
        <f t="shared" si="9"/>
        <v>NULL</v>
      </c>
      <c r="X49" s="5" t="str">
        <f t="shared" si="10"/>
        <v>Medium</v>
      </c>
      <c r="Y49" s="5" t="str">
        <f t="shared" si="11"/>
        <v>Low</v>
      </c>
      <c r="Z49" s="5" t="str">
        <f>IF(B49=120,"NULL",IF(AND(V49="High Stress", W49="High Risk", Y49="Low"),"High Risk : Reject", IF(AND(V49="Healthy", W49="Good",Y49&lt;&gt;"Low"), "Low Risk : Approve", "Medium Risk : Review")))</f>
        <v>Medium Risk : Review</v>
      </c>
      <c r="AA49" s="5" t="str">
        <f t="shared" si="12"/>
        <v>Medium</v>
      </c>
    </row>
    <row r="50" spans="1:27" x14ac:dyDescent="0.2">
      <c r="A50">
        <v>22852</v>
      </c>
      <c r="B50">
        <v>60</v>
      </c>
      <c r="C50">
        <f t="shared" si="0"/>
        <v>60</v>
      </c>
      <c r="D50" t="s">
        <v>21</v>
      </c>
      <c r="E50" t="str">
        <f t="shared" si="1"/>
        <v>Salaried</v>
      </c>
      <c r="F50">
        <v>6272.72</v>
      </c>
      <c r="G50">
        <f>ABS(Table1[[#This Row],[Monthly_Income]])</f>
        <v>6272.72</v>
      </c>
      <c r="H50">
        <v>19561.8</v>
      </c>
      <c r="I50" s="5">
        <f t="shared" si="2"/>
        <v>19561.8</v>
      </c>
      <c r="J50">
        <v>48</v>
      </c>
      <c r="K50">
        <v>19.899999999999999</v>
      </c>
      <c r="L50">
        <v>3</v>
      </c>
      <c r="M50">
        <f t="shared" si="3"/>
        <v>3</v>
      </c>
      <c r="N50">
        <v>8.8000000000000007</v>
      </c>
      <c r="O50">
        <f t="shared" si="4"/>
        <v>8.8000000000000007</v>
      </c>
      <c r="P50">
        <v>90</v>
      </c>
      <c r="Q50">
        <f t="shared" si="5"/>
        <v>90</v>
      </c>
      <c r="R50" t="s">
        <v>18</v>
      </c>
      <c r="S50" t="str">
        <f t="shared" si="6"/>
        <v>Non-Performing</v>
      </c>
      <c r="T50" t="s">
        <v>22</v>
      </c>
      <c r="U50" s="3">
        <f t="shared" si="7"/>
        <v>6.4969821704141104E-2</v>
      </c>
      <c r="V50" t="str">
        <f t="shared" si="8"/>
        <v>Healthy</v>
      </c>
      <c r="W50" t="str">
        <f t="shared" si="9"/>
        <v>High Risk</v>
      </c>
      <c r="X50" s="5" t="str">
        <f t="shared" si="10"/>
        <v>Medium</v>
      </c>
      <c r="Y50" s="5" t="str">
        <f t="shared" si="11"/>
        <v>High</v>
      </c>
      <c r="Z50" s="5" t="str">
        <f>IF(B50=120,"NULL",IF(AND(V50="High Stress", W50="High Risk", Y50="Low"),"High Risk : Reject", IF(AND(V50="Healthy", W50="Good",Y50&lt;&gt;"Low"), "Low Risk : Approve", "Medium Risk : Review")))</f>
        <v>Medium Risk : Review</v>
      </c>
      <c r="AA50" s="5" t="str">
        <f t="shared" si="12"/>
        <v>Medium</v>
      </c>
    </row>
    <row r="51" spans="1:27" x14ac:dyDescent="0.2">
      <c r="A51">
        <v>25569</v>
      </c>
      <c r="B51">
        <v>37</v>
      </c>
      <c r="C51">
        <f t="shared" si="0"/>
        <v>37</v>
      </c>
      <c r="D51" t="s">
        <v>21</v>
      </c>
      <c r="E51" t="str">
        <f t="shared" si="1"/>
        <v>Salaried</v>
      </c>
      <c r="F51">
        <v>4012.5</v>
      </c>
      <c r="G51">
        <f>ABS(Table1[[#This Row],[Monthly_Income]])</f>
        <v>4012.5</v>
      </c>
      <c r="H51">
        <v>20328.95</v>
      </c>
      <c r="I51" s="5">
        <f t="shared" si="2"/>
        <v>20328.95</v>
      </c>
      <c r="J51">
        <v>18</v>
      </c>
      <c r="K51">
        <v>29.3</v>
      </c>
      <c r="L51">
        <v>0</v>
      </c>
      <c r="M51">
        <f t="shared" si="3"/>
        <v>0</v>
      </c>
      <c r="N51">
        <v>6.6</v>
      </c>
      <c r="O51">
        <f t="shared" si="4"/>
        <v>6.6</v>
      </c>
      <c r="P51">
        <v>15</v>
      </c>
      <c r="Q51">
        <f t="shared" si="5"/>
        <v>15</v>
      </c>
      <c r="R51" t="s">
        <v>24</v>
      </c>
      <c r="S51" t="str">
        <f t="shared" si="6"/>
        <v>Non-Performing</v>
      </c>
      <c r="T51" t="s">
        <v>19</v>
      </c>
      <c r="U51" s="3">
        <f t="shared" si="7"/>
        <v>0.28146694357909313</v>
      </c>
      <c r="V51" t="str">
        <f t="shared" si="8"/>
        <v>Healthy</v>
      </c>
      <c r="W51" t="str">
        <f t="shared" si="9"/>
        <v>Good</v>
      </c>
      <c r="X51" s="5" t="str">
        <f t="shared" si="10"/>
        <v>Medium</v>
      </c>
      <c r="Y51" s="5" t="str">
        <f t="shared" si="11"/>
        <v>High</v>
      </c>
      <c r="Z51" s="5" t="str">
        <f>IF(B51=120,"NULL",IF(AND(V51="High Stress", W51="High Risk", Y51="Low"),"High Risk : Reject", IF(AND(V51="Healthy", W51="Good",Y51&lt;&gt;"Low"), "Low Risk : Approve", "Medium Risk : Review")))</f>
        <v>Low Risk : Approve</v>
      </c>
      <c r="AA51" s="5" t="str">
        <f t="shared" si="12"/>
        <v>Medium</v>
      </c>
    </row>
    <row r="52" spans="1:27" x14ac:dyDescent="0.2">
      <c r="A52">
        <v>25438</v>
      </c>
      <c r="B52">
        <v>37</v>
      </c>
      <c r="C52">
        <f t="shared" si="0"/>
        <v>37</v>
      </c>
      <c r="D52" t="s">
        <v>17</v>
      </c>
      <c r="E52" t="str">
        <f t="shared" si="1"/>
        <v>Contract</v>
      </c>
      <c r="F52">
        <v>3768.47</v>
      </c>
      <c r="G52">
        <f>ABS(Table1[[#This Row],[Monthly_Income]])</f>
        <v>3768.47</v>
      </c>
      <c r="H52">
        <v>28192.37</v>
      </c>
      <c r="I52" s="5">
        <f t="shared" si="2"/>
        <v>28192.37</v>
      </c>
      <c r="J52">
        <v>18</v>
      </c>
      <c r="K52">
        <v>17.53</v>
      </c>
      <c r="L52">
        <v>4</v>
      </c>
      <c r="M52">
        <f t="shared" si="3"/>
        <v>4</v>
      </c>
      <c r="N52">
        <v>6.6</v>
      </c>
      <c r="O52">
        <f t="shared" si="4"/>
        <v>6.6</v>
      </c>
      <c r="P52">
        <v>60</v>
      </c>
      <c r="Q52">
        <f t="shared" si="5"/>
        <v>60</v>
      </c>
      <c r="R52" t="s">
        <v>13</v>
      </c>
      <c r="S52" t="str">
        <f t="shared" si="6"/>
        <v>Performing</v>
      </c>
      <c r="T52" t="s">
        <v>19</v>
      </c>
      <c r="U52" s="3">
        <f t="shared" si="7"/>
        <v>0.41561768510238317</v>
      </c>
      <c r="V52" t="str">
        <f t="shared" si="8"/>
        <v>Stretched</v>
      </c>
      <c r="W52" t="str">
        <f t="shared" si="9"/>
        <v>High Risk</v>
      </c>
      <c r="X52" s="5" t="str">
        <f t="shared" si="10"/>
        <v>Medium</v>
      </c>
      <c r="Y52" s="5" t="str">
        <f t="shared" si="11"/>
        <v>Low</v>
      </c>
      <c r="Z52" s="5" t="str">
        <f>IF(B52=120,"NULL",IF(AND(V52="High Stress", W52="High Risk", Y52="Low"),"High Risk : Reject", IF(AND(V52="Healthy", W52="Good",Y52&lt;&gt;"Low"), "Low Risk : Approve", "Medium Risk : Review")))</f>
        <v>Medium Risk : Review</v>
      </c>
      <c r="AA52" s="5" t="str">
        <f t="shared" si="12"/>
        <v>Medium</v>
      </c>
    </row>
    <row r="53" spans="1:27" x14ac:dyDescent="0.2">
      <c r="A53">
        <v>25512</v>
      </c>
      <c r="B53">
        <v>33</v>
      </c>
      <c r="C53">
        <f t="shared" si="0"/>
        <v>33</v>
      </c>
      <c r="D53" t="s">
        <v>12</v>
      </c>
      <c r="E53" t="str">
        <f t="shared" si="1"/>
        <v>Self-Employed</v>
      </c>
      <c r="F53">
        <v>4355.04</v>
      </c>
      <c r="G53">
        <f>ABS(Table1[[#This Row],[Monthly_Income]])</f>
        <v>4355.04</v>
      </c>
      <c r="H53">
        <v>22093.18</v>
      </c>
      <c r="I53" s="5">
        <f t="shared" si="2"/>
        <v>22093.18</v>
      </c>
      <c r="J53">
        <v>12</v>
      </c>
      <c r="K53">
        <v>20.54</v>
      </c>
      <c r="L53">
        <v>4</v>
      </c>
      <c r="M53">
        <f t="shared" si="3"/>
        <v>4</v>
      </c>
      <c r="N53">
        <v>3.2</v>
      </c>
      <c r="O53">
        <f t="shared" si="4"/>
        <v>3.2</v>
      </c>
      <c r="Q53" t="str">
        <f t="shared" si="5"/>
        <v>NULL</v>
      </c>
      <c r="R53" t="s">
        <v>24</v>
      </c>
      <c r="S53" t="str">
        <f t="shared" si="6"/>
        <v>Non-Performing</v>
      </c>
      <c r="T53" t="s">
        <v>16</v>
      </c>
      <c r="U53" s="3">
        <f t="shared" si="7"/>
        <v>0.42275118789571015</v>
      </c>
      <c r="V53" t="str">
        <f t="shared" si="8"/>
        <v>Stretched</v>
      </c>
      <c r="W53" t="str">
        <f t="shared" si="9"/>
        <v>NULL</v>
      </c>
      <c r="X53" s="5" t="str">
        <f t="shared" si="10"/>
        <v>Medium</v>
      </c>
      <c r="Y53" s="5" t="str">
        <f t="shared" si="11"/>
        <v>Medium</v>
      </c>
      <c r="Z53" s="5" t="str">
        <f>IF(B53=120,"NULL",IF(AND(V53="High Stress", W53="High Risk", Y53="Low"),"High Risk : Reject", IF(AND(V53="Healthy", W53="Good",Y53&lt;&gt;"Low"), "Low Risk : Approve", "Medium Risk : Review")))</f>
        <v>Medium Risk : Review</v>
      </c>
      <c r="AA53" s="5" t="str">
        <f t="shared" si="12"/>
        <v>Medium</v>
      </c>
    </row>
    <row r="54" spans="1:27" x14ac:dyDescent="0.2">
      <c r="A54">
        <v>25272</v>
      </c>
      <c r="B54">
        <v>43</v>
      </c>
      <c r="C54">
        <f t="shared" si="0"/>
        <v>43</v>
      </c>
      <c r="D54" t="s">
        <v>12</v>
      </c>
      <c r="E54" t="str">
        <f t="shared" si="1"/>
        <v>Self-Employed</v>
      </c>
      <c r="F54">
        <v>6931.81</v>
      </c>
      <c r="G54">
        <f>ABS(Table1[[#This Row],[Monthly_Income]])</f>
        <v>6931.81</v>
      </c>
      <c r="H54">
        <v>24241.84</v>
      </c>
      <c r="I54" s="5">
        <f t="shared" si="2"/>
        <v>24241.84</v>
      </c>
      <c r="J54">
        <v>12</v>
      </c>
      <c r="K54">
        <v>14.28</v>
      </c>
      <c r="L54">
        <v>2</v>
      </c>
      <c r="M54">
        <f t="shared" si="3"/>
        <v>2</v>
      </c>
      <c r="N54">
        <v>4.3</v>
      </c>
      <c r="O54">
        <f t="shared" si="4"/>
        <v>4.3</v>
      </c>
      <c r="P54">
        <v>0</v>
      </c>
      <c r="Q54">
        <f t="shared" si="5"/>
        <v>0</v>
      </c>
      <c r="R54" t="s">
        <v>15</v>
      </c>
      <c r="S54" t="str">
        <f t="shared" si="6"/>
        <v xml:space="preserve">Performing </v>
      </c>
      <c r="T54" t="s">
        <v>25</v>
      </c>
      <c r="U54" s="3">
        <f t="shared" si="7"/>
        <v>0.29143230026981892</v>
      </c>
      <c r="V54" t="str">
        <f t="shared" si="8"/>
        <v>Healthy</v>
      </c>
      <c r="W54" t="str">
        <f t="shared" si="9"/>
        <v>Good</v>
      </c>
      <c r="X54" s="5" t="str">
        <f t="shared" si="10"/>
        <v>Medium</v>
      </c>
      <c r="Y54" s="5" t="str">
        <f t="shared" si="11"/>
        <v>Medium</v>
      </c>
      <c r="Z54" s="5" t="str">
        <f>IF(B54=120,"NULL",IF(AND(V54="High Stress", W54="High Risk", Y54="Low"),"High Risk : Reject", IF(AND(V54="Healthy", W54="Good",Y54&lt;&gt;"Low"), "Low Risk : Approve", "Medium Risk : Review")))</f>
        <v>Low Risk : Approve</v>
      </c>
      <c r="AA54" s="5" t="str">
        <f t="shared" si="12"/>
        <v>Medium</v>
      </c>
    </row>
    <row r="55" spans="1:27" x14ac:dyDescent="0.2">
      <c r="A55">
        <v>20093</v>
      </c>
      <c r="B55">
        <v>24</v>
      </c>
      <c r="C55">
        <f t="shared" si="0"/>
        <v>24</v>
      </c>
      <c r="D55" t="s">
        <v>23</v>
      </c>
      <c r="E55" t="str">
        <f t="shared" si="1"/>
        <v>Self-Employed</v>
      </c>
      <c r="F55">
        <v>2406.61</v>
      </c>
      <c r="G55">
        <f>ABS(Table1[[#This Row],[Monthly_Income]])</f>
        <v>2406.61</v>
      </c>
      <c r="H55">
        <v>36748.35</v>
      </c>
      <c r="I55" s="5">
        <f t="shared" si="2"/>
        <v>36748.35</v>
      </c>
      <c r="J55">
        <v>48</v>
      </c>
      <c r="K55">
        <v>22.19</v>
      </c>
      <c r="L55">
        <v>0</v>
      </c>
      <c r="M55">
        <f t="shared" si="3"/>
        <v>0</v>
      </c>
      <c r="N55">
        <v>11.8</v>
      </c>
      <c r="O55">
        <f t="shared" si="4"/>
        <v>11.8</v>
      </c>
      <c r="P55">
        <v>30</v>
      </c>
      <c r="Q55">
        <f t="shared" si="5"/>
        <v>30</v>
      </c>
      <c r="R55" t="s">
        <v>20</v>
      </c>
      <c r="S55" t="str">
        <f t="shared" si="6"/>
        <v>Written Off</v>
      </c>
      <c r="T55" t="s">
        <v>16</v>
      </c>
      <c r="U55" s="3">
        <f t="shared" si="7"/>
        <v>0.31811993841960268</v>
      </c>
      <c r="V55" t="str">
        <f t="shared" si="8"/>
        <v>Stretched</v>
      </c>
      <c r="W55" t="str">
        <f t="shared" si="9"/>
        <v>At Risk</v>
      </c>
      <c r="X55" s="5" t="str">
        <f t="shared" si="10"/>
        <v>High</v>
      </c>
      <c r="Y55" s="5" t="str">
        <f t="shared" si="11"/>
        <v>Medium</v>
      </c>
      <c r="Z55" s="5" t="str">
        <f>IF(B55=120,"NULL",IF(AND(V55="High Stress", W55="High Risk", Y55="Low"),"High Risk : Reject", IF(AND(V55="Healthy", W55="Good",Y55&lt;&gt;"Low"), "Low Risk : Approve", "Medium Risk : Review")))</f>
        <v>Medium Risk : Review</v>
      </c>
      <c r="AA55" s="5" t="str">
        <f t="shared" si="12"/>
        <v>Medium</v>
      </c>
    </row>
    <row r="56" spans="1:27" x14ac:dyDescent="0.2">
      <c r="A56">
        <v>24856</v>
      </c>
      <c r="B56">
        <v>41</v>
      </c>
      <c r="C56">
        <f t="shared" si="0"/>
        <v>41</v>
      </c>
      <c r="D56" t="s">
        <v>26</v>
      </c>
      <c r="E56" t="str">
        <f t="shared" si="1"/>
        <v>Salaried</v>
      </c>
      <c r="F56">
        <v>4020.55</v>
      </c>
      <c r="G56">
        <f>ABS(Table1[[#This Row],[Monthly_Income]])</f>
        <v>4020.55</v>
      </c>
      <c r="H56">
        <v>23557.51</v>
      </c>
      <c r="I56" s="5">
        <f t="shared" si="2"/>
        <v>23557.51</v>
      </c>
      <c r="J56">
        <v>60</v>
      </c>
      <c r="K56">
        <v>14.08</v>
      </c>
      <c r="L56">
        <v>4</v>
      </c>
      <c r="M56">
        <f t="shared" si="3"/>
        <v>4</v>
      </c>
      <c r="N56">
        <v>12.2</v>
      </c>
      <c r="O56">
        <f t="shared" si="4"/>
        <v>12.2</v>
      </c>
      <c r="P56">
        <v>15</v>
      </c>
      <c r="Q56">
        <f t="shared" si="5"/>
        <v>15</v>
      </c>
      <c r="R56" t="s">
        <v>18</v>
      </c>
      <c r="S56" t="str">
        <f t="shared" si="6"/>
        <v>Non-Performing</v>
      </c>
      <c r="T56" t="s">
        <v>16</v>
      </c>
      <c r="U56" s="3">
        <f t="shared" si="7"/>
        <v>9.7654591204354296E-2</v>
      </c>
      <c r="V56" t="str">
        <f t="shared" si="8"/>
        <v>Healthy</v>
      </c>
      <c r="W56" t="str">
        <f t="shared" si="9"/>
        <v>Good</v>
      </c>
      <c r="X56" s="5" t="str">
        <f t="shared" si="10"/>
        <v>Medium</v>
      </c>
      <c r="Y56" s="5" t="str">
        <f t="shared" si="11"/>
        <v>High</v>
      </c>
      <c r="Z56" s="5" t="str">
        <f>IF(B56=120,"NULL",IF(AND(V56="High Stress", W56="High Risk", Y56="Low"),"High Risk : Reject", IF(AND(V56="Healthy", W56="Good",Y56&lt;&gt;"Low"), "Low Risk : Approve", "Medium Risk : Review")))</f>
        <v>Low Risk : Approve</v>
      </c>
      <c r="AA56" s="5" t="str">
        <f t="shared" si="12"/>
        <v>Medium</v>
      </c>
    </row>
    <row r="57" spans="1:27" x14ac:dyDescent="0.2">
      <c r="A57">
        <v>21249</v>
      </c>
      <c r="B57">
        <v>25</v>
      </c>
      <c r="C57">
        <f t="shared" si="0"/>
        <v>25</v>
      </c>
      <c r="D57" t="s">
        <v>21</v>
      </c>
      <c r="E57" t="str">
        <f t="shared" si="1"/>
        <v>Salaried</v>
      </c>
      <c r="F57">
        <v>3856.45</v>
      </c>
      <c r="G57">
        <f>ABS(Table1[[#This Row],[Monthly_Income]])</f>
        <v>3856.45</v>
      </c>
      <c r="H57">
        <v>30500.69</v>
      </c>
      <c r="I57" s="5">
        <f t="shared" si="2"/>
        <v>30500.69</v>
      </c>
      <c r="J57">
        <v>60</v>
      </c>
      <c r="K57">
        <v>18.29</v>
      </c>
      <c r="L57">
        <v>4</v>
      </c>
      <c r="M57">
        <f t="shared" si="3"/>
        <v>4</v>
      </c>
      <c r="N57">
        <v>15.1</v>
      </c>
      <c r="O57">
        <f t="shared" si="4"/>
        <v>15.1</v>
      </c>
      <c r="P57">
        <v>0</v>
      </c>
      <c r="Q57">
        <f t="shared" si="5"/>
        <v>0</v>
      </c>
      <c r="R57" t="s">
        <v>20</v>
      </c>
      <c r="S57" t="str">
        <f t="shared" si="6"/>
        <v>Written Off</v>
      </c>
      <c r="T57" t="s">
        <v>16</v>
      </c>
      <c r="U57" s="3">
        <f t="shared" si="7"/>
        <v>0.13181678313820569</v>
      </c>
      <c r="V57" t="str">
        <f t="shared" si="8"/>
        <v>Healthy</v>
      </c>
      <c r="W57" t="str">
        <f t="shared" si="9"/>
        <v>Good</v>
      </c>
      <c r="X57" s="5" t="str">
        <f t="shared" si="10"/>
        <v>High</v>
      </c>
      <c r="Y57" s="5" t="str">
        <f t="shared" si="11"/>
        <v>High</v>
      </c>
      <c r="Z57" s="5" t="str">
        <f>IF(B57=120,"NULL",IF(AND(V57="High Stress", W57="High Risk", Y57="Low"),"High Risk : Reject", IF(AND(V57="Healthy", W57="Good",Y57&lt;&gt;"Low"), "Low Risk : Approve", "Medium Risk : Review")))</f>
        <v>Low Risk : Approve</v>
      </c>
      <c r="AA57" s="5" t="str">
        <f t="shared" si="12"/>
        <v>Medium</v>
      </c>
    </row>
    <row r="58" spans="1:27" x14ac:dyDescent="0.2">
      <c r="A58">
        <v>21686</v>
      </c>
      <c r="B58">
        <v>27</v>
      </c>
      <c r="C58">
        <f t="shared" si="0"/>
        <v>27</v>
      </c>
      <c r="D58" t="s">
        <v>27</v>
      </c>
      <c r="E58" t="str">
        <f t="shared" si="1"/>
        <v>Unemployed</v>
      </c>
      <c r="F58">
        <v>4856.5600000000004</v>
      </c>
      <c r="G58">
        <f>ABS(Table1[[#This Row],[Monthly_Income]])</f>
        <v>4856.5600000000004</v>
      </c>
      <c r="H58">
        <v>19254.830000000002</v>
      </c>
      <c r="I58" s="5">
        <f t="shared" si="2"/>
        <v>19254.830000000002</v>
      </c>
      <c r="J58">
        <v>60</v>
      </c>
      <c r="K58">
        <v>18.920000000000002</v>
      </c>
      <c r="L58">
        <v>1</v>
      </c>
      <c r="M58">
        <f t="shared" si="3"/>
        <v>1</v>
      </c>
      <c r="N58">
        <v>10.1</v>
      </c>
      <c r="O58">
        <f t="shared" si="4"/>
        <v>10.1</v>
      </c>
      <c r="Q58" t="str">
        <f t="shared" si="5"/>
        <v>NULL</v>
      </c>
      <c r="R58" t="s">
        <v>24</v>
      </c>
      <c r="S58" t="str">
        <f t="shared" si="6"/>
        <v>Non-Performing</v>
      </c>
      <c r="T58" t="s">
        <v>22</v>
      </c>
      <c r="U58" s="3">
        <f t="shared" si="7"/>
        <v>6.6078424508980285E-2</v>
      </c>
      <c r="V58" t="str">
        <f t="shared" si="8"/>
        <v>Healthy</v>
      </c>
      <c r="W58" t="str">
        <f t="shared" si="9"/>
        <v>NULL</v>
      </c>
      <c r="X58" s="5" t="str">
        <f t="shared" si="10"/>
        <v>Medium</v>
      </c>
      <c r="Y58" s="5" t="str">
        <f t="shared" si="11"/>
        <v>Low</v>
      </c>
      <c r="Z58" s="5" t="str">
        <f>IF(B58=120,"NULL",IF(AND(V58="High Stress", W58="High Risk", Y58="Low"),"High Risk : Reject", IF(AND(V58="Healthy", W58="Good",Y58&lt;&gt;"Low"), "Low Risk : Approve", "Medium Risk : Review")))</f>
        <v>Medium Risk : Review</v>
      </c>
      <c r="AA58" s="5" t="str">
        <f t="shared" si="12"/>
        <v>Medium</v>
      </c>
    </row>
    <row r="59" spans="1:27" x14ac:dyDescent="0.2">
      <c r="A59">
        <v>22405</v>
      </c>
      <c r="B59">
        <v>58</v>
      </c>
      <c r="C59">
        <f t="shared" si="0"/>
        <v>58</v>
      </c>
      <c r="D59" t="s">
        <v>23</v>
      </c>
      <c r="E59" t="str">
        <f t="shared" si="1"/>
        <v>Self-Employed</v>
      </c>
      <c r="F59">
        <v>-812.59</v>
      </c>
      <c r="G59">
        <f>ABS(Table1[[#This Row],[Monthly_Income]])</f>
        <v>812.59</v>
      </c>
      <c r="H59">
        <v>21899.73</v>
      </c>
      <c r="I59" s="5">
        <f t="shared" si="2"/>
        <v>21899.73</v>
      </c>
      <c r="J59">
        <v>24</v>
      </c>
      <c r="K59">
        <v>17.829999999999998</v>
      </c>
      <c r="L59">
        <v>2</v>
      </c>
      <c r="M59">
        <f t="shared" si="3"/>
        <v>2</v>
      </c>
      <c r="N59">
        <v>5.8</v>
      </c>
      <c r="O59">
        <f t="shared" si="4"/>
        <v>5.8</v>
      </c>
      <c r="P59">
        <v>0</v>
      </c>
      <c r="Q59">
        <f t="shared" si="5"/>
        <v>0</v>
      </c>
      <c r="R59" t="s">
        <v>20</v>
      </c>
      <c r="S59" t="str">
        <f t="shared" si="6"/>
        <v>Written Off</v>
      </c>
      <c r="T59" t="s">
        <v>19</v>
      </c>
      <c r="U59" s="3">
        <f t="shared" si="7"/>
        <v>1.1229386898681992</v>
      </c>
      <c r="V59" t="str">
        <f t="shared" si="8"/>
        <v>High Stress</v>
      </c>
      <c r="W59" t="str">
        <f t="shared" si="9"/>
        <v>Good</v>
      </c>
      <c r="X59" s="5" t="str">
        <f t="shared" si="10"/>
        <v>Medium</v>
      </c>
      <c r="Y59" s="5" t="str">
        <f t="shared" si="11"/>
        <v>Medium</v>
      </c>
      <c r="Z59" s="5" t="str">
        <f>IF(B59=120,"NULL",IF(AND(V59="High Stress", W59="High Risk", Y59="Low"),"High Risk : Reject", IF(AND(V59="Healthy", W59="Good",Y59&lt;&gt;"Low"), "Low Risk : Approve", "Medium Risk : Review")))</f>
        <v>Medium Risk : Review</v>
      </c>
      <c r="AA59" s="5" t="str">
        <f t="shared" si="12"/>
        <v>Low</v>
      </c>
    </row>
    <row r="60" spans="1:27" x14ac:dyDescent="0.2">
      <c r="A60">
        <v>20932</v>
      </c>
      <c r="B60">
        <v>35</v>
      </c>
      <c r="C60">
        <f t="shared" si="0"/>
        <v>35</v>
      </c>
      <c r="D60" t="s">
        <v>26</v>
      </c>
      <c r="E60" t="str">
        <f t="shared" si="1"/>
        <v>Salaried</v>
      </c>
      <c r="F60">
        <v>4509.66</v>
      </c>
      <c r="G60">
        <f>ABS(Table1[[#This Row],[Monthly_Income]])</f>
        <v>4509.66</v>
      </c>
      <c r="H60">
        <v>14470.87</v>
      </c>
      <c r="I60" s="5">
        <f t="shared" si="2"/>
        <v>14470.87</v>
      </c>
      <c r="J60">
        <v>60</v>
      </c>
      <c r="K60">
        <v>20.29</v>
      </c>
      <c r="L60">
        <v>1</v>
      </c>
      <c r="M60">
        <f t="shared" si="3"/>
        <v>1</v>
      </c>
      <c r="N60">
        <v>8.6</v>
      </c>
      <c r="O60">
        <f t="shared" si="4"/>
        <v>8.6</v>
      </c>
      <c r="P60">
        <v>15</v>
      </c>
      <c r="Q60">
        <f t="shared" si="5"/>
        <v>15</v>
      </c>
      <c r="R60" t="s">
        <v>24</v>
      </c>
      <c r="S60" t="str">
        <f t="shared" si="6"/>
        <v>Non-Performing</v>
      </c>
      <c r="T60" t="s">
        <v>14</v>
      </c>
      <c r="U60" s="3">
        <f t="shared" si="7"/>
        <v>5.3481008915675837E-2</v>
      </c>
      <c r="V60" t="str">
        <f t="shared" si="8"/>
        <v>Healthy</v>
      </c>
      <c r="W60" t="str">
        <f t="shared" si="9"/>
        <v>Good</v>
      </c>
      <c r="X60" s="5" t="str">
        <f t="shared" si="10"/>
        <v>Medium</v>
      </c>
      <c r="Y60" s="5" t="str">
        <f t="shared" si="11"/>
        <v>High</v>
      </c>
      <c r="Z60" s="5" t="str">
        <f>IF(B60=120,"NULL",IF(AND(V60="High Stress", W60="High Risk", Y60="Low"),"High Risk : Reject", IF(AND(V60="Healthy", W60="Good",Y60&lt;&gt;"Low"), "Low Risk : Approve", "Medium Risk : Review")))</f>
        <v>Low Risk : Approve</v>
      </c>
      <c r="AA60" s="5" t="str">
        <f t="shared" si="12"/>
        <v>Medium</v>
      </c>
    </row>
    <row r="61" spans="1:27" x14ac:dyDescent="0.2">
      <c r="A61">
        <v>22628</v>
      </c>
      <c r="B61">
        <v>27</v>
      </c>
      <c r="C61">
        <f t="shared" si="0"/>
        <v>27</v>
      </c>
      <c r="D61" t="s">
        <v>26</v>
      </c>
      <c r="E61" t="str">
        <f t="shared" si="1"/>
        <v>Salaried</v>
      </c>
      <c r="F61">
        <v>4437.08</v>
      </c>
      <c r="G61">
        <f>ABS(Table1[[#This Row],[Monthly_Income]])</f>
        <v>4437.08</v>
      </c>
      <c r="H61">
        <v>29393.05</v>
      </c>
      <c r="I61" s="5">
        <f t="shared" si="2"/>
        <v>29393.05</v>
      </c>
      <c r="J61">
        <v>18</v>
      </c>
      <c r="K61">
        <v>21.8</v>
      </c>
      <c r="L61">
        <v>2</v>
      </c>
      <c r="M61">
        <f t="shared" si="3"/>
        <v>2</v>
      </c>
      <c r="N61">
        <v>6.3</v>
      </c>
      <c r="O61">
        <f t="shared" si="4"/>
        <v>6.3</v>
      </c>
      <c r="P61">
        <v>90</v>
      </c>
      <c r="Q61">
        <f t="shared" si="5"/>
        <v>90</v>
      </c>
      <c r="R61" t="s">
        <v>15</v>
      </c>
      <c r="S61" t="str">
        <f t="shared" si="6"/>
        <v xml:space="preserve">Performing </v>
      </c>
      <c r="T61" t="s">
        <v>22</v>
      </c>
      <c r="U61" s="3">
        <f t="shared" si="7"/>
        <v>0.36802293900993943</v>
      </c>
      <c r="V61" t="str">
        <f t="shared" si="8"/>
        <v>Stretched</v>
      </c>
      <c r="W61" t="str">
        <f t="shared" si="9"/>
        <v>High Risk</v>
      </c>
      <c r="X61" s="5" t="str">
        <f t="shared" si="10"/>
        <v>Medium</v>
      </c>
      <c r="Y61" s="5" t="str">
        <f t="shared" si="11"/>
        <v>High</v>
      </c>
      <c r="Z61" s="5" t="str">
        <f>IF(B61=120,"NULL",IF(AND(V61="High Stress", W61="High Risk", Y61="Low"),"High Risk : Reject", IF(AND(V61="Healthy", W61="Good",Y61&lt;&gt;"Low"), "Low Risk : Approve", "Medium Risk : Review")))</f>
        <v>Medium Risk : Review</v>
      </c>
      <c r="AA61" s="5" t="str">
        <f t="shared" si="12"/>
        <v>Medium</v>
      </c>
    </row>
    <row r="62" spans="1:27" x14ac:dyDescent="0.2">
      <c r="A62">
        <v>25340</v>
      </c>
      <c r="B62">
        <v>28</v>
      </c>
      <c r="C62">
        <f t="shared" si="0"/>
        <v>28</v>
      </c>
      <c r="D62" t="s">
        <v>26</v>
      </c>
      <c r="E62" t="str">
        <f t="shared" si="1"/>
        <v>Salaried</v>
      </c>
      <c r="F62">
        <v>3337.18</v>
      </c>
      <c r="G62">
        <f>ABS(Table1[[#This Row],[Monthly_Income]])</f>
        <v>3337.18</v>
      </c>
      <c r="H62">
        <v>26306.38</v>
      </c>
      <c r="I62" s="5">
        <f t="shared" si="2"/>
        <v>26306.38</v>
      </c>
      <c r="J62">
        <v>6</v>
      </c>
      <c r="K62">
        <v>19.41</v>
      </c>
      <c r="L62">
        <v>2</v>
      </c>
      <c r="M62">
        <f t="shared" si="3"/>
        <v>2</v>
      </c>
      <c r="N62">
        <v>6.5</v>
      </c>
      <c r="O62">
        <f t="shared" si="4"/>
        <v>6.5</v>
      </c>
      <c r="P62">
        <v>0</v>
      </c>
      <c r="Q62">
        <f t="shared" si="5"/>
        <v>0</v>
      </c>
      <c r="R62" t="s">
        <v>18</v>
      </c>
      <c r="S62" t="str">
        <f t="shared" si="6"/>
        <v>Non-Performing</v>
      </c>
      <c r="T62" t="s">
        <v>16</v>
      </c>
      <c r="U62" s="3">
        <f t="shared" si="7"/>
        <v>1.313802871486305</v>
      </c>
      <c r="V62" t="str">
        <f t="shared" si="8"/>
        <v>High Stress</v>
      </c>
      <c r="W62" t="str">
        <f t="shared" si="9"/>
        <v>Good</v>
      </c>
      <c r="X62" s="5" t="str">
        <f t="shared" si="10"/>
        <v>Medium</v>
      </c>
      <c r="Y62" s="5" t="str">
        <f t="shared" si="11"/>
        <v>High</v>
      </c>
      <c r="Z62" s="5" t="str">
        <f>IF(B62=120,"NULL",IF(AND(V62="High Stress", W62="High Risk", Y62="Low"),"High Risk : Reject", IF(AND(V62="Healthy", W62="Good",Y62&lt;&gt;"Low"), "Low Risk : Approve", "Medium Risk : Review")))</f>
        <v>Medium Risk : Review</v>
      </c>
      <c r="AA62" s="5" t="str">
        <f t="shared" si="12"/>
        <v>Medium</v>
      </c>
    </row>
    <row r="63" spans="1:27" x14ac:dyDescent="0.2">
      <c r="A63">
        <v>24578</v>
      </c>
      <c r="B63">
        <v>27</v>
      </c>
      <c r="C63">
        <f t="shared" si="0"/>
        <v>27</v>
      </c>
      <c r="D63" t="s">
        <v>27</v>
      </c>
      <c r="E63" t="str">
        <f t="shared" si="1"/>
        <v>Unemployed</v>
      </c>
      <c r="F63">
        <v>3368.48</v>
      </c>
      <c r="G63">
        <f>ABS(Table1[[#This Row],[Monthly_Income]])</f>
        <v>3368.48</v>
      </c>
      <c r="H63">
        <v>12247.7</v>
      </c>
      <c r="I63" s="5">
        <f t="shared" si="2"/>
        <v>12247.7</v>
      </c>
      <c r="J63">
        <v>6</v>
      </c>
      <c r="K63">
        <v>19.440000000000001</v>
      </c>
      <c r="L63">
        <v>2</v>
      </c>
      <c r="M63">
        <f t="shared" si="3"/>
        <v>2</v>
      </c>
      <c r="N63">
        <v>13</v>
      </c>
      <c r="O63">
        <f t="shared" si="4"/>
        <v>13</v>
      </c>
      <c r="P63">
        <v>120</v>
      </c>
      <c r="Q63">
        <f t="shared" si="5"/>
        <v>120</v>
      </c>
      <c r="R63" t="s">
        <v>20</v>
      </c>
      <c r="S63" t="str">
        <f t="shared" si="6"/>
        <v>Written Off</v>
      </c>
      <c r="T63" t="s">
        <v>14</v>
      </c>
      <c r="U63" s="3">
        <f t="shared" si="7"/>
        <v>0.60599538466410174</v>
      </c>
      <c r="V63" t="str">
        <f t="shared" si="8"/>
        <v>High Stress</v>
      </c>
      <c r="W63" t="str">
        <f t="shared" si="9"/>
        <v>High Risk</v>
      </c>
      <c r="X63" s="5" t="str">
        <f t="shared" si="10"/>
        <v>Medium</v>
      </c>
      <c r="Y63" s="5" t="str">
        <f t="shared" si="11"/>
        <v>Low</v>
      </c>
      <c r="Z63" s="5" t="str">
        <f>IF(B63=120,"NULL",IF(AND(V63="High Stress", W63="High Risk", Y63="Low"),"High Risk : Reject", IF(AND(V63="Healthy", W63="Good",Y63&lt;&gt;"Low"), "Low Risk : Approve", "Medium Risk : Review")))</f>
        <v>High Risk : Reject</v>
      </c>
      <c r="AA63" s="5" t="str">
        <f t="shared" si="12"/>
        <v>Medium</v>
      </c>
    </row>
    <row r="64" spans="1:27" x14ac:dyDescent="0.2">
      <c r="A64">
        <v>25140</v>
      </c>
      <c r="B64">
        <v>58</v>
      </c>
      <c r="C64">
        <f t="shared" si="0"/>
        <v>58</v>
      </c>
      <c r="D64" t="s">
        <v>26</v>
      </c>
      <c r="E64" t="str">
        <f t="shared" si="1"/>
        <v>Salaried</v>
      </c>
      <c r="F64">
        <v>5881.95</v>
      </c>
      <c r="G64">
        <f>ABS(Table1[[#This Row],[Monthly_Income]])</f>
        <v>5881.95</v>
      </c>
      <c r="H64">
        <v>21356.639999999999</v>
      </c>
      <c r="I64" s="5">
        <f t="shared" si="2"/>
        <v>21356.639999999999</v>
      </c>
      <c r="J64">
        <v>6</v>
      </c>
      <c r="K64">
        <v>19.739999999999998</v>
      </c>
      <c r="L64">
        <v>2</v>
      </c>
      <c r="M64">
        <f t="shared" si="3"/>
        <v>2</v>
      </c>
      <c r="N64">
        <v>6.5</v>
      </c>
      <c r="O64">
        <f t="shared" si="4"/>
        <v>6.5</v>
      </c>
      <c r="Q64" t="str">
        <f t="shared" si="5"/>
        <v>NULL</v>
      </c>
      <c r="R64" t="s">
        <v>24</v>
      </c>
      <c r="S64" t="str">
        <f t="shared" si="6"/>
        <v>Non-Performing</v>
      </c>
      <c r="T64" t="s">
        <v>14</v>
      </c>
      <c r="U64" s="3">
        <f t="shared" si="7"/>
        <v>0.60514625251829757</v>
      </c>
      <c r="V64" t="str">
        <f t="shared" si="8"/>
        <v>High Stress</v>
      </c>
      <c r="W64" t="str">
        <f t="shared" si="9"/>
        <v>NULL</v>
      </c>
      <c r="X64" s="5" t="str">
        <f t="shared" si="10"/>
        <v>Medium</v>
      </c>
      <c r="Y64" s="5" t="str">
        <f t="shared" si="11"/>
        <v>High</v>
      </c>
      <c r="Z64" s="5" t="str">
        <f>IF(B64=120,"NULL",IF(AND(V64="High Stress", W64="High Risk", Y64="Low"),"High Risk : Reject", IF(AND(V64="Healthy", W64="Good",Y64&lt;&gt;"Low"), "Low Risk : Approve", "Medium Risk : Review")))</f>
        <v>Medium Risk : Review</v>
      </c>
      <c r="AA64" s="5" t="str">
        <f t="shared" si="12"/>
        <v>Medium</v>
      </c>
    </row>
    <row r="65" spans="1:27" x14ac:dyDescent="0.2">
      <c r="A65">
        <v>20788</v>
      </c>
      <c r="B65">
        <v>54</v>
      </c>
      <c r="C65">
        <f t="shared" si="0"/>
        <v>54</v>
      </c>
      <c r="D65" t="s">
        <v>23</v>
      </c>
      <c r="E65" t="str">
        <f t="shared" si="1"/>
        <v>Self-Employed</v>
      </c>
      <c r="F65">
        <v>5325.45</v>
      </c>
      <c r="G65">
        <f>ABS(Table1[[#This Row],[Monthly_Income]])</f>
        <v>5325.45</v>
      </c>
      <c r="H65">
        <v>22263.06</v>
      </c>
      <c r="I65" s="5">
        <f t="shared" si="2"/>
        <v>22263.06</v>
      </c>
      <c r="J65">
        <v>6</v>
      </c>
      <c r="K65">
        <v>21.32</v>
      </c>
      <c r="L65">
        <v>2</v>
      </c>
      <c r="M65">
        <f t="shared" si="3"/>
        <v>2</v>
      </c>
      <c r="N65">
        <v>8.6999999999999993</v>
      </c>
      <c r="O65">
        <f t="shared" si="4"/>
        <v>8.6999999999999993</v>
      </c>
      <c r="P65">
        <v>15</v>
      </c>
      <c r="Q65">
        <f t="shared" si="5"/>
        <v>15</v>
      </c>
      <c r="R65" t="s">
        <v>15</v>
      </c>
      <c r="S65" t="str">
        <f t="shared" si="6"/>
        <v xml:space="preserve">Performing </v>
      </c>
      <c r="T65" t="s">
        <v>22</v>
      </c>
      <c r="U65" s="3">
        <f t="shared" si="7"/>
        <v>0.69675050934662808</v>
      </c>
      <c r="V65" t="str">
        <f t="shared" si="8"/>
        <v>High Stress</v>
      </c>
      <c r="W65" t="str">
        <f t="shared" si="9"/>
        <v>Good</v>
      </c>
      <c r="X65" s="5" t="str">
        <f t="shared" si="10"/>
        <v>Medium</v>
      </c>
      <c r="Y65" s="5" t="str">
        <f t="shared" si="11"/>
        <v>Medium</v>
      </c>
      <c r="Z65" s="5" t="str">
        <f>IF(B65=120,"NULL",IF(AND(V65="High Stress", W65="High Risk", Y65="Low"),"High Risk : Reject", IF(AND(V65="Healthy", W65="Good",Y65&lt;&gt;"Low"), "Low Risk : Approve", "Medium Risk : Review")))</f>
        <v>Medium Risk : Review</v>
      </c>
      <c r="AA65" s="5" t="str">
        <f t="shared" si="12"/>
        <v>Medium</v>
      </c>
    </row>
    <row r="66" spans="1:27" x14ac:dyDescent="0.2">
      <c r="A66">
        <v>20034</v>
      </c>
      <c r="B66">
        <v>120</v>
      </c>
      <c r="C66" t="str">
        <f t="shared" ref="C66:C129" si="13">IF(B66=120,"NULL",B66)</f>
        <v>NULL</v>
      </c>
      <c r="D66" t="s">
        <v>17</v>
      </c>
      <c r="E66" t="str">
        <f t="shared" ref="E66:E129" si="14">TRIM(IF(D66="Self employed","Self-Employed",D66))</f>
        <v>Contract</v>
      </c>
      <c r="F66">
        <v>2652.64</v>
      </c>
      <c r="G66">
        <f>ABS(Table1[[#This Row],[Monthly_Income]])</f>
        <v>2652.64</v>
      </c>
      <c r="H66">
        <v>9197.76</v>
      </c>
      <c r="I66" s="5">
        <f t="shared" ref="I66:I129" si="15">IF(H66="","NULL",ABS(H66))</f>
        <v>9197.76</v>
      </c>
      <c r="J66">
        <v>6</v>
      </c>
      <c r="K66">
        <v>20.98</v>
      </c>
      <c r="L66">
        <v>3</v>
      </c>
      <c r="M66">
        <f t="shared" ref="M66:M129" si="16">IF(L66="","NULL",L66)</f>
        <v>3</v>
      </c>
      <c r="N66">
        <v>9.6999999999999993</v>
      </c>
      <c r="O66">
        <f t="shared" ref="O66:O129" si="17">IF(N66="","NULL",ABS(N66))</f>
        <v>9.6999999999999993</v>
      </c>
      <c r="P66">
        <v>0</v>
      </c>
      <c r="Q66">
        <f t="shared" ref="Q66:Q129" si="18">IF(P66="","NULL",P66)</f>
        <v>0</v>
      </c>
      <c r="R66" t="s">
        <v>18</v>
      </c>
      <c r="S66" t="str">
        <f t="shared" ref="S66:S129" si="19">IF(R66="Non performing","Non-Performing",R66)</f>
        <v>Non-Performing</v>
      </c>
      <c r="T66" t="s">
        <v>16</v>
      </c>
      <c r="U66" s="3">
        <f t="shared" ref="U66:U129" si="20">IFERROR(I66/(G66*J66),"NULL")</f>
        <v>0.5778997526991978</v>
      </c>
      <c r="V66" t="str">
        <f t="shared" ref="V66:V129" si="21">IF(U66="NULL","NULL",IF(U66&lt;=0.3,"Healthy",IF(U66&lt;=0.45,"Stretched","High Stress")))</f>
        <v>High Stress</v>
      </c>
      <c r="W66" t="str">
        <f t="shared" ref="W66:W129" si="22">IF(Q66="NULL","NULL",IF(Q66&lt;30,"Good",IF(Q66&lt;60,"At Risk","High Risk")))</f>
        <v>Good</v>
      </c>
      <c r="X66" s="5" t="str">
        <f t="shared" ref="X66:X129" si="23">IF(I66&lt;10000,"Small",IF(I66&lt;=30000,"Medium","High"))</f>
        <v>Small</v>
      </c>
      <c r="Y66" s="5" t="str">
        <f t="shared" ref="Y66:Y129" si="24">IF(E66="Salaried","High",IF(E66="Self-Employed","Medium","Low"))</f>
        <v>Low</v>
      </c>
      <c r="Z66" s="5" t="str">
        <f>IF(B66=120,"NULL",IF(AND(V66="High Stress", W66="High Risk", Y66="Low"),"High Risk : Reject", IF(AND(V66="Healthy", W66="Good",Y66&lt;&gt;"Low"), "Low Risk : Approve", "Medium Risk : Review")))</f>
        <v>NULL</v>
      </c>
      <c r="AA66" s="5" t="str">
        <f t="shared" ref="AA66:AA129" si="25">IF(G66="NULL","NULL",IF(G66&gt;8000,"High",IF(G66&gt;2000,"Medium","Low")))</f>
        <v>Medium</v>
      </c>
    </row>
    <row r="67" spans="1:27" x14ac:dyDescent="0.2">
      <c r="A67">
        <v>23196</v>
      </c>
      <c r="B67">
        <v>32</v>
      </c>
      <c r="C67">
        <f t="shared" si="13"/>
        <v>32</v>
      </c>
      <c r="D67" t="s">
        <v>27</v>
      </c>
      <c r="E67" t="str">
        <f t="shared" si="14"/>
        <v>Unemployed</v>
      </c>
      <c r="F67">
        <v>-843.12</v>
      </c>
      <c r="G67">
        <f>ABS(Table1[[#This Row],[Monthly_Income]])</f>
        <v>843.12</v>
      </c>
      <c r="H67"/>
      <c r="I67" s="5" t="str">
        <f t="shared" si="15"/>
        <v>NULL</v>
      </c>
      <c r="J67">
        <v>36</v>
      </c>
      <c r="K67">
        <v>13.58</v>
      </c>
      <c r="L67">
        <v>2</v>
      </c>
      <c r="M67">
        <f t="shared" si="16"/>
        <v>2</v>
      </c>
      <c r="N67">
        <v>10.5</v>
      </c>
      <c r="O67">
        <f t="shared" si="17"/>
        <v>10.5</v>
      </c>
      <c r="P67">
        <v>0</v>
      </c>
      <c r="Q67">
        <f t="shared" si="18"/>
        <v>0</v>
      </c>
      <c r="R67" t="s">
        <v>20</v>
      </c>
      <c r="S67" t="str">
        <f t="shared" si="19"/>
        <v>Written Off</v>
      </c>
      <c r="T67" t="s">
        <v>25</v>
      </c>
      <c r="U67" s="3" t="str">
        <f t="shared" si="20"/>
        <v>NULL</v>
      </c>
      <c r="V67" t="str">
        <f t="shared" si="21"/>
        <v>NULL</v>
      </c>
      <c r="W67" t="str">
        <f t="shared" si="22"/>
        <v>Good</v>
      </c>
      <c r="X67" s="5" t="str">
        <f t="shared" si="23"/>
        <v>High</v>
      </c>
      <c r="Y67" s="5" t="str">
        <f t="shared" si="24"/>
        <v>Low</v>
      </c>
      <c r="Z67" s="5" t="str">
        <f>IF(B67=120,"NULL",IF(AND(V67="High Stress", W67="High Risk", Y67="Low"),"High Risk : Reject", IF(AND(V67="Healthy", W67="Good",Y67&lt;&gt;"Low"), "Low Risk : Approve", "Medium Risk : Review")))</f>
        <v>Medium Risk : Review</v>
      </c>
      <c r="AA67" s="5" t="str">
        <f t="shared" si="25"/>
        <v>Low</v>
      </c>
    </row>
    <row r="68" spans="1:27" x14ac:dyDescent="0.2">
      <c r="A68">
        <v>25407</v>
      </c>
      <c r="B68">
        <v>45</v>
      </c>
      <c r="C68">
        <f t="shared" si="13"/>
        <v>45</v>
      </c>
      <c r="D68" t="s">
        <v>21</v>
      </c>
      <c r="E68" t="str">
        <f t="shared" si="14"/>
        <v>Salaried</v>
      </c>
      <c r="F68">
        <v>8986.19</v>
      </c>
      <c r="G68">
        <f>ABS(Table1[[#This Row],[Monthly_Income]])</f>
        <v>8986.19</v>
      </c>
      <c r="H68">
        <v>11938.5</v>
      </c>
      <c r="I68" s="5">
        <f t="shared" si="15"/>
        <v>11938.5</v>
      </c>
      <c r="J68">
        <v>18</v>
      </c>
      <c r="K68">
        <v>17.170000000000002</v>
      </c>
      <c r="L68">
        <v>4</v>
      </c>
      <c r="M68">
        <f t="shared" si="16"/>
        <v>4</v>
      </c>
      <c r="N68">
        <v>8.8000000000000007</v>
      </c>
      <c r="O68">
        <f t="shared" si="17"/>
        <v>8.8000000000000007</v>
      </c>
      <c r="P68">
        <v>90</v>
      </c>
      <c r="Q68">
        <f t="shared" si="18"/>
        <v>90</v>
      </c>
      <c r="R68" t="s">
        <v>13</v>
      </c>
      <c r="S68" t="str">
        <f t="shared" si="19"/>
        <v>Performing</v>
      </c>
      <c r="T68" t="s">
        <v>19</v>
      </c>
      <c r="U68" s="3">
        <f t="shared" si="20"/>
        <v>7.3807698256992113E-2</v>
      </c>
      <c r="V68" t="str">
        <f t="shared" si="21"/>
        <v>Healthy</v>
      </c>
      <c r="W68" t="str">
        <f t="shared" si="22"/>
        <v>High Risk</v>
      </c>
      <c r="X68" s="5" t="str">
        <f t="shared" si="23"/>
        <v>Medium</v>
      </c>
      <c r="Y68" s="5" t="str">
        <f t="shared" si="24"/>
        <v>High</v>
      </c>
      <c r="Z68" s="5" t="str">
        <f>IF(B68=120,"NULL",IF(AND(V68="High Stress", W68="High Risk", Y68="Low"),"High Risk : Reject", IF(AND(V68="Healthy", W68="Good",Y68&lt;&gt;"Low"), "Low Risk : Approve", "Medium Risk : Review")))</f>
        <v>Medium Risk : Review</v>
      </c>
      <c r="AA68" s="5" t="str">
        <f t="shared" si="25"/>
        <v>High</v>
      </c>
    </row>
    <row r="69" spans="1:27" x14ac:dyDescent="0.2">
      <c r="A69">
        <v>21866</v>
      </c>
      <c r="B69">
        <v>36</v>
      </c>
      <c r="C69">
        <f t="shared" si="13"/>
        <v>36</v>
      </c>
      <c r="D69" t="s">
        <v>27</v>
      </c>
      <c r="E69" t="str">
        <f t="shared" si="14"/>
        <v>Unemployed</v>
      </c>
      <c r="F69">
        <v>6884.7</v>
      </c>
      <c r="G69">
        <f>ABS(Table1[[#This Row],[Monthly_Income]])</f>
        <v>6884.7</v>
      </c>
      <c r="H69">
        <v>4214.29</v>
      </c>
      <c r="I69" s="5">
        <f t="shared" si="15"/>
        <v>4214.29</v>
      </c>
      <c r="J69">
        <v>60</v>
      </c>
      <c r="K69">
        <v>18.93</v>
      </c>
      <c r="L69">
        <v>2</v>
      </c>
      <c r="M69">
        <f t="shared" si="16"/>
        <v>2</v>
      </c>
      <c r="N69">
        <v>2.2000000000000002</v>
      </c>
      <c r="O69">
        <f t="shared" si="17"/>
        <v>2.2000000000000002</v>
      </c>
      <c r="P69">
        <v>0</v>
      </c>
      <c r="Q69">
        <f t="shared" si="18"/>
        <v>0</v>
      </c>
      <c r="R69" t="s">
        <v>15</v>
      </c>
      <c r="S69" t="str">
        <f t="shared" si="19"/>
        <v xml:space="preserve">Performing </v>
      </c>
      <c r="T69" t="s">
        <v>14</v>
      </c>
      <c r="U69" s="3">
        <f t="shared" si="20"/>
        <v>1.0202066417805666E-2</v>
      </c>
      <c r="V69" t="str">
        <f t="shared" si="21"/>
        <v>Healthy</v>
      </c>
      <c r="W69" t="str">
        <f t="shared" si="22"/>
        <v>Good</v>
      </c>
      <c r="X69" s="5" t="str">
        <f t="shared" si="23"/>
        <v>Small</v>
      </c>
      <c r="Y69" s="5" t="str">
        <f t="shared" si="24"/>
        <v>Low</v>
      </c>
      <c r="Z69" s="5" t="str">
        <f>IF(B69=120,"NULL",IF(AND(V69="High Stress", W69="High Risk", Y69="Low"),"High Risk : Reject", IF(AND(V69="Healthy", W69="Good",Y69&lt;&gt;"Low"), "Low Risk : Approve", "Medium Risk : Review")))</f>
        <v>Medium Risk : Review</v>
      </c>
      <c r="AA69" s="5" t="str">
        <f t="shared" si="25"/>
        <v>Medium</v>
      </c>
    </row>
    <row r="70" spans="1:27" x14ac:dyDescent="0.2">
      <c r="A70">
        <v>25086</v>
      </c>
      <c r="B70">
        <v>75</v>
      </c>
      <c r="C70">
        <f t="shared" si="13"/>
        <v>75</v>
      </c>
      <c r="D70" t="s">
        <v>12</v>
      </c>
      <c r="E70" t="str">
        <f t="shared" si="14"/>
        <v>Self-Employed</v>
      </c>
      <c r="F70">
        <v>998.07</v>
      </c>
      <c r="G70">
        <f>ABS(Table1[[#This Row],[Monthly_Income]])</f>
        <v>998.07</v>
      </c>
      <c r="H70">
        <v>20955.560000000001</v>
      </c>
      <c r="I70" s="5">
        <f t="shared" si="15"/>
        <v>20955.560000000001</v>
      </c>
      <c r="J70">
        <v>12</v>
      </c>
      <c r="K70">
        <v>13.37</v>
      </c>
      <c r="L70">
        <v>0</v>
      </c>
      <c r="M70">
        <f t="shared" si="16"/>
        <v>0</v>
      </c>
      <c r="N70">
        <v>8.9</v>
      </c>
      <c r="O70">
        <f t="shared" si="17"/>
        <v>8.9</v>
      </c>
      <c r="Q70" t="str">
        <f t="shared" si="18"/>
        <v>NULL</v>
      </c>
      <c r="R70" t="s">
        <v>24</v>
      </c>
      <c r="S70" t="str">
        <f t="shared" si="19"/>
        <v>Non-Performing</v>
      </c>
      <c r="T70" t="s">
        <v>19</v>
      </c>
      <c r="U70" s="3">
        <f t="shared" si="20"/>
        <v>1.74967353659229</v>
      </c>
      <c r="V70" t="str">
        <f t="shared" si="21"/>
        <v>High Stress</v>
      </c>
      <c r="W70" t="str">
        <f t="shared" si="22"/>
        <v>NULL</v>
      </c>
      <c r="X70" s="5" t="str">
        <f t="shared" si="23"/>
        <v>Medium</v>
      </c>
      <c r="Y70" s="5" t="str">
        <f t="shared" si="24"/>
        <v>Medium</v>
      </c>
      <c r="Z70" s="5" t="str">
        <f>IF(B70=120,"NULL",IF(AND(V70="High Stress", W70="High Risk", Y70="Low"),"High Risk : Reject", IF(AND(V70="Healthy", W70="Good",Y70&lt;&gt;"Low"), "Low Risk : Approve", "Medium Risk : Review")))</f>
        <v>Medium Risk : Review</v>
      </c>
      <c r="AA70" s="5" t="str">
        <f t="shared" si="25"/>
        <v>Low</v>
      </c>
    </row>
    <row r="71" spans="1:27" x14ac:dyDescent="0.2">
      <c r="A71">
        <v>21440</v>
      </c>
      <c r="B71">
        <v>64</v>
      </c>
      <c r="C71">
        <f t="shared" si="13"/>
        <v>64</v>
      </c>
      <c r="D71" t="s">
        <v>12</v>
      </c>
      <c r="E71" t="str">
        <f t="shared" si="14"/>
        <v>Self-Employed</v>
      </c>
      <c r="F71">
        <v>3550.07</v>
      </c>
      <c r="G71">
        <f>ABS(Table1[[#This Row],[Monthly_Income]])</f>
        <v>3550.07</v>
      </c>
      <c r="H71">
        <v>13761.73</v>
      </c>
      <c r="I71" s="5">
        <f t="shared" si="15"/>
        <v>13761.73</v>
      </c>
      <c r="J71">
        <v>12</v>
      </c>
      <c r="K71">
        <v>24.18</v>
      </c>
      <c r="L71">
        <v>4</v>
      </c>
      <c r="M71">
        <f t="shared" si="16"/>
        <v>4</v>
      </c>
      <c r="N71">
        <v>4.4000000000000004</v>
      </c>
      <c r="O71">
        <f t="shared" si="17"/>
        <v>4.4000000000000004</v>
      </c>
      <c r="Q71" t="str">
        <f t="shared" si="18"/>
        <v>NULL</v>
      </c>
      <c r="R71" t="s">
        <v>15</v>
      </c>
      <c r="S71" t="str">
        <f t="shared" si="19"/>
        <v xml:space="preserve">Performing </v>
      </c>
      <c r="T71" t="s">
        <v>16</v>
      </c>
      <c r="U71" s="3">
        <f t="shared" si="20"/>
        <v>0.32303893538249479</v>
      </c>
      <c r="V71" t="str">
        <f t="shared" si="21"/>
        <v>Stretched</v>
      </c>
      <c r="W71" t="str">
        <f t="shared" si="22"/>
        <v>NULL</v>
      </c>
      <c r="X71" s="5" t="str">
        <f t="shared" si="23"/>
        <v>Medium</v>
      </c>
      <c r="Y71" s="5" t="str">
        <f t="shared" si="24"/>
        <v>Medium</v>
      </c>
      <c r="Z71" s="5" t="str">
        <f>IF(B71=120,"NULL",IF(AND(V71="High Stress", W71="High Risk", Y71="Low"),"High Risk : Reject", IF(AND(V71="Healthy", W71="Good",Y71&lt;&gt;"Low"), "Low Risk : Approve", "Medium Risk : Review")))</f>
        <v>Medium Risk : Review</v>
      </c>
      <c r="AA71" s="5" t="str">
        <f t="shared" si="25"/>
        <v>Medium</v>
      </c>
    </row>
    <row r="72" spans="1:27" x14ac:dyDescent="0.2">
      <c r="A72">
        <v>25251</v>
      </c>
      <c r="B72">
        <v>36</v>
      </c>
      <c r="C72">
        <f t="shared" si="13"/>
        <v>36</v>
      </c>
      <c r="D72" t="s">
        <v>21</v>
      </c>
      <c r="E72" t="str">
        <f t="shared" si="14"/>
        <v>Salaried</v>
      </c>
      <c r="F72">
        <v>4879.1000000000004</v>
      </c>
      <c r="G72">
        <f>ABS(Table1[[#This Row],[Monthly_Income]])</f>
        <v>4879.1000000000004</v>
      </c>
      <c r="H72">
        <v>19994.919999999998</v>
      </c>
      <c r="I72" s="5">
        <f t="shared" si="15"/>
        <v>19994.919999999998</v>
      </c>
      <c r="J72">
        <v>48</v>
      </c>
      <c r="K72">
        <v>14.78</v>
      </c>
      <c r="L72">
        <v>4</v>
      </c>
      <c r="M72">
        <f t="shared" si="16"/>
        <v>4</v>
      </c>
      <c r="N72">
        <v>4</v>
      </c>
      <c r="O72">
        <f t="shared" si="17"/>
        <v>4</v>
      </c>
      <c r="P72">
        <v>0</v>
      </c>
      <c r="Q72">
        <f t="shared" si="18"/>
        <v>0</v>
      </c>
      <c r="R72" t="s">
        <v>13</v>
      </c>
      <c r="S72" t="str">
        <f t="shared" si="19"/>
        <v>Performing</v>
      </c>
      <c r="T72" t="s">
        <v>22</v>
      </c>
      <c r="U72" s="3">
        <f t="shared" si="20"/>
        <v>8.5376572182028099E-2</v>
      </c>
      <c r="V72" t="str">
        <f t="shared" si="21"/>
        <v>Healthy</v>
      </c>
      <c r="W72" t="str">
        <f t="shared" si="22"/>
        <v>Good</v>
      </c>
      <c r="X72" s="5" t="str">
        <f t="shared" si="23"/>
        <v>Medium</v>
      </c>
      <c r="Y72" s="5" t="str">
        <f t="shared" si="24"/>
        <v>High</v>
      </c>
      <c r="Z72" s="5" t="str">
        <f>IF(B72=120,"NULL",IF(AND(V72="High Stress", W72="High Risk", Y72="Low"),"High Risk : Reject", IF(AND(V72="Healthy", W72="Good",Y72&lt;&gt;"Low"), "Low Risk : Approve", "Medium Risk : Review")))</f>
        <v>Low Risk : Approve</v>
      </c>
      <c r="AA72" s="5" t="str">
        <f t="shared" si="25"/>
        <v>Medium</v>
      </c>
    </row>
    <row r="73" spans="1:27" x14ac:dyDescent="0.2">
      <c r="A73">
        <v>25204</v>
      </c>
      <c r="B73">
        <v>36</v>
      </c>
      <c r="C73">
        <f t="shared" si="13"/>
        <v>36</v>
      </c>
      <c r="D73" t="s">
        <v>21</v>
      </c>
      <c r="E73" t="str">
        <f t="shared" si="14"/>
        <v>Salaried</v>
      </c>
      <c r="F73">
        <v>3483.36</v>
      </c>
      <c r="G73">
        <f>ABS(Table1[[#This Row],[Monthly_Income]])</f>
        <v>3483.36</v>
      </c>
      <c r="H73">
        <v>9478.94</v>
      </c>
      <c r="I73" s="5">
        <f t="shared" si="15"/>
        <v>9478.94</v>
      </c>
      <c r="J73">
        <v>24</v>
      </c>
      <c r="K73">
        <v>17.39</v>
      </c>
      <c r="L73">
        <v>0</v>
      </c>
      <c r="M73">
        <f t="shared" si="16"/>
        <v>0</v>
      </c>
      <c r="N73">
        <v>8.8000000000000007</v>
      </c>
      <c r="O73">
        <f t="shared" si="17"/>
        <v>8.8000000000000007</v>
      </c>
      <c r="P73">
        <v>60</v>
      </c>
      <c r="Q73">
        <f t="shared" si="18"/>
        <v>60</v>
      </c>
      <c r="R73" t="s">
        <v>15</v>
      </c>
      <c r="S73" t="str">
        <f t="shared" si="19"/>
        <v xml:space="preserve">Performing </v>
      </c>
      <c r="T73" t="s">
        <v>16</v>
      </c>
      <c r="U73" s="3">
        <f t="shared" si="20"/>
        <v>0.1133835817524842</v>
      </c>
      <c r="V73" t="str">
        <f t="shared" si="21"/>
        <v>Healthy</v>
      </c>
      <c r="W73" t="str">
        <f t="shared" si="22"/>
        <v>High Risk</v>
      </c>
      <c r="X73" s="5" t="str">
        <f t="shared" si="23"/>
        <v>Small</v>
      </c>
      <c r="Y73" s="5" t="str">
        <f t="shared" si="24"/>
        <v>High</v>
      </c>
      <c r="Z73" s="5" t="str">
        <f>IF(B73=120,"NULL",IF(AND(V73="High Stress", W73="High Risk", Y73="Low"),"High Risk : Reject", IF(AND(V73="Healthy", W73="Good",Y73&lt;&gt;"Low"), "Low Risk : Approve", "Medium Risk : Review")))</f>
        <v>Medium Risk : Review</v>
      </c>
      <c r="AA73" s="5" t="str">
        <f t="shared" si="25"/>
        <v>Medium</v>
      </c>
    </row>
    <row r="74" spans="1:27" x14ac:dyDescent="0.2">
      <c r="A74">
        <v>24019</v>
      </c>
      <c r="B74">
        <v>22</v>
      </c>
      <c r="C74">
        <f t="shared" si="13"/>
        <v>22</v>
      </c>
      <c r="D74" t="s">
        <v>12</v>
      </c>
      <c r="E74" t="str">
        <f t="shared" si="14"/>
        <v>Self-Employed</v>
      </c>
      <c r="F74">
        <v>5803.94</v>
      </c>
      <c r="G74">
        <f>ABS(Table1[[#This Row],[Monthly_Income]])</f>
        <v>5803.94</v>
      </c>
      <c r="H74">
        <v>12124.47</v>
      </c>
      <c r="I74" s="5">
        <f t="shared" si="15"/>
        <v>12124.47</v>
      </c>
      <c r="J74">
        <v>24</v>
      </c>
      <c r="K74">
        <v>24.25</v>
      </c>
      <c r="L74">
        <v>2</v>
      </c>
      <c r="M74">
        <f t="shared" si="16"/>
        <v>2</v>
      </c>
      <c r="N74">
        <v>12.1</v>
      </c>
      <c r="O74">
        <f t="shared" si="17"/>
        <v>12.1</v>
      </c>
      <c r="P74">
        <v>0</v>
      </c>
      <c r="Q74">
        <f t="shared" si="18"/>
        <v>0</v>
      </c>
      <c r="R74" t="s">
        <v>20</v>
      </c>
      <c r="S74" t="str">
        <f t="shared" si="19"/>
        <v>Written Off</v>
      </c>
      <c r="T74" t="s">
        <v>25</v>
      </c>
      <c r="U74" s="3">
        <f t="shared" si="20"/>
        <v>8.7041949089756265E-2</v>
      </c>
      <c r="V74" t="str">
        <f t="shared" si="21"/>
        <v>Healthy</v>
      </c>
      <c r="W74" t="str">
        <f t="shared" si="22"/>
        <v>Good</v>
      </c>
      <c r="X74" s="5" t="str">
        <f t="shared" si="23"/>
        <v>Medium</v>
      </c>
      <c r="Y74" s="5" t="str">
        <f t="shared" si="24"/>
        <v>Medium</v>
      </c>
      <c r="Z74" s="5" t="str">
        <f>IF(B74=120,"NULL",IF(AND(V74="High Stress", W74="High Risk", Y74="Low"),"High Risk : Reject", IF(AND(V74="Healthy", W74="Good",Y74&lt;&gt;"Low"), "Low Risk : Approve", "Medium Risk : Review")))</f>
        <v>Low Risk : Approve</v>
      </c>
      <c r="AA74" s="5" t="str">
        <f t="shared" si="25"/>
        <v>Medium</v>
      </c>
    </row>
    <row r="75" spans="1:27" x14ac:dyDescent="0.2">
      <c r="A75">
        <v>24499</v>
      </c>
      <c r="B75">
        <v>28</v>
      </c>
      <c r="C75">
        <f t="shared" si="13"/>
        <v>28</v>
      </c>
      <c r="D75" t="s">
        <v>26</v>
      </c>
      <c r="E75" t="str">
        <f t="shared" si="14"/>
        <v>Salaried</v>
      </c>
      <c r="F75">
        <v>7207.77</v>
      </c>
      <c r="G75">
        <f>ABS(Table1[[#This Row],[Monthly_Income]])</f>
        <v>7207.77</v>
      </c>
      <c r="H75">
        <v>31458.36</v>
      </c>
      <c r="I75" s="5">
        <f t="shared" si="15"/>
        <v>31458.36</v>
      </c>
      <c r="J75">
        <v>6</v>
      </c>
      <c r="K75">
        <v>12.41</v>
      </c>
      <c r="L75">
        <v>1</v>
      </c>
      <c r="M75">
        <f t="shared" si="16"/>
        <v>1</v>
      </c>
      <c r="N75">
        <v>7.5</v>
      </c>
      <c r="O75">
        <f t="shared" si="17"/>
        <v>7.5</v>
      </c>
      <c r="P75">
        <v>30</v>
      </c>
      <c r="Q75">
        <f t="shared" si="18"/>
        <v>30</v>
      </c>
      <c r="R75" t="s">
        <v>24</v>
      </c>
      <c r="S75" t="str">
        <f t="shared" si="19"/>
        <v>Non-Performing</v>
      </c>
      <c r="T75" t="s">
        <v>14</v>
      </c>
      <c r="U75" s="3">
        <f t="shared" si="20"/>
        <v>0.72741777276466923</v>
      </c>
      <c r="V75" t="str">
        <f t="shared" si="21"/>
        <v>High Stress</v>
      </c>
      <c r="W75" t="str">
        <f t="shared" si="22"/>
        <v>At Risk</v>
      </c>
      <c r="X75" s="5" t="str">
        <f t="shared" si="23"/>
        <v>High</v>
      </c>
      <c r="Y75" s="5" t="str">
        <f t="shared" si="24"/>
        <v>High</v>
      </c>
      <c r="Z75" s="5" t="str">
        <f>IF(B75=120,"NULL",IF(AND(V75="High Stress", W75="High Risk", Y75="Low"),"High Risk : Reject", IF(AND(V75="Healthy", W75="Good",Y75&lt;&gt;"Low"), "Low Risk : Approve", "Medium Risk : Review")))</f>
        <v>Medium Risk : Review</v>
      </c>
      <c r="AA75" s="5" t="str">
        <f t="shared" si="25"/>
        <v>Medium</v>
      </c>
    </row>
    <row r="76" spans="1:27" x14ac:dyDescent="0.2">
      <c r="A76">
        <v>25752</v>
      </c>
      <c r="B76">
        <v>54</v>
      </c>
      <c r="C76">
        <f t="shared" si="13"/>
        <v>54</v>
      </c>
      <c r="D76" t="s">
        <v>27</v>
      </c>
      <c r="E76" t="str">
        <f t="shared" si="14"/>
        <v>Unemployed</v>
      </c>
      <c r="F76">
        <v>6811.46</v>
      </c>
      <c r="G76">
        <f>ABS(Table1[[#This Row],[Monthly_Income]])</f>
        <v>6811.46</v>
      </c>
      <c r="H76">
        <v>11020.03</v>
      </c>
      <c r="I76" s="5">
        <f t="shared" si="15"/>
        <v>11020.03</v>
      </c>
      <c r="J76">
        <v>36</v>
      </c>
      <c r="K76">
        <v>12.7</v>
      </c>
      <c r="L76">
        <v>0</v>
      </c>
      <c r="M76">
        <f t="shared" si="16"/>
        <v>0</v>
      </c>
      <c r="N76">
        <v>0.9</v>
      </c>
      <c r="O76">
        <f t="shared" si="17"/>
        <v>0.9</v>
      </c>
      <c r="Q76" t="str">
        <f t="shared" si="18"/>
        <v>NULL</v>
      </c>
      <c r="R76" t="s">
        <v>24</v>
      </c>
      <c r="S76" t="str">
        <f t="shared" si="19"/>
        <v>Non-Performing</v>
      </c>
      <c r="T76" t="s">
        <v>25</v>
      </c>
      <c r="U76" s="3">
        <f t="shared" si="20"/>
        <v>4.4940724080365216E-2</v>
      </c>
      <c r="V76" t="str">
        <f t="shared" si="21"/>
        <v>Healthy</v>
      </c>
      <c r="W76" t="str">
        <f t="shared" si="22"/>
        <v>NULL</v>
      </c>
      <c r="X76" s="5" t="str">
        <f t="shared" si="23"/>
        <v>Medium</v>
      </c>
      <c r="Y76" s="5" t="str">
        <f t="shared" si="24"/>
        <v>Low</v>
      </c>
      <c r="Z76" s="5" t="str">
        <f>IF(B76=120,"NULL",IF(AND(V76="High Stress", W76="High Risk", Y76="Low"),"High Risk : Reject", IF(AND(V76="Healthy", W76="Good",Y76&lt;&gt;"Low"), "Low Risk : Approve", "Medium Risk : Review")))</f>
        <v>Medium Risk : Review</v>
      </c>
      <c r="AA76" s="5" t="str">
        <f t="shared" si="25"/>
        <v>Medium</v>
      </c>
    </row>
    <row r="77" spans="1:27" x14ac:dyDescent="0.2">
      <c r="A77">
        <v>23652</v>
      </c>
      <c r="B77">
        <v>50</v>
      </c>
      <c r="C77">
        <f t="shared" si="13"/>
        <v>50</v>
      </c>
      <c r="D77" t="s">
        <v>27</v>
      </c>
      <c r="E77" t="str">
        <f t="shared" si="14"/>
        <v>Unemployed</v>
      </c>
      <c r="F77">
        <v>8580.98</v>
      </c>
      <c r="G77">
        <f>ABS(Table1[[#This Row],[Monthly_Income]])</f>
        <v>8580.98</v>
      </c>
      <c r="H77">
        <v>14914.3</v>
      </c>
      <c r="I77" s="5">
        <f t="shared" si="15"/>
        <v>14914.3</v>
      </c>
      <c r="J77">
        <v>48</v>
      </c>
      <c r="K77">
        <v>17.71</v>
      </c>
      <c r="L77">
        <v>1</v>
      </c>
      <c r="M77">
        <f t="shared" si="16"/>
        <v>1</v>
      </c>
      <c r="N77">
        <v>4.5999999999999996</v>
      </c>
      <c r="O77">
        <f t="shared" si="17"/>
        <v>4.5999999999999996</v>
      </c>
      <c r="P77">
        <v>60</v>
      </c>
      <c r="Q77">
        <f t="shared" si="18"/>
        <v>60</v>
      </c>
      <c r="R77" t="s">
        <v>15</v>
      </c>
      <c r="S77" t="str">
        <f t="shared" si="19"/>
        <v xml:space="preserve">Performing </v>
      </c>
      <c r="T77" t="s">
        <v>25</v>
      </c>
      <c r="U77" s="3">
        <f t="shared" si="20"/>
        <v>3.6209685063166831E-2</v>
      </c>
      <c r="V77" t="str">
        <f t="shared" si="21"/>
        <v>Healthy</v>
      </c>
      <c r="W77" t="str">
        <f t="shared" si="22"/>
        <v>High Risk</v>
      </c>
      <c r="X77" s="5" t="str">
        <f t="shared" si="23"/>
        <v>Medium</v>
      </c>
      <c r="Y77" s="5" t="str">
        <f t="shared" si="24"/>
        <v>Low</v>
      </c>
      <c r="Z77" s="5" t="str">
        <f>IF(B77=120,"NULL",IF(AND(V77="High Stress", W77="High Risk", Y77="Low"),"High Risk : Reject", IF(AND(V77="Healthy", W77="Good",Y77&lt;&gt;"Low"), "Low Risk : Approve", "Medium Risk : Review")))</f>
        <v>Medium Risk : Review</v>
      </c>
      <c r="AA77" s="5" t="str">
        <f t="shared" si="25"/>
        <v>High</v>
      </c>
    </row>
    <row r="78" spans="1:27" x14ac:dyDescent="0.2">
      <c r="A78">
        <v>20048</v>
      </c>
      <c r="B78">
        <v>47</v>
      </c>
      <c r="C78">
        <f t="shared" si="13"/>
        <v>47</v>
      </c>
      <c r="D78" t="s">
        <v>17</v>
      </c>
      <c r="E78" t="str">
        <f t="shared" si="14"/>
        <v>Contract</v>
      </c>
      <c r="F78">
        <v>8091.04</v>
      </c>
      <c r="G78">
        <f>ABS(Table1[[#This Row],[Monthly_Income]])</f>
        <v>8091.04</v>
      </c>
      <c r="H78">
        <v>39328.39</v>
      </c>
      <c r="I78" s="5">
        <f t="shared" si="15"/>
        <v>39328.39</v>
      </c>
      <c r="J78">
        <v>12</v>
      </c>
      <c r="K78">
        <v>16.28</v>
      </c>
      <c r="L78">
        <v>0</v>
      </c>
      <c r="M78">
        <f t="shared" si="16"/>
        <v>0</v>
      </c>
      <c r="N78">
        <v>9.3000000000000007</v>
      </c>
      <c r="O78">
        <f t="shared" si="17"/>
        <v>9.3000000000000007</v>
      </c>
      <c r="Q78" t="str">
        <f t="shared" si="18"/>
        <v>NULL</v>
      </c>
      <c r="R78" t="s">
        <v>18</v>
      </c>
      <c r="S78" t="str">
        <f t="shared" si="19"/>
        <v>Non-Performing</v>
      </c>
      <c r="T78" t="s">
        <v>25</v>
      </c>
      <c r="U78" s="3">
        <f t="shared" si="20"/>
        <v>0.40506113346780309</v>
      </c>
      <c r="V78" t="str">
        <f t="shared" si="21"/>
        <v>Stretched</v>
      </c>
      <c r="W78" t="str">
        <f t="shared" si="22"/>
        <v>NULL</v>
      </c>
      <c r="X78" s="5" t="str">
        <f t="shared" si="23"/>
        <v>High</v>
      </c>
      <c r="Y78" s="5" t="str">
        <f t="shared" si="24"/>
        <v>Low</v>
      </c>
      <c r="Z78" s="5" t="str">
        <f>IF(B78=120,"NULL",IF(AND(V78="High Stress", W78="High Risk", Y78="Low"),"High Risk : Reject", IF(AND(V78="Healthy", W78="Good",Y78&lt;&gt;"Low"), "Low Risk : Approve", "Medium Risk : Review")))</f>
        <v>Medium Risk : Review</v>
      </c>
      <c r="AA78" s="5" t="str">
        <f t="shared" si="25"/>
        <v>High</v>
      </c>
    </row>
    <row r="79" spans="1:27" x14ac:dyDescent="0.2">
      <c r="A79">
        <v>20785</v>
      </c>
      <c r="B79">
        <v>48</v>
      </c>
      <c r="C79">
        <f t="shared" si="13"/>
        <v>48</v>
      </c>
      <c r="D79" t="s">
        <v>26</v>
      </c>
      <c r="E79" t="str">
        <f t="shared" si="14"/>
        <v>Salaried</v>
      </c>
      <c r="F79">
        <v>7377.69</v>
      </c>
      <c r="G79">
        <f>ABS(Table1[[#This Row],[Monthly_Income]])</f>
        <v>7377.69</v>
      </c>
      <c r="H79">
        <v>35026.32</v>
      </c>
      <c r="I79" s="5">
        <f t="shared" si="15"/>
        <v>35026.32</v>
      </c>
      <c r="J79">
        <v>12</v>
      </c>
      <c r="K79">
        <v>10.63</v>
      </c>
      <c r="L79">
        <v>1</v>
      </c>
      <c r="M79">
        <f t="shared" si="16"/>
        <v>1</v>
      </c>
      <c r="N79">
        <v>8.6</v>
      </c>
      <c r="O79">
        <f t="shared" si="17"/>
        <v>8.6</v>
      </c>
      <c r="P79">
        <v>60</v>
      </c>
      <c r="Q79">
        <f t="shared" si="18"/>
        <v>60</v>
      </c>
      <c r="R79" t="s">
        <v>18</v>
      </c>
      <c r="S79" t="str">
        <f t="shared" si="19"/>
        <v>Non-Performing</v>
      </c>
      <c r="T79" t="s">
        <v>22</v>
      </c>
      <c r="U79" s="3">
        <f t="shared" si="20"/>
        <v>0.39563332154102437</v>
      </c>
      <c r="V79" t="str">
        <f t="shared" si="21"/>
        <v>Stretched</v>
      </c>
      <c r="W79" t="str">
        <f t="shared" si="22"/>
        <v>High Risk</v>
      </c>
      <c r="X79" s="5" t="str">
        <f t="shared" si="23"/>
        <v>High</v>
      </c>
      <c r="Y79" s="5" t="str">
        <f t="shared" si="24"/>
        <v>High</v>
      </c>
      <c r="Z79" s="5" t="str">
        <f>IF(B79=120,"NULL",IF(AND(V79="High Stress", W79="High Risk", Y79="Low"),"High Risk : Reject", IF(AND(V79="Healthy", W79="Good",Y79&lt;&gt;"Low"), "Low Risk : Approve", "Medium Risk : Review")))</f>
        <v>Medium Risk : Review</v>
      </c>
      <c r="AA79" s="5" t="str">
        <f t="shared" si="25"/>
        <v>Medium</v>
      </c>
    </row>
    <row r="80" spans="1:27" x14ac:dyDescent="0.2">
      <c r="A80">
        <v>20350</v>
      </c>
      <c r="B80">
        <v>120</v>
      </c>
      <c r="C80" t="str">
        <f t="shared" si="13"/>
        <v>NULL</v>
      </c>
      <c r="D80" t="s">
        <v>12</v>
      </c>
      <c r="E80" t="str">
        <f t="shared" si="14"/>
        <v>Self-Employed</v>
      </c>
      <c r="F80">
        <v>6437.08</v>
      </c>
      <c r="G80">
        <f>ABS(Table1[[#This Row],[Monthly_Income]])</f>
        <v>6437.08</v>
      </c>
      <c r="H80">
        <v>17336.11</v>
      </c>
      <c r="I80" s="5">
        <f t="shared" si="15"/>
        <v>17336.11</v>
      </c>
      <c r="J80">
        <v>12</v>
      </c>
      <c r="K80">
        <v>32.17</v>
      </c>
      <c r="L80">
        <v>1</v>
      </c>
      <c r="M80">
        <f t="shared" si="16"/>
        <v>1</v>
      </c>
      <c r="N80">
        <v>1.1000000000000001</v>
      </c>
      <c r="O80">
        <f t="shared" si="17"/>
        <v>1.1000000000000001</v>
      </c>
      <c r="P80">
        <v>90</v>
      </c>
      <c r="Q80">
        <f t="shared" si="18"/>
        <v>90</v>
      </c>
      <c r="R80" t="s">
        <v>13</v>
      </c>
      <c r="S80" t="str">
        <f t="shared" si="19"/>
        <v>Performing</v>
      </c>
      <c r="T80" t="s">
        <v>14</v>
      </c>
      <c r="U80" s="3">
        <f t="shared" si="20"/>
        <v>0.22443030587367774</v>
      </c>
      <c r="V80" t="str">
        <f t="shared" si="21"/>
        <v>Healthy</v>
      </c>
      <c r="W80" t="str">
        <f t="shared" si="22"/>
        <v>High Risk</v>
      </c>
      <c r="X80" s="5" t="str">
        <f t="shared" si="23"/>
        <v>Medium</v>
      </c>
      <c r="Y80" s="5" t="str">
        <f t="shared" si="24"/>
        <v>Medium</v>
      </c>
      <c r="Z80" s="5" t="str">
        <f>IF(B80=120,"NULL",IF(AND(V80="High Stress", W80="High Risk", Y80="Low"),"High Risk : Reject", IF(AND(V80="Healthy", W80="Good",Y80&lt;&gt;"Low"), "Low Risk : Approve", "Medium Risk : Review")))</f>
        <v>NULL</v>
      </c>
      <c r="AA80" s="5" t="str">
        <f t="shared" si="25"/>
        <v>Medium</v>
      </c>
    </row>
    <row r="81" spans="1:27" x14ac:dyDescent="0.2">
      <c r="A81">
        <v>22156</v>
      </c>
      <c r="B81">
        <v>35</v>
      </c>
      <c r="C81">
        <f t="shared" si="13"/>
        <v>35</v>
      </c>
      <c r="D81" t="s">
        <v>26</v>
      </c>
      <c r="E81" t="str">
        <f t="shared" si="14"/>
        <v>Salaried</v>
      </c>
      <c r="F81">
        <v>6076.99</v>
      </c>
      <c r="G81">
        <f>ABS(Table1[[#This Row],[Monthly_Income]])</f>
        <v>6076.99</v>
      </c>
      <c r="H81">
        <v>18302.310000000001</v>
      </c>
      <c r="I81" s="5">
        <f t="shared" si="15"/>
        <v>18302.310000000001</v>
      </c>
      <c r="J81">
        <v>36</v>
      </c>
      <c r="K81">
        <v>15.74</v>
      </c>
      <c r="L81">
        <v>1</v>
      </c>
      <c r="M81">
        <f t="shared" si="16"/>
        <v>1</v>
      </c>
      <c r="N81">
        <v>7.1</v>
      </c>
      <c r="O81">
        <f t="shared" si="17"/>
        <v>7.1</v>
      </c>
      <c r="P81">
        <v>0</v>
      </c>
      <c r="Q81">
        <f t="shared" si="18"/>
        <v>0</v>
      </c>
      <c r="R81" t="s">
        <v>13</v>
      </c>
      <c r="S81" t="str">
        <f t="shared" si="19"/>
        <v>Performing</v>
      </c>
      <c r="T81" t="s">
        <v>16</v>
      </c>
      <c r="U81" s="3">
        <f t="shared" si="20"/>
        <v>8.3659426788591076E-2</v>
      </c>
      <c r="V81" t="str">
        <f t="shared" si="21"/>
        <v>Healthy</v>
      </c>
      <c r="W81" t="str">
        <f t="shared" si="22"/>
        <v>Good</v>
      </c>
      <c r="X81" s="5" t="str">
        <f t="shared" si="23"/>
        <v>Medium</v>
      </c>
      <c r="Y81" s="5" t="str">
        <f t="shared" si="24"/>
        <v>High</v>
      </c>
      <c r="Z81" s="5" t="str">
        <f>IF(B81=120,"NULL",IF(AND(V81="High Stress", W81="High Risk", Y81="Low"),"High Risk : Reject", IF(AND(V81="Healthy", W81="Good",Y81&lt;&gt;"Low"), "Low Risk : Approve", "Medium Risk : Review")))</f>
        <v>Low Risk : Approve</v>
      </c>
      <c r="AA81" s="5" t="str">
        <f t="shared" si="25"/>
        <v>Medium</v>
      </c>
    </row>
    <row r="82" spans="1:27" x14ac:dyDescent="0.2">
      <c r="A82">
        <v>24490</v>
      </c>
      <c r="B82">
        <v>24</v>
      </c>
      <c r="C82">
        <f t="shared" si="13"/>
        <v>24</v>
      </c>
      <c r="D82" t="s">
        <v>23</v>
      </c>
      <c r="E82" t="str">
        <f t="shared" si="14"/>
        <v>Self-Employed</v>
      </c>
      <c r="F82">
        <v>3041.45</v>
      </c>
      <c r="G82">
        <f>ABS(Table1[[#This Row],[Monthly_Income]])</f>
        <v>3041.45</v>
      </c>
      <c r="H82">
        <v>17129.29</v>
      </c>
      <c r="I82" s="5">
        <f t="shared" si="15"/>
        <v>17129.29</v>
      </c>
      <c r="J82">
        <v>12</v>
      </c>
      <c r="K82">
        <v>14.03</v>
      </c>
      <c r="L82">
        <v>3</v>
      </c>
      <c r="M82">
        <f t="shared" si="16"/>
        <v>3</v>
      </c>
      <c r="N82">
        <v>5.5</v>
      </c>
      <c r="O82">
        <f t="shared" si="17"/>
        <v>5.5</v>
      </c>
      <c r="P82">
        <v>15</v>
      </c>
      <c r="Q82">
        <f t="shared" si="18"/>
        <v>15</v>
      </c>
      <c r="R82" t="s">
        <v>13</v>
      </c>
      <c r="S82" t="str">
        <f t="shared" si="19"/>
        <v>Performing</v>
      </c>
      <c r="T82" t="s">
        <v>19</v>
      </c>
      <c r="U82" s="3">
        <f t="shared" si="20"/>
        <v>0.46932904809657683</v>
      </c>
      <c r="V82" t="str">
        <f t="shared" si="21"/>
        <v>High Stress</v>
      </c>
      <c r="W82" t="str">
        <f t="shared" si="22"/>
        <v>Good</v>
      </c>
      <c r="X82" s="5" t="str">
        <f t="shared" si="23"/>
        <v>Medium</v>
      </c>
      <c r="Y82" s="5" t="str">
        <f t="shared" si="24"/>
        <v>Medium</v>
      </c>
      <c r="Z82" s="5" t="str">
        <f>IF(B82=120,"NULL",IF(AND(V82="High Stress", W82="High Risk", Y82="Low"),"High Risk : Reject", IF(AND(V82="Healthy", W82="Good",Y82&lt;&gt;"Low"), "Low Risk : Approve", "Medium Risk : Review")))</f>
        <v>Medium Risk : Review</v>
      </c>
      <c r="AA82" s="5" t="str">
        <f t="shared" si="25"/>
        <v>Medium</v>
      </c>
    </row>
    <row r="83" spans="1:27" x14ac:dyDescent="0.2">
      <c r="A83">
        <v>20845</v>
      </c>
      <c r="B83">
        <v>48</v>
      </c>
      <c r="C83">
        <f t="shared" si="13"/>
        <v>48</v>
      </c>
      <c r="D83" t="s">
        <v>26</v>
      </c>
      <c r="E83" t="str">
        <f t="shared" si="14"/>
        <v>Salaried</v>
      </c>
      <c r="F83">
        <v>3240.54</v>
      </c>
      <c r="G83">
        <f>ABS(Table1[[#This Row],[Monthly_Income]])</f>
        <v>3240.54</v>
      </c>
      <c r="H83">
        <v>19010.169999999998</v>
      </c>
      <c r="I83" s="5">
        <f t="shared" si="15"/>
        <v>19010.169999999998</v>
      </c>
      <c r="J83">
        <v>6</v>
      </c>
      <c r="K83">
        <v>18.04</v>
      </c>
      <c r="L83">
        <v>0</v>
      </c>
      <c r="M83">
        <f t="shared" si="16"/>
        <v>0</v>
      </c>
      <c r="N83">
        <v>10.8</v>
      </c>
      <c r="O83">
        <f t="shared" si="17"/>
        <v>10.8</v>
      </c>
      <c r="P83">
        <v>15</v>
      </c>
      <c r="Q83">
        <f t="shared" si="18"/>
        <v>15</v>
      </c>
      <c r="R83" t="s">
        <v>20</v>
      </c>
      <c r="S83" t="str">
        <f t="shared" si="19"/>
        <v>Written Off</v>
      </c>
      <c r="T83" t="s">
        <v>22</v>
      </c>
      <c r="U83" s="3">
        <f t="shared" si="20"/>
        <v>0.97772644888403371</v>
      </c>
      <c r="V83" t="str">
        <f t="shared" si="21"/>
        <v>High Stress</v>
      </c>
      <c r="W83" t="str">
        <f t="shared" si="22"/>
        <v>Good</v>
      </c>
      <c r="X83" s="5" t="str">
        <f t="shared" si="23"/>
        <v>Medium</v>
      </c>
      <c r="Y83" s="5" t="str">
        <f t="shared" si="24"/>
        <v>High</v>
      </c>
      <c r="Z83" s="5" t="str">
        <f>IF(B83=120,"NULL",IF(AND(V83="High Stress", W83="High Risk", Y83="Low"),"High Risk : Reject", IF(AND(V83="Healthy", W83="Good",Y83&lt;&gt;"Low"), "Low Risk : Approve", "Medium Risk : Review")))</f>
        <v>Medium Risk : Review</v>
      </c>
      <c r="AA83" s="5" t="str">
        <f t="shared" si="25"/>
        <v>Medium</v>
      </c>
    </row>
    <row r="84" spans="1:27" x14ac:dyDescent="0.2">
      <c r="A84">
        <v>25956</v>
      </c>
      <c r="B84">
        <v>37</v>
      </c>
      <c r="C84">
        <f t="shared" si="13"/>
        <v>37</v>
      </c>
      <c r="D84" t="s">
        <v>17</v>
      </c>
      <c r="E84" t="str">
        <f t="shared" si="14"/>
        <v>Contract</v>
      </c>
      <c r="F84">
        <v>7480.68</v>
      </c>
      <c r="G84">
        <f>ABS(Table1[[#This Row],[Monthly_Income]])</f>
        <v>7480.68</v>
      </c>
      <c r="H84">
        <v>460.9</v>
      </c>
      <c r="I84" s="5">
        <f t="shared" si="15"/>
        <v>460.9</v>
      </c>
      <c r="J84">
        <v>6</v>
      </c>
      <c r="K84">
        <v>10.24</v>
      </c>
      <c r="L84">
        <v>1</v>
      </c>
      <c r="M84">
        <f t="shared" si="16"/>
        <v>1</v>
      </c>
      <c r="N84">
        <v>10.3</v>
      </c>
      <c r="O84">
        <f t="shared" si="17"/>
        <v>10.3</v>
      </c>
      <c r="P84">
        <v>60</v>
      </c>
      <c r="Q84">
        <f t="shared" si="18"/>
        <v>60</v>
      </c>
      <c r="R84" t="s">
        <v>24</v>
      </c>
      <c r="S84" t="str">
        <f t="shared" si="19"/>
        <v>Non-Performing</v>
      </c>
      <c r="T84" t="s">
        <v>19</v>
      </c>
      <c r="U84" s="3">
        <f t="shared" si="20"/>
        <v>1.0268674327289319E-2</v>
      </c>
      <c r="V84" t="str">
        <f t="shared" si="21"/>
        <v>Healthy</v>
      </c>
      <c r="W84" t="str">
        <f t="shared" si="22"/>
        <v>High Risk</v>
      </c>
      <c r="X84" s="5" t="str">
        <f t="shared" si="23"/>
        <v>Small</v>
      </c>
      <c r="Y84" s="5" t="str">
        <f t="shared" si="24"/>
        <v>Low</v>
      </c>
      <c r="Z84" s="5" t="str">
        <f>IF(B84=120,"NULL",IF(AND(V84="High Stress", W84="High Risk", Y84="Low"),"High Risk : Reject", IF(AND(V84="Healthy", W84="Good",Y84&lt;&gt;"Low"), "Low Risk : Approve", "Medium Risk : Review")))</f>
        <v>Medium Risk : Review</v>
      </c>
      <c r="AA84" s="5" t="str">
        <f t="shared" si="25"/>
        <v>Medium</v>
      </c>
    </row>
    <row r="85" spans="1:27" x14ac:dyDescent="0.2">
      <c r="A85">
        <v>24719</v>
      </c>
      <c r="B85">
        <v>61</v>
      </c>
      <c r="C85">
        <f t="shared" si="13"/>
        <v>61</v>
      </c>
      <c r="D85" t="s">
        <v>21</v>
      </c>
      <c r="E85" t="str">
        <f t="shared" si="14"/>
        <v>Salaried</v>
      </c>
      <c r="F85">
        <v>4984.04</v>
      </c>
      <c r="G85">
        <f>ABS(Table1[[#This Row],[Monthly_Income]])</f>
        <v>4984.04</v>
      </c>
      <c r="H85">
        <v>12268.47</v>
      </c>
      <c r="I85" s="5">
        <f t="shared" si="15"/>
        <v>12268.47</v>
      </c>
      <c r="J85">
        <v>36</v>
      </c>
      <c r="K85">
        <v>17.690000000000001</v>
      </c>
      <c r="L85">
        <v>1</v>
      </c>
      <c r="M85">
        <f t="shared" si="16"/>
        <v>1</v>
      </c>
      <c r="N85">
        <v>7.4</v>
      </c>
      <c r="O85">
        <f t="shared" si="17"/>
        <v>7.4</v>
      </c>
      <c r="P85">
        <v>90</v>
      </c>
      <c r="Q85">
        <f t="shared" si="18"/>
        <v>90</v>
      </c>
      <c r="R85" t="s">
        <v>24</v>
      </c>
      <c r="S85" t="str">
        <f t="shared" si="19"/>
        <v>Non-Performing</v>
      </c>
      <c r="T85" t="s">
        <v>14</v>
      </c>
      <c r="U85" s="3">
        <f t="shared" si="20"/>
        <v>6.8376424212753778E-2</v>
      </c>
      <c r="V85" t="str">
        <f t="shared" si="21"/>
        <v>Healthy</v>
      </c>
      <c r="W85" t="str">
        <f t="shared" si="22"/>
        <v>High Risk</v>
      </c>
      <c r="X85" s="5" t="str">
        <f t="shared" si="23"/>
        <v>Medium</v>
      </c>
      <c r="Y85" s="5" t="str">
        <f t="shared" si="24"/>
        <v>High</v>
      </c>
      <c r="Z85" s="5" t="str">
        <f>IF(B85=120,"NULL",IF(AND(V85="High Stress", W85="High Risk", Y85="Low"),"High Risk : Reject", IF(AND(V85="Healthy", W85="Good",Y85&lt;&gt;"Low"), "Low Risk : Approve", "Medium Risk : Review")))</f>
        <v>Medium Risk : Review</v>
      </c>
      <c r="AA85" s="5" t="str">
        <f t="shared" si="25"/>
        <v>Medium</v>
      </c>
    </row>
    <row r="86" spans="1:27" x14ac:dyDescent="0.2">
      <c r="A86">
        <v>24751</v>
      </c>
      <c r="B86">
        <v>33</v>
      </c>
      <c r="C86">
        <f t="shared" si="13"/>
        <v>33</v>
      </c>
      <c r="D86" t="s">
        <v>17</v>
      </c>
      <c r="E86" t="str">
        <f t="shared" si="14"/>
        <v>Contract</v>
      </c>
      <c r="F86">
        <v>5506.43</v>
      </c>
      <c r="G86">
        <f>ABS(Table1[[#This Row],[Monthly_Income]])</f>
        <v>5506.43</v>
      </c>
      <c r="H86">
        <v>25934.36</v>
      </c>
      <c r="I86" s="5">
        <f t="shared" si="15"/>
        <v>25934.36</v>
      </c>
      <c r="J86">
        <v>18</v>
      </c>
      <c r="K86">
        <v>20.52</v>
      </c>
      <c r="L86">
        <v>4</v>
      </c>
      <c r="M86">
        <f t="shared" si="16"/>
        <v>4</v>
      </c>
      <c r="N86">
        <v>4.7</v>
      </c>
      <c r="O86">
        <f t="shared" si="17"/>
        <v>4.7</v>
      </c>
      <c r="Q86" t="str">
        <f t="shared" si="18"/>
        <v>NULL</v>
      </c>
      <c r="R86" t="s">
        <v>13</v>
      </c>
      <c r="S86" t="str">
        <f t="shared" si="19"/>
        <v>Performing</v>
      </c>
      <c r="T86" t="s">
        <v>22</v>
      </c>
      <c r="U86" s="3">
        <f t="shared" si="20"/>
        <v>0.26165733111612743</v>
      </c>
      <c r="V86" t="str">
        <f t="shared" si="21"/>
        <v>Healthy</v>
      </c>
      <c r="W86" t="str">
        <f t="shared" si="22"/>
        <v>NULL</v>
      </c>
      <c r="X86" s="5" t="str">
        <f t="shared" si="23"/>
        <v>Medium</v>
      </c>
      <c r="Y86" s="5" t="str">
        <f t="shared" si="24"/>
        <v>Low</v>
      </c>
      <c r="Z86" s="5" t="str">
        <f>IF(B86=120,"NULL",IF(AND(V86="High Stress", W86="High Risk", Y86="Low"),"High Risk : Reject", IF(AND(V86="Healthy", W86="Good",Y86&lt;&gt;"Low"), "Low Risk : Approve", "Medium Risk : Review")))</f>
        <v>Medium Risk : Review</v>
      </c>
      <c r="AA86" s="5" t="str">
        <f t="shared" si="25"/>
        <v>Medium</v>
      </c>
    </row>
    <row r="87" spans="1:27" x14ac:dyDescent="0.2">
      <c r="A87">
        <v>24733</v>
      </c>
      <c r="B87">
        <v>37</v>
      </c>
      <c r="C87">
        <f t="shared" si="13"/>
        <v>37</v>
      </c>
      <c r="D87" t="s">
        <v>21</v>
      </c>
      <c r="E87" t="str">
        <f t="shared" si="14"/>
        <v>Salaried</v>
      </c>
      <c r="F87">
        <v>847.56</v>
      </c>
      <c r="G87">
        <f>ABS(Table1[[#This Row],[Monthly_Income]])</f>
        <v>847.56</v>
      </c>
      <c r="H87">
        <v>-1966.89</v>
      </c>
      <c r="I87" s="5">
        <f t="shared" si="15"/>
        <v>1966.89</v>
      </c>
      <c r="J87">
        <v>12</v>
      </c>
      <c r="K87">
        <v>22.6</v>
      </c>
      <c r="L87">
        <v>1</v>
      </c>
      <c r="M87">
        <f t="shared" si="16"/>
        <v>1</v>
      </c>
      <c r="N87">
        <v>4.8</v>
      </c>
      <c r="O87">
        <f t="shared" si="17"/>
        <v>4.8</v>
      </c>
      <c r="P87">
        <v>30</v>
      </c>
      <c r="Q87">
        <f t="shared" si="18"/>
        <v>30</v>
      </c>
      <c r="R87" t="s">
        <v>24</v>
      </c>
      <c r="S87" t="str">
        <f t="shared" si="19"/>
        <v>Non-Performing</v>
      </c>
      <c r="T87" t="s">
        <v>22</v>
      </c>
      <c r="U87" s="3">
        <f t="shared" si="20"/>
        <v>0.19338748879135403</v>
      </c>
      <c r="V87" t="str">
        <f t="shared" si="21"/>
        <v>Healthy</v>
      </c>
      <c r="W87" t="str">
        <f t="shared" si="22"/>
        <v>At Risk</v>
      </c>
      <c r="X87" s="5" t="str">
        <f t="shared" si="23"/>
        <v>Small</v>
      </c>
      <c r="Y87" s="5" t="str">
        <f t="shared" si="24"/>
        <v>High</v>
      </c>
      <c r="Z87" s="5" t="str">
        <f>IF(B87=120,"NULL",IF(AND(V87="High Stress", W87="High Risk", Y87="Low"),"High Risk : Reject", IF(AND(V87="Healthy", W87="Good",Y87&lt;&gt;"Low"), "Low Risk : Approve", "Medium Risk : Review")))</f>
        <v>Medium Risk : Review</v>
      </c>
      <c r="AA87" s="5" t="str">
        <f t="shared" si="25"/>
        <v>Low</v>
      </c>
    </row>
    <row r="88" spans="1:27" x14ac:dyDescent="0.2">
      <c r="A88">
        <v>24373</v>
      </c>
      <c r="B88">
        <v>28</v>
      </c>
      <c r="C88">
        <f t="shared" si="13"/>
        <v>28</v>
      </c>
      <c r="D88" t="s">
        <v>21</v>
      </c>
      <c r="E88" t="str">
        <f t="shared" si="14"/>
        <v>Salaried</v>
      </c>
      <c r="F88">
        <v>4583.38</v>
      </c>
      <c r="G88">
        <f>ABS(Table1[[#This Row],[Monthly_Income]])</f>
        <v>4583.38</v>
      </c>
      <c r="H88">
        <v>15513.88</v>
      </c>
      <c r="I88" s="5">
        <f t="shared" si="15"/>
        <v>15513.88</v>
      </c>
      <c r="J88">
        <v>36</v>
      </c>
      <c r="K88">
        <v>32.14</v>
      </c>
      <c r="L88">
        <v>3</v>
      </c>
      <c r="M88">
        <f t="shared" si="16"/>
        <v>3</v>
      </c>
      <c r="N88">
        <v>3.7</v>
      </c>
      <c r="O88">
        <f t="shared" si="17"/>
        <v>3.7</v>
      </c>
      <c r="Q88" t="str">
        <f t="shared" si="18"/>
        <v>NULL</v>
      </c>
      <c r="R88" t="s">
        <v>13</v>
      </c>
      <c r="S88" t="str">
        <f t="shared" si="19"/>
        <v>Performing</v>
      </c>
      <c r="T88" t="s">
        <v>25</v>
      </c>
      <c r="U88" s="3">
        <f t="shared" si="20"/>
        <v>9.402255783092632E-2</v>
      </c>
      <c r="V88" t="str">
        <f t="shared" si="21"/>
        <v>Healthy</v>
      </c>
      <c r="W88" t="str">
        <f t="shared" si="22"/>
        <v>NULL</v>
      </c>
      <c r="X88" s="5" t="str">
        <f t="shared" si="23"/>
        <v>Medium</v>
      </c>
      <c r="Y88" s="5" t="str">
        <f t="shared" si="24"/>
        <v>High</v>
      </c>
      <c r="Z88" s="5" t="str">
        <f>IF(B88=120,"NULL",IF(AND(V88="High Stress", W88="High Risk", Y88="Low"),"High Risk : Reject", IF(AND(V88="Healthy", W88="Good",Y88&lt;&gt;"Low"), "Low Risk : Approve", "Medium Risk : Review")))</f>
        <v>Medium Risk : Review</v>
      </c>
      <c r="AA88" s="5" t="str">
        <f t="shared" si="25"/>
        <v>Medium</v>
      </c>
    </row>
    <row r="89" spans="1:27" x14ac:dyDescent="0.2">
      <c r="A89">
        <v>24406</v>
      </c>
      <c r="B89">
        <v>58</v>
      </c>
      <c r="C89">
        <f t="shared" si="13"/>
        <v>58</v>
      </c>
      <c r="D89" t="s">
        <v>12</v>
      </c>
      <c r="E89" t="str">
        <f t="shared" si="14"/>
        <v>Self-Employed</v>
      </c>
      <c r="F89">
        <v>9100.3799999999992</v>
      </c>
      <c r="G89">
        <f>ABS(Table1[[#This Row],[Monthly_Income]])</f>
        <v>9100.3799999999992</v>
      </c>
      <c r="H89">
        <v>16015.8</v>
      </c>
      <c r="I89" s="5">
        <f t="shared" si="15"/>
        <v>16015.8</v>
      </c>
      <c r="J89">
        <v>6</v>
      </c>
      <c r="K89">
        <v>22.82</v>
      </c>
      <c r="L89">
        <v>2</v>
      </c>
      <c r="M89">
        <f t="shared" si="16"/>
        <v>2</v>
      </c>
      <c r="N89">
        <v>5</v>
      </c>
      <c r="O89">
        <f t="shared" si="17"/>
        <v>5</v>
      </c>
      <c r="P89">
        <v>30</v>
      </c>
      <c r="Q89">
        <f t="shared" si="18"/>
        <v>30</v>
      </c>
      <c r="R89" t="s">
        <v>13</v>
      </c>
      <c r="S89" t="str">
        <f t="shared" si="19"/>
        <v>Performing</v>
      </c>
      <c r="T89" t="s">
        <v>14</v>
      </c>
      <c r="U89" s="3">
        <f t="shared" si="20"/>
        <v>0.29331742190985433</v>
      </c>
      <c r="V89" t="str">
        <f t="shared" si="21"/>
        <v>Healthy</v>
      </c>
      <c r="W89" t="str">
        <f t="shared" si="22"/>
        <v>At Risk</v>
      </c>
      <c r="X89" s="5" t="str">
        <f t="shared" si="23"/>
        <v>Medium</v>
      </c>
      <c r="Y89" s="5" t="str">
        <f t="shared" si="24"/>
        <v>Medium</v>
      </c>
      <c r="Z89" s="5" t="str">
        <f>IF(B89=120,"NULL",IF(AND(V89="High Stress", W89="High Risk", Y89="Low"),"High Risk : Reject", IF(AND(V89="Healthy", W89="Good",Y89&lt;&gt;"Low"), "Low Risk : Approve", "Medium Risk : Review")))</f>
        <v>Medium Risk : Review</v>
      </c>
      <c r="AA89" s="5" t="str">
        <f t="shared" si="25"/>
        <v>High</v>
      </c>
    </row>
    <row r="90" spans="1:27" x14ac:dyDescent="0.2">
      <c r="A90">
        <v>22045</v>
      </c>
      <c r="B90">
        <v>28</v>
      </c>
      <c r="C90">
        <f t="shared" si="13"/>
        <v>28</v>
      </c>
      <c r="D90" t="s">
        <v>23</v>
      </c>
      <c r="E90" t="str">
        <f t="shared" si="14"/>
        <v>Self-Employed</v>
      </c>
      <c r="F90">
        <v>-1500</v>
      </c>
      <c r="G90">
        <f>ABS(Table1[[#This Row],[Monthly_Income]])</f>
        <v>1500</v>
      </c>
      <c r="H90">
        <v>31032.75</v>
      </c>
      <c r="I90" s="5">
        <f t="shared" si="15"/>
        <v>31032.75</v>
      </c>
      <c r="J90">
        <v>12</v>
      </c>
      <c r="K90">
        <v>19.510000000000002</v>
      </c>
      <c r="L90">
        <v>3</v>
      </c>
      <c r="M90">
        <f t="shared" si="16"/>
        <v>3</v>
      </c>
      <c r="N90">
        <v>9.9</v>
      </c>
      <c r="O90">
        <f t="shared" si="17"/>
        <v>9.9</v>
      </c>
      <c r="P90">
        <v>120</v>
      </c>
      <c r="Q90">
        <f t="shared" si="18"/>
        <v>120</v>
      </c>
      <c r="R90" t="s">
        <v>13</v>
      </c>
      <c r="S90" t="str">
        <f t="shared" si="19"/>
        <v>Performing</v>
      </c>
      <c r="T90" t="s">
        <v>14</v>
      </c>
      <c r="U90" s="3">
        <f t="shared" si="20"/>
        <v>1.7240416666666667</v>
      </c>
      <c r="V90" t="str">
        <f t="shared" si="21"/>
        <v>High Stress</v>
      </c>
      <c r="W90" t="str">
        <f t="shared" si="22"/>
        <v>High Risk</v>
      </c>
      <c r="X90" s="5" t="str">
        <f t="shared" si="23"/>
        <v>High</v>
      </c>
      <c r="Y90" s="5" t="str">
        <f t="shared" si="24"/>
        <v>Medium</v>
      </c>
      <c r="Z90" s="5" t="str">
        <f>IF(B90=120,"NULL",IF(AND(V90="High Stress", W90="High Risk", Y90="Low"),"High Risk : Reject", IF(AND(V90="Healthy", W90="Good",Y90&lt;&gt;"Low"), "Low Risk : Approve", "Medium Risk : Review")))</f>
        <v>Medium Risk : Review</v>
      </c>
      <c r="AA90" s="5" t="str">
        <f t="shared" si="25"/>
        <v>Low</v>
      </c>
    </row>
    <row r="91" spans="1:27" x14ac:dyDescent="0.2">
      <c r="A91">
        <v>24924</v>
      </c>
      <c r="B91">
        <v>34</v>
      </c>
      <c r="C91">
        <f t="shared" si="13"/>
        <v>34</v>
      </c>
      <c r="D91" t="s">
        <v>21</v>
      </c>
      <c r="E91" t="str">
        <f t="shared" si="14"/>
        <v>Salaried</v>
      </c>
      <c r="F91">
        <v>5472.62</v>
      </c>
      <c r="G91">
        <f>ABS(Table1[[#This Row],[Monthly_Income]])</f>
        <v>5472.62</v>
      </c>
      <c r="H91">
        <v>24076.880000000001</v>
      </c>
      <c r="I91" s="5">
        <f t="shared" si="15"/>
        <v>24076.880000000001</v>
      </c>
      <c r="J91">
        <v>60</v>
      </c>
      <c r="K91">
        <v>16.16</v>
      </c>
      <c r="L91">
        <v>2</v>
      </c>
      <c r="M91">
        <f t="shared" si="16"/>
        <v>2</v>
      </c>
      <c r="N91">
        <v>12.7</v>
      </c>
      <c r="O91">
        <f t="shared" si="17"/>
        <v>12.7</v>
      </c>
      <c r="P91">
        <v>0</v>
      </c>
      <c r="Q91">
        <f t="shared" si="18"/>
        <v>0</v>
      </c>
      <c r="R91" t="s">
        <v>13</v>
      </c>
      <c r="S91" t="str">
        <f t="shared" si="19"/>
        <v>Performing</v>
      </c>
      <c r="T91" t="s">
        <v>16</v>
      </c>
      <c r="U91" s="3">
        <f t="shared" si="20"/>
        <v>7.332526894491731E-2</v>
      </c>
      <c r="V91" t="str">
        <f t="shared" si="21"/>
        <v>Healthy</v>
      </c>
      <c r="W91" t="str">
        <f t="shared" si="22"/>
        <v>Good</v>
      </c>
      <c r="X91" s="5" t="str">
        <f t="shared" si="23"/>
        <v>Medium</v>
      </c>
      <c r="Y91" s="5" t="str">
        <f t="shared" si="24"/>
        <v>High</v>
      </c>
      <c r="Z91" s="5" t="str">
        <f>IF(B91=120,"NULL",IF(AND(V91="High Stress", W91="High Risk", Y91="Low"),"High Risk : Reject", IF(AND(V91="Healthy", W91="Good",Y91&lt;&gt;"Low"), "Low Risk : Approve", "Medium Risk : Review")))</f>
        <v>Low Risk : Approve</v>
      </c>
      <c r="AA91" s="5" t="str">
        <f t="shared" si="25"/>
        <v>Medium</v>
      </c>
    </row>
    <row r="92" spans="1:27" x14ac:dyDescent="0.2">
      <c r="A92">
        <v>21841</v>
      </c>
      <c r="B92">
        <v>32</v>
      </c>
      <c r="C92">
        <f t="shared" si="13"/>
        <v>32</v>
      </c>
      <c r="D92" t="s">
        <v>27</v>
      </c>
      <c r="E92" t="str">
        <f t="shared" si="14"/>
        <v>Unemployed</v>
      </c>
      <c r="F92">
        <v>2355.0700000000002</v>
      </c>
      <c r="G92">
        <f>ABS(Table1[[#This Row],[Monthly_Income]])</f>
        <v>2355.0700000000002</v>
      </c>
      <c r="H92">
        <v>14586.28</v>
      </c>
      <c r="I92" s="5">
        <f t="shared" si="15"/>
        <v>14586.28</v>
      </c>
      <c r="J92">
        <v>6</v>
      </c>
      <c r="K92">
        <v>55</v>
      </c>
      <c r="L92">
        <v>2</v>
      </c>
      <c r="M92">
        <f t="shared" si="16"/>
        <v>2</v>
      </c>
      <c r="N92">
        <v>10.6</v>
      </c>
      <c r="O92">
        <f t="shared" si="17"/>
        <v>10.6</v>
      </c>
      <c r="P92">
        <v>0</v>
      </c>
      <c r="Q92">
        <f t="shared" si="18"/>
        <v>0</v>
      </c>
      <c r="R92" t="s">
        <v>24</v>
      </c>
      <c r="S92" t="str">
        <f t="shared" si="19"/>
        <v>Non-Performing</v>
      </c>
      <c r="T92" t="s">
        <v>14</v>
      </c>
      <c r="U92" s="3">
        <f t="shared" si="20"/>
        <v>1.0322608952883212</v>
      </c>
      <c r="V92" t="str">
        <f t="shared" si="21"/>
        <v>High Stress</v>
      </c>
      <c r="W92" t="str">
        <f t="shared" si="22"/>
        <v>Good</v>
      </c>
      <c r="X92" s="5" t="str">
        <f t="shared" si="23"/>
        <v>Medium</v>
      </c>
      <c r="Y92" s="5" t="str">
        <f t="shared" si="24"/>
        <v>Low</v>
      </c>
      <c r="Z92" s="5" t="str">
        <f>IF(B92=120,"NULL",IF(AND(V92="High Stress", W92="High Risk", Y92="Low"),"High Risk : Reject", IF(AND(V92="Healthy", W92="Good",Y92&lt;&gt;"Low"), "Low Risk : Approve", "Medium Risk : Review")))</f>
        <v>Medium Risk : Review</v>
      </c>
      <c r="AA92" s="5" t="str">
        <f t="shared" si="25"/>
        <v>Medium</v>
      </c>
    </row>
    <row r="93" spans="1:27" x14ac:dyDescent="0.2">
      <c r="A93">
        <v>22309</v>
      </c>
      <c r="B93">
        <v>39</v>
      </c>
      <c r="C93">
        <f t="shared" si="13"/>
        <v>39</v>
      </c>
      <c r="D93" t="s">
        <v>23</v>
      </c>
      <c r="E93" t="str">
        <f t="shared" si="14"/>
        <v>Self-Employed</v>
      </c>
      <c r="F93">
        <v>5628.26</v>
      </c>
      <c r="G93">
        <f>ABS(Table1[[#This Row],[Monthly_Income]])</f>
        <v>5628.26</v>
      </c>
      <c r="H93">
        <v>23886.78</v>
      </c>
      <c r="I93" s="5">
        <f t="shared" si="15"/>
        <v>23886.78</v>
      </c>
      <c r="J93">
        <v>60</v>
      </c>
      <c r="K93">
        <v>24.42</v>
      </c>
      <c r="L93">
        <v>1</v>
      </c>
      <c r="M93">
        <f t="shared" si="16"/>
        <v>1</v>
      </c>
      <c r="N93">
        <v>13</v>
      </c>
      <c r="O93">
        <f t="shared" si="17"/>
        <v>13</v>
      </c>
      <c r="P93">
        <v>90</v>
      </c>
      <c r="Q93">
        <f t="shared" si="18"/>
        <v>90</v>
      </c>
      <c r="R93" t="s">
        <v>15</v>
      </c>
      <c r="S93" t="str">
        <f t="shared" si="19"/>
        <v xml:space="preserve">Performing </v>
      </c>
      <c r="T93" t="s">
        <v>25</v>
      </c>
      <c r="U93" s="3">
        <f t="shared" si="20"/>
        <v>7.0734649785191145E-2</v>
      </c>
      <c r="V93" t="str">
        <f t="shared" si="21"/>
        <v>Healthy</v>
      </c>
      <c r="W93" t="str">
        <f t="shared" si="22"/>
        <v>High Risk</v>
      </c>
      <c r="X93" s="5" t="str">
        <f t="shared" si="23"/>
        <v>Medium</v>
      </c>
      <c r="Y93" s="5" t="str">
        <f t="shared" si="24"/>
        <v>Medium</v>
      </c>
      <c r="Z93" s="5" t="str">
        <f>IF(B93=120,"NULL",IF(AND(V93="High Stress", W93="High Risk", Y93="Low"),"High Risk : Reject", IF(AND(V93="Healthy", W93="Good",Y93&lt;&gt;"Low"), "Low Risk : Approve", "Medium Risk : Review")))</f>
        <v>Medium Risk : Review</v>
      </c>
      <c r="AA93" s="5" t="str">
        <f t="shared" si="25"/>
        <v>Medium</v>
      </c>
    </row>
    <row r="94" spans="1:27" x14ac:dyDescent="0.2">
      <c r="A94">
        <v>21836</v>
      </c>
      <c r="B94">
        <v>30</v>
      </c>
      <c r="C94">
        <f t="shared" si="13"/>
        <v>30</v>
      </c>
      <c r="D94" t="s">
        <v>26</v>
      </c>
      <c r="E94" t="str">
        <f t="shared" si="14"/>
        <v>Salaried</v>
      </c>
      <c r="F94">
        <v>5906.17</v>
      </c>
      <c r="G94">
        <f>ABS(Table1[[#This Row],[Monthly_Income]])</f>
        <v>5906.17</v>
      </c>
      <c r="H94">
        <v>15940.37</v>
      </c>
      <c r="I94" s="5">
        <f t="shared" si="15"/>
        <v>15940.37</v>
      </c>
      <c r="J94">
        <v>6</v>
      </c>
      <c r="K94">
        <v>15.48</v>
      </c>
      <c r="L94">
        <v>0</v>
      </c>
      <c r="M94">
        <f t="shared" si="16"/>
        <v>0</v>
      </c>
      <c r="N94">
        <v>5.3</v>
      </c>
      <c r="O94">
        <f t="shared" si="17"/>
        <v>5.3</v>
      </c>
      <c r="P94">
        <v>0</v>
      </c>
      <c r="Q94">
        <f t="shared" si="18"/>
        <v>0</v>
      </c>
      <c r="R94" t="s">
        <v>13</v>
      </c>
      <c r="S94" t="str">
        <f t="shared" si="19"/>
        <v>Performing</v>
      </c>
      <c r="T94" t="s">
        <v>16</v>
      </c>
      <c r="U94" s="3">
        <f t="shared" si="20"/>
        <v>0.4498225302240425</v>
      </c>
      <c r="V94" t="str">
        <f t="shared" si="21"/>
        <v>Stretched</v>
      </c>
      <c r="W94" t="str">
        <f t="shared" si="22"/>
        <v>Good</v>
      </c>
      <c r="X94" s="5" t="str">
        <f t="shared" si="23"/>
        <v>Medium</v>
      </c>
      <c r="Y94" s="5" t="str">
        <f t="shared" si="24"/>
        <v>High</v>
      </c>
      <c r="Z94" s="5" t="str">
        <f>IF(B94=120,"NULL",IF(AND(V94="High Stress", W94="High Risk", Y94="Low"),"High Risk : Reject", IF(AND(V94="Healthy", W94="Good",Y94&lt;&gt;"Low"), "Low Risk : Approve", "Medium Risk : Review")))</f>
        <v>Medium Risk : Review</v>
      </c>
      <c r="AA94" s="5" t="str">
        <f t="shared" si="25"/>
        <v>Medium</v>
      </c>
    </row>
    <row r="95" spans="1:27" x14ac:dyDescent="0.2">
      <c r="A95">
        <v>25595</v>
      </c>
      <c r="B95">
        <v>18</v>
      </c>
      <c r="C95">
        <f t="shared" si="13"/>
        <v>18</v>
      </c>
      <c r="D95" t="s">
        <v>23</v>
      </c>
      <c r="E95" t="str">
        <f t="shared" si="14"/>
        <v>Self-Employed</v>
      </c>
      <c r="F95">
        <v>8099.59</v>
      </c>
      <c r="G95">
        <f>ABS(Table1[[#This Row],[Monthly_Income]])</f>
        <v>8099.59</v>
      </c>
      <c r="H95">
        <v>25528.15</v>
      </c>
      <c r="I95" s="5">
        <f t="shared" si="15"/>
        <v>25528.15</v>
      </c>
      <c r="J95">
        <v>36</v>
      </c>
      <c r="K95">
        <v>24.16</v>
      </c>
      <c r="L95">
        <v>0</v>
      </c>
      <c r="M95">
        <f t="shared" si="16"/>
        <v>0</v>
      </c>
      <c r="N95">
        <v>6.1</v>
      </c>
      <c r="O95">
        <f t="shared" si="17"/>
        <v>6.1</v>
      </c>
      <c r="P95">
        <v>15</v>
      </c>
      <c r="Q95">
        <f t="shared" si="18"/>
        <v>15</v>
      </c>
      <c r="R95" t="s">
        <v>18</v>
      </c>
      <c r="S95" t="str">
        <f t="shared" si="19"/>
        <v>Non-Performing</v>
      </c>
      <c r="T95" t="s">
        <v>22</v>
      </c>
      <c r="U95" s="3">
        <f t="shared" si="20"/>
        <v>8.7549527541243177E-2</v>
      </c>
      <c r="V95" t="str">
        <f t="shared" si="21"/>
        <v>Healthy</v>
      </c>
      <c r="W95" t="str">
        <f t="shared" si="22"/>
        <v>Good</v>
      </c>
      <c r="X95" s="5" t="str">
        <f t="shared" si="23"/>
        <v>Medium</v>
      </c>
      <c r="Y95" s="5" t="str">
        <f t="shared" si="24"/>
        <v>Medium</v>
      </c>
      <c r="Z95" s="5" t="str">
        <f>IF(B95=120,"NULL",IF(AND(V95="High Stress", W95="High Risk", Y95="Low"),"High Risk : Reject", IF(AND(V95="Healthy", W95="Good",Y95&lt;&gt;"Low"), "Low Risk : Approve", "Medium Risk : Review")))</f>
        <v>Low Risk : Approve</v>
      </c>
      <c r="AA95" s="5" t="str">
        <f t="shared" si="25"/>
        <v>High</v>
      </c>
    </row>
    <row r="96" spans="1:27" x14ac:dyDescent="0.2">
      <c r="A96">
        <v>25883</v>
      </c>
      <c r="B96">
        <v>30</v>
      </c>
      <c r="C96">
        <f t="shared" si="13"/>
        <v>30</v>
      </c>
      <c r="D96" t="s">
        <v>27</v>
      </c>
      <c r="E96" t="str">
        <f t="shared" si="14"/>
        <v>Unemployed</v>
      </c>
      <c r="F96">
        <v>6732.65</v>
      </c>
      <c r="G96">
        <f>ABS(Table1[[#This Row],[Monthly_Income]])</f>
        <v>6732.65</v>
      </c>
      <c r="H96">
        <v>15047.75</v>
      </c>
      <c r="I96" s="5">
        <f t="shared" si="15"/>
        <v>15047.75</v>
      </c>
      <c r="J96">
        <v>18</v>
      </c>
      <c r="K96">
        <v>22.32</v>
      </c>
      <c r="L96">
        <v>2</v>
      </c>
      <c r="M96">
        <f t="shared" si="16"/>
        <v>2</v>
      </c>
      <c r="N96">
        <v>7.9</v>
      </c>
      <c r="O96">
        <f t="shared" si="17"/>
        <v>7.9</v>
      </c>
      <c r="P96">
        <v>0</v>
      </c>
      <c r="Q96">
        <f t="shared" si="18"/>
        <v>0</v>
      </c>
      <c r="R96" t="s">
        <v>13</v>
      </c>
      <c r="S96" t="str">
        <f t="shared" si="19"/>
        <v>Performing</v>
      </c>
      <c r="T96" t="s">
        <v>16</v>
      </c>
      <c r="U96" s="3">
        <f t="shared" si="20"/>
        <v>0.12416895444009582</v>
      </c>
      <c r="V96" t="str">
        <f t="shared" si="21"/>
        <v>Healthy</v>
      </c>
      <c r="W96" t="str">
        <f t="shared" si="22"/>
        <v>Good</v>
      </c>
      <c r="X96" s="5" t="str">
        <f t="shared" si="23"/>
        <v>Medium</v>
      </c>
      <c r="Y96" s="5" t="str">
        <f t="shared" si="24"/>
        <v>Low</v>
      </c>
      <c r="Z96" s="5" t="str">
        <f>IF(B96=120,"NULL",IF(AND(V96="High Stress", W96="High Risk", Y96="Low"),"High Risk : Reject", IF(AND(V96="Healthy", W96="Good",Y96&lt;&gt;"Low"), "Low Risk : Approve", "Medium Risk : Review")))</f>
        <v>Medium Risk : Review</v>
      </c>
      <c r="AA96" s="5" t="str">
        <f t="shared" si="25"/>
        <v>Medium</v>
      </c>
    </row>
    <row r="97" spans="1:27" x14ac:dyDescent="0.2">
      <c r="A97">
        <v>23639</v>
      </c>
      <c r="B97">
        <v>23</v>
      </c>
      <c r="C97">
        <f t="shared" si="13"/>
        <v>23</v>
      </c>
      <c r="D97" t="s">
        <v>21</v>
      </c>
      <c r="E97" t="str">
        <f t="shared" si="14"/>
        <v>Salaried</v>
      </c>
      <c r="F97">
        <v>3727.21</v>
      </c>
      <c r="G97">
        <f>ABS(Table1[[#This Row],[Monthly_Income]])</f>
        <v>3727.21</v>
      </c>
      <c r="H97">
        <v>31038.27</v>
      </c>
      <c r="I97" s="5">
        <f t="shared" si="15"/>
        <v>31038.27</v>
      </c>
      <c r="J97">
        <v>18</v>
      </c>
      <c r="K97">
        <v>19.920000000000002</v>
      </c>
      <c r="L97">
        <v>3</v>
      </c>
      <c r="M97">
        <f t="shared" si="16"/>
        <v>3</v>
      </c>
      <c r="N97">
        <v>13.3</v>
      </c>
      <c r="O97">
        <f t="shared" si="17"/>
        <v>13.3</v>
      </c>
      <c r="P97">
        <v>30</v>
      </c>
      <c r="Q97">
        <f t="shared" si="18"/>
        <v>30</v>
      </c>
      <c r="R97" t="s">
        <v>18</v>
      </c>
      <c r="S97" t="str">
        <f t="shared" si="19"/>
        <v>Non-Performing</v>
      </c>
      <c r="T97" t="s">
        <v>25</v>
      </c>
      <c r="U97" s="3">
        <f t="shared" si="20"/>
        <v>0.46263782650651114</v>
      </c>
      <c r="V97" t="str">
        <f t="shared" si="21"/>
        <v>High Stress</v>
      </c>
      <c r="W97" t="str">
        <f t="shared" si="22"/>
        <v>At Risk</v>
      </c>
      <c r="X97" s="5" t="str">
        <f t="shared" si="23"/>
        <v>High</v>
      </c>
      <c r="Y97" s="5" t="str">
        <f t="shared" si="24"/>
        <v>High</v>
      </c>
      <c r="Z97" s="5" t="str">
        <f>IF(B97=120,"NULL",IF(AND(V97="High Stress", W97="High Risk", Y97="Low"),"High Risk : Reject", IF(AND(V97="Healthy", W97="Good",Y97&lt;&gt;"Low"), "Low Risk : Approve", "Medium Risk : Review")))</f>
        <v>Medium Risk : Review</v>
      </c>
      <c r="AA97" s="5" t="str">
        <f t="shared" si="25"/>
        <v>Medium</v>
      </c>
    </row>
    <row r="98" spans="1:27" x14ac:dyDescent="0.2">
      <c r="A98">
        <v>23628</v>
      </c>
      <c r="B98">
        <v>54</v>
      </c>
      <c r="C98">
        <f t="shared" si="13"/>
        <v>54</v>
      </c>
      <c r="D98" t="s">
        <v>17</v>
      </c>
      <c r="E98" t="str">
        <f t="shared" si="14"/>
        <v>Contract</v>
      </c>
      <c r="F98">
        <v>3257.2</v>
      </c>
      <c r="G98">
        <f>ABS(Table1[[#This Row],[Monthly_Income]])</f>
        <v>3257.2</v>
      </c>
      <c r="H98">
        <v>33357.47</v>
      </c>
      <c r="I98" s="5">
        <f t="shared" si="15"/>
        <v>33357.47</v>
      </c>
      <c r="J98">
        <v>24</v>
      </c>
      <c r="K98">
        <v>20.07</v>
      </c>
      <c r="L98">
        <v>3</v>
      </c>
      <c r="M98">
        <f t="shared" si="16"/>
        <v>3</v>
      </c>
      <c r="N98">
        <v>12.8</v>
      </c>
      <c r="O98">
        <f t="shared" si="17"/>
        <v>12.8</v>
      </c>
      <c r="P98">
        <v>15</v>
      </c>
      <c r="Q98">
        <f t="shared" si="18"/>
        <v>15</v>
      </c>
      <c r="R98" t="s">
        <v>15</v>
      </c>
      <c r="S98" t="str">
        <f t="shared" si="19"/>
        <v xml:space="preserve">Performing </v>
      </c>
      <c r="T98" t="s">
        <v>25</v>
      </c>
      <c r="U98" s="3">
        <f t="shared" si="20"/>
        <v>0.42671453497891859</v>
      </c>
      <c r="V98" t="str">
        <f t="shared" si="21"/>
        <v>Stretched</v>
      </c>
      <c r="W98" t="str">
        <f t="shared" si="22"/>
        <v>Good</v>
      </c>
      <c r="X98" s="5" t="str">
        <f t="shared" si="23"/>
        <v>High</v>
      </c>
      <c r="Y98" s="5" t="str">
        <f t="shared" si="24"/>
        <v>Low</v>
      </c>
      <c r="Z98" s="5" t="str">
        <f>IF(B98=120,"NULL",IF(AND(V98="High Stress", W98="High Risk", Y98="Low"),"High Risk : Reject", IF(AND(V98="Healthy", W98="Good",Y98&lt;&gt;"Low"), "Low Risk : Approve", "Medium Risk : Review")))</f>
        <v>Medium Risk : Review</v>
      </c>
      <c r="AA98" s="5" t="str">
        <f t="shared" si="25"/>
        <v>Medium</v>
      </c>
    </row>
    <row r="99" spans="1:27" x14ac:dyDescent="0.2">
      <c r="A99">
        <v>23288</v>
      </c>
      <c r="B99">
        <v>25</v>
      </c>
      <c r="C99">
        <f t="shared" si="13"/>
        <v>25</v>
      </c>
      <c r="D99" t="s">
        <v>17</v>
      </c>
      <c r="E99" t="str">
        <f t="shared" si="14"/>
        <v>Contract</v>
      </c>
      <c r="F99">
        <v>4454.2700000000004</v>
      </c>
      <c r="G99">
        <f>ABS(Table1[[#This Row],[Monthly_Income]])</f>
        <v>4454.2700000000004</v>
      </c>
      <c r="H99">
        <v>21227.79</v>
      </c>
      <c r="I99" s="5">
        <f t="shared" si="15"/>
        <v>21227.79</v>
      </c>
      <c r="J99">
        <v>60</v>
      </c>
      <c r="K99">
        <v>22.84</v>
      </c>
      <c r="L99">
        <v>2</v>
      </c>
      <c r="M99">
        <f t="shared" si="16"/>
        <v>2</v>
      </c>
      <c r="N99">
        <v>4.2</v>
      </c>
      <c r="O99">
        <f t="shared" si="17"/>
        <v>4.2</v>
      </c>
      <c r="P99">
        <v>120</v>
      </c>
      <c r="Q99">
        <f t="shared" si="18"/>
        <v>120</v>
      </c>
      <c r="R99" t="s">
        <v>24</v>
      </c>
      <c r="S99" t="str">
        <f t="shared" si="19"/>
        <v>Non-Performing</v>
      </c>
      <c r="T99" t="s">
        <v>19</v>
      </c>
      <c r="U99" s="3">
        <f t="shared" si="20"/>
        <v>7.9428615687868048E-2</v>
      </c>
      <c r="V99" t="str">
        <f t="shared" si="21"/>
        <v>Healthy</v>
      </c>
      <c r="W99" t="str">
        <f t="shared" si="22"/>
        <v>High Risk</v>
      </c>
      <c r="X99" s="5" t="str">
        <f t="shared" si="23"/>
        <v>Medium</v>
      </c>
      <c r="Y99" s="5" t="str">
        <f t="shared" si="24"/>
        <v>Low</v>
      </c>
      <c r="Z99" s="5" t="str">
        <f>IF(B99=120,"NULL",IF(AND(V99="High Stress", W99="High Risk", Y99="Low"),"High Risk : Reject", IF(AND(V99="Healthy", W99="Good",Y99&lt;&gt;"Low"), "Low Risk : Approve", "Medium Risk : Review")))</f>
        <v>Medium Risk : Review</v>
      </c>
      <c r="AA99" s="5" t="str">
        <f t="shared" si="25"/>
        <v>Medium</v>
      </c>
    </row>
    <row r="100" spans="1:27" x14ac:dyDescent="0.2">
      <c r="A100">
        <v>20974</v>
      </c>
      <c r="B100">
        <v>23</v>
      </c>
      <c r="C100">
        <f t="shared" si="13"/>
        <v>23</v>
      </c>
      <c r="D100" t="s">
        <v>17</v>
      </c>
      <c r="E100" t="str">
        <f t="shared" si="14"/>
        <v>Contract</v>
      </c>
      <c r="F100">
        <v>-1500</v>
      </c>
      <c r="G100">
        <f>ABS(Table1[[#This Row],[Monthly_Income]])</f>
        <v>1500</v>
      </c>
      <c r="H100">
        <v>13147.44</v>
      </c>
      <c r="I100" s="5">
        <f t="shared" si="15"/>
        <v>13147.44</v>
      </c>
      <c r="J100">
        <v>12</v>
      </c>
      <c r="K100">
        <v>17.809999999999999</v>
      </c>
      <c r="L100">
        <v>0</v>
      </c>
      <c r="M100">
        <f t="shared" si="16"/>
        <v>0</v>
      </c>
      <c r="N100">
        <v>12.4</v>
      </c>
      <c r="O100">
        <f t="shared" si="17"/>
        <v>12.4</v>
      </c>
      <c r="P100">
        <v>15</v>
      </c>
      <c r="Q100">
        <f t="shared" si="18"/>
        <v>15</v>
      </c>
      <c r="R100" t="s">
        <v>18</v>
      </c>
      <c r="S100" t="str">
        <f t="shared" si="19"/>
        <v>Non-Performing</v>
      </c>
      <c r="T100" t="s">
        <v>14</v>
      </c>
      <c r="U100" s="3">
        <f t="shared" si="20"/>
        <v>0.73041333333333336</v>
      </c>
      <c r="V100" t="str">
        <f t="shared" si="21"/>
        <v>High Stress</v>
      </c>
      <c r="W100" t="str">
        <f t="shared" si="22"/>
        <v>Good</v>
      </c>
      <c r="X100" s="5" t="str">
        <f t="shared" si="23"/>
        <v>Medium</v>
      </c>
      <c r="Y100" s="5" t="str">
        <f t="shared" si="24"/>
        <v>Low</v>
      </c>
      <c r="Z100" s="5" t="str">
        <f>IF(B100=120,"NULL",IF(AND(V100="High Stress", W100="High Risk", Y100="Low"),"High Risk : Reject", IF(AND(V100="Healthy", W100="Good",Y100&lt;&gt;"Low"), "Low Risk : Approve", "Medium Risk : Review")))</f>
        <v>Medium Risk : Review</v>
      </c>
      <c r="AA100" s="5" t="str">
        <f t="shared" si="25"/>
        <v>Low</v>
      </c>
    </row>
    <row r="101" spans="1:27" x14ac:dyDescent="0.2">
      <c r="A101">
        <v>24136</v>
      </c>
      <c r="B101">
        <v>51</v>
      </c>
      <c r="C101">
        <f t="shared" si="13"/>
        <v>51</v>
      </c>
      <c r="D101" t="s">
        <v>26</v>
      </c>
      <c r="E101" t="str">
        <f t="shared" si="14"/>
        <v>Salaried</v>
      </c>
      <c r="F101">
        <v>6247.75</v>
      </c>
      <c r="G101">
        <f>ABS(Table1[[#This Row],[Monthly_Income]])</f>
        <v>6247.75</v>
      </c>
      <c r="H101">
        <v>18702.88</v>
      </c>
      <c r="I101" s="5">
        <f t="shared" si="15"/>
        <v>18702.88</v>
      </c>
      <c r="J101">
        <v>24</v>
      </c>
      <c r="K101">
        <v>19.82</v>
      </c>
      <c r="L101">
        <v>3</v>
      </c>
      <c r="M101">
        <f t="shared" si="16"/>
        <v>3</v>
      </c>
      <c r="N101">
        <v>15</v>
      </c>
      <c r="O101">
        <f t="shared" si="17"/>
        <v>15</v>
      </c>
      <c r="Q101" t="str">
        <f t="shared" si="18"/>
        <v>NULL</v>
      </c>
      <c r="R101" t="s">
        <v>20</v>
      </c>
      <c r="S101" t="str">
        <f t="shared" si="19"/>
        <v>Written Off</v>
      </c>
      <c r="T101" t="s">
        <v>19</v>
      </c>
      <c r="U101" s="3">
        <f t="shared" si="20"/>
        <v>0.12473076974377444</v>
      </c>
      <c r="V101" t="str">
        <f t="shared" si="21"/>
        <v>Healthy</v>
      </c>
      <c r="W101" t="str">
        <f t="shared" si="22"/>
        <v>NULL</v>
      </c>
      <c r="X101" s="5" t="str">
        <f t="shared" si="23"/>
        <v>Medium</v>
      </c>
      <c r="Y101" s="5" t="str">
        <f t="shared" si="24"/>
        <v>High</v>
      </c>
      <c r="Z101" s="5" t="str">
        <f>IF(B101=120,"NULL",IF(AND(V101="High Stress", W101="High Risk", Y101="Low"),"High Risk : Reject", IF(AND(V101="Healthy", W101="Good",Y101&lt;&gt;"Low"), "Low Risk : Approve", "Medium Risk : Review")))</f>
        <v>Medium Risk : Review</v>
      </c>
      <c r="AA101" s="5" t="str">
        <f t="shared" si="25"/>
        <v>Medium</v>
      </c>
    </row>
    <row r="102" spans="1:27" x14ac:dyDescent="0.2">
      <c r="A102">
        <v>21156</v>
      </c>
      <c r="B102">
        <v>45</v>
      </c>
      <c r="C102">
        <f t="shared" si="13"/>
        <v>45</v>
      </c>
      <c r="D102" t="s">
        <v>21</v>
      </c>
      <c r="E102" t="str">
        <f t="shared" si="14"/>
        <v>Salaried</v>
      </c>
      <c r="F102">
        <v>6325.57</v>
      </c>
      <c r="G102">
        <f>ABS(Table1[[#This Row],[Monthly_Income]])</f>
        <v>6325.57</v>
      </c>
      <c r="H102">
        <v>41445.599999999999</v>
      </c>
      <c r="I102" s="5">
        <f t="shared" si="15"/>
        <v>41445.599999999999</v>
      </c>
      <c r="J102">
        <v>18</v>
      </c>
      <c r="K102">
        <v>12.72</v>
      </c>
      <c r="L102">
        <v>1</v>
      </c>
      <c r="M102">
        <f t="shared" si="16"/>
        <v>1</v>
      </c>
      <c r="N102">
        <v>9.3000000000000007</v>
      </c>
      <c r="O102">
        <f t="shared" si="17"/>
        <v>9.3000000000000007</v>
      </c>
      <c r="P102">
        <v>0</v>
      </c>
      <c r="Q102">
        <f t="shared" si="18"/>
        <v>0</v>
      </c>
      <c r="R102" t="s">
        <v>24</v>
      </c>
      <c r="S102" t="str">
        <f t="shared" si="19"/>
        <v>Non-Performing</v>
      </c>
      <c r="T102" t="s">
        <v>16</v>
      </c>
      <c r="U102" s="3">
        <f t="shared" si="20"/>
        <v>0.36400408711520593</v>
      </c>
      <c r="V102" t="str">
        <f t="shared" si="21"/>
        <v>Stretched</v>
      </c>
      <c r="W102" t="str">
        <f t="shared" si="22"/>
        <v>Good</v>
      </c>
      <c r="X102" s="5" t="str">
        <f t="shared" si="23"/>
        <v>High</v>
      </c>
      <c r="Y102" s="5" t="str">
        <f t="shared" si="24"/>
        <v>High</v>
      </c>
      <c r="Z102" s="5" t="str">
        <f>IF(B102=120,"NULL",IF(AND(V102="High Stress", W102="High Risk", Y102="Low"),"High Risk : Reject", IF(AND(V102="Healthy", W102="Good",Y102&lt;&gt;"Low"), "Low Risk : Approve", "Medium Risk : Review")))</f>
        <v>Medium Risk : Review</v>
      </c>
      <c r="AA102" s="5" t="str">
        <f t="shared" si="25"/>
        <v>Medium</v>
      </c>
    </row>
    <row r="103" spans="1:27" x14ac:dyDescent="0.2">
      <c r="A103">
        <v>23486</v>
      </c>
      <c r="B103">
        <v>26</v>
      </c>
      <c r="C103">
        <f t="shared" si="13"/>
        <v>26</v>
      </c>
      <c r="D103" t="s">
        <v>12</v>
      </c>
      <c r="E103" t="str">
        <f t="shared" si="14"/>
        <v>Self-Employed</v>
      </c>
      <c r="F103">
        <v>4325</v>
      </c>
      <c r="G103">
        <f>ABS(Table1[[#This Row],[Monthly_Income]])</f>
        <v>4325</v>
      </c>
      <c r="H103">
        <v>25483.99</v>
      </c>
      <c r="I103" s="5">
        <f t="shared" si="15"/>
        <v>25483.99</v>
      </c>
      <c r="J103">
        <v>36</v>
      </c>
      <c r="K103">
        <v>16.11</v>
      </c>
      <c r="L103">
        <v>2</v>
      </c>
      <c r="M103">
        <f t="shared" si="16"/>
        <v>2</v>
      </c>
      <c r="N103">
        <v>8.6</v>
      </c>
      <c r="O103">
        <f t="shared" si="17"/>
        <v>8.6</v>
      </c>
      <c r="P103">
        <v>60</v>
      </c>
      <c r="Q103">
        <f t="shared" si="18"/>
        <v>60</v>
      </c>
      <c r="R103" t="s">
        <v>18</v>
      </c>
      <c r="S103" t="str">
        <f t="shared" si="19"/>
        <v>Non-Performing</v>
      </c>
      <c r="T103" t="s">
        <v>16</v>
      </c>
      <c r="U103" s="3">
        <f t="shared" si="20"/>
        <v>0.16367366730892743</v>
      </c>
      <c r="V103" t="str">
        <f t="shared" si="21"/>
        <v>Healthy</v>
      </c>
      <c r="W103" t="str">
        <f t="shared" si="22"/>
        <v>High Risk</v>
      </c>
      <c r="X103" s="5" t="str">
        <f t="shared" si="23"/>
        <v>Medium</v>
      </c>
      <c r="Y103" s="5" t="str">
        <f t="shared" si="24"/>
        <v>Medium</v>
      </c>
      <c r="Z103" s="5" t="str">
        <f>IF(B103=120,"NULL",IF(AND(V103="High Stress", W103="High Risk", Y103="Low"),"High Risk : Reject", IF(AND(V103="Healthy", W103="Good",Y103&lt;&gt;"Low"), "Low Risk : Approve", "Medium Risk : Review")))</f>
        <v>Medium Risk : Review</v>
      </c>
      <c r="AA103" s="5" t="str">
        <f t="shared" si="25"/>
        <v>Medium</v>
      </c>
    </row>
    <row r="104" spans="1:27" x14ac:dyDescent="0.2">
      <c r="A104">
        <v>24557</v>
      </c>
      <c r="B104">
        <v>23</v>
      </c>
      <c r="C104">
        <f t="shared" si="13"/>
        <v>23</v>
      </c>
      <c r="D104" t="s">
        <v>12</v>
      </c>
      <c r="E104" t="str">
        <f t="shared" si="14"/>
        <v>Self-Employed</v>
      </c>
      <c r="F104">
        <v>3972.73</v>
      </c>
      <c r="G104">
        <f>ABS(Table1[[#This Row],[Monthly_Income]])</f>
        <v>3972.73</v>
      </c>
      <c r="H104">
        <v>25733.64</v>
      </c>
      <c r="I104" s="5">
        <f t="shared" si="15"/>
        <v>25733.64</v>
      </c>
      <c r="J104">
        <v>6</v>
      </c>
      <c r="K104">
        <v>19.84</v>
      </c>
      <c r="L104">
        <v>0</v>
      </c>
      <c r="M104">
        <f t="shared" si="16"/>
        <v>0</v>
      </c>
      <c r="N104">
        <v>5.5</v>
      </c>
      <c r="O104">
        <f t="shared" si="17"/>
        <v>5.5</v>
      </c>
      <c r="P104">
        <v>90</v>
      </c>
      <c r="Q104">
        <f t="shared" si="18"/>
        <v>90</v>
      </c>
      <c r="R104" t="s">
        <v>18</v>
      </c>
      <c r="S104" t="str">
        <f t="shared" si="19"/>
        <v>Non-Performing</v>
      </c>
      <c r="T104" t="s">
        <v>16</v>
      </c>
      <c r="U104" s="3">
        <f t="shared" si="20"/>
        <v>1.0795951398660366</v>
      </c>
      <c r="V104" t="str">
        <f t="shared" si="21"/>
        <v>High Stress</v>
      </c>
      <c r="W104" t="str">
        <f t="shared" si="22"/>
        <v>High Risk</v>
      </c>
      <c r="X104" s="5" t="str">
        <f t="shared" si="23"/>
        <v>Medium</v>
      </c>
      <c r="Y104" s="5" t="str">
        <f t="shared" si="24"/>
        <v>Medium</v>
      </c>
      <c r="Z104" s="5" t="str">
        <f>IF(B104=120,"NULL",IF(AND(V104="High Stress", W104="High Risk", Y104="Low"),"High Risk : Reject", IF(AND(V104="Healthy", W104="Good",Y104&lt;&gt;"Low"), "Low Risk : Approve", "Medium Risk : Review")))</f>
        <v>Medium Risk : Review</v>
      </c>
      <c r="AA104" s="5" t="str">
        <f t="shared" si="25"/>
        <v>Medium</v>
      </c>
    </row>
    <row r="105" spans="1:27" x14ac:dyDescent="0.2">
      <c r="A105">
        <v>22896</v>
      </c>
      <c r="B105">
        <v>29</v>
      </c>
      <c r="C105">
        <f t="shared" si="13"/>
        <v>29</v>
      </c>
      <c r="D105" t="s">
        <v>17</v>
      </c>
      <c r="E105" t="str">
        <f t="shared" si="14"/>
        <v>Contract</v>
      </c>
      <c r="F105">
        <v>4724.8100000000004</v>
      </c>
      <c r="G105">
        <f>ABS(Table1[[#This Row],[Monthly_Income]])</f>
        <v>4724.8100000000004</v>
      </c>
      <c r="H105">
        <v>13863.31</v>
      </c>
      <c r="I105" s="5">
        <f t="shared" si="15"/>
        <v>13863.31</v>
      </c>
      <c r="J105">
        <v>24</v>
      </c>
      <c r="K105">
        <v>14.3</v>
      </c>
      <c r="L105">
        <v>3</v>
      </c>
      <c r="M105">
        <f t="shared" si="16"/>
        <v>3</v>
      </c>
      <c r="N105">
        <v>5.4</v>
      </c>
      <c r="O105">
        <f t="shared" si="17"/>
        <v>5.4</v>
      </c>
      <c r="P105">
        <v>60</v>
      </c>
      <c r="Q105">
        <f t="shared" si="18"/>
        <v>60</v>
      </c>
      <c r="R105" t="s">
        <v>20</v>
      </c>
      <c r="S105" t="str">
        <f t="shared" si="19"/>
        <v>Written Off</v>
      </c>
      <c r="T105" t="s">
        <v>22</v>
      </c>
      <c r="U105" s="3">
        <f t="shared" si="20"/>
        <v>0.12225632706218169</v>
      </c>
      <c r="V105" t="str">
        <f t="shared" si="21"/>
        <v>Healthy</v>
      </c>
      <c r="W105" t="str">
        <f t="shared" si="22"/>
        <v>High Risk</v>
      </c>
      <c r="X105" s="5" t="str">
        <f t="shared" si="23"/>
        <v>Medium</v>
      </c>
      <c r="Y105" s="5" t="str">
        <f t="shared" si="24"/>
        <v>Low</v>
      </c>
      <c r="Z105" s="5" t="str">
        <f>IF(B105=120,"NULL",IF(AND(V105="High Stress", W105="High Risk", Y105="Low"),"High Risk : Reject", IF(AND(V105="Healthy", W105="Good",Y105&lt;&gt;"Low"), "Low Risk : Approve", "Medium Risk : Review")))</f>
        <v>Medium Risk : Review</v>
      </c>
      <c r="AA105" s="5" t="str">
        <f t="shared" si="25"/>
        <v>Medium</v>
      </c>
    </row>
    <row r="106" spans="1:27" x14ac:dyDescent="0.2">
      <c r="A106">
        <v>23721</v>
      </c>
      <c r="B106">
        <v>23</v>
      </c>
      <c r="C106">
        <f t="shared" si="13"/>
        <v>23</v>
      </c>
      <c r="D106" t="s">
        <v>27</v>
      </c>
      <c r="E106" t="str">
        <f t="shared" si="14"/>
        <v>Unemployed</v>
      </c>
      <c r="F106">
        <v>5304.77</v>
      </c>
      <c r="G106">
        <f>ABS(Table1[[#This Row],[Monthly_Income]])</f>
        <v>5304.77</v>
      </c>
      <c r="H106">
        <v>28647.14</v>
      </c>
      <c r="I106" s="5">
        <f t="shared" si="15"/>
        <v>28647.14</v>
      </c>
      <c r="J106">
        <v>6</v>
      </c>
      <c r="K106">
        <v>19.079999999999998</v>
      </c>
      <c r="L106">
        <v>1</v>
      </c>
      <c r="M106">
        <f t="shared" si="16"/>
        <v>1</v>
      </c>
      <c r="N106">
        <v>4.7</v>
      </c>
      <c r="O106">
        <f t="shared" si="17"/>
        <v>4.7</v>
      </c>
      <c r="P106">
        <v>60</v>
      </c>
      <c r="Q106">
        <f t="shared" si="18"/>
        <v>60</v>
      </c>
      <c r="R106" t="s">
        <v>15</v>
      </c>
      <c r="S106" t="str">
        <f t="shared" si="19"/>
        <v xml:space="preserve">Performing </v>
      </c>
      <c r="T106" t="s">
        <v>22</v>
      </c>
      <c r="U106" s="3">
        <f t="shared" si="20"/>
        <v>0.90004342004145943</v>
      </c>
      <c r="V106" t="str">
        <f t="shared" si="21"/>
        <v>High Stress</v>
      </c>
      <c r="W106" t="str">
        <f t="shared" si="22"/>
        <v>High Risk</v>
      </c>
      <c r="X106" s="5" t="str">
        <f t="shared" si="23"/>
        <v>Medium</v>
      </c>
      <c r="Y106" s="5" t="str">
        <f t="shared" si="24"/>
        <v>Low</v>
      </c>
      <c r="Z106" s="5" t="str">
        <f>IF(B106=120,"NULL",IF(AND(V106="High Stress", W106="High Risk", Y106="Low"),"High Risk : Reject", IF(AND(V106="Healthy", W106="Good",Y106&lt;&gt;"Low"), "Low Risk : Approve", "Medium Risk : Review")))</f>
        <v>High Risk : Reject</v>
      </c>
      <c r="AA106" s="5" t="str">
        <f t="shared" si="25"/>
        <v>Medium</v>
      </c>
    </row>
    <row r="107" spans="1:27" x14ac:dyDescent="0.2">
      <c r="A107">
        <v>20567</v>
      </c>
      <c r="B107">
        <v>45</v>
      </c>
      <c r="C107">
        <f t="shared" si="13"/>
        <v>45</v>
      </c>
      <c r="D107" t="s">
        <v>17</v>
      </c>
      <c r="E107" t="str">
        <f t="shared" si="14"/>
        <v>Contract</v>
      </c>
      <c r="F107">
        <v>3328.91</v>
      </c>
      <c r="G107">
        <f>ABS(Table1[[#This Row],[Monthly_Income]])</f>
        <v>3328.91</v>
      </c>
      <c r="H107">
        <v>23118.61</v>
      </c>
      <c r="I107" s="5">
        <f t="shared" si="15"/>
        <v>23118.61</v>
      </c>
      <c r="J107">
        <v>48</v>
      </c>
      <c r="K107">
        <v>18.37</v>
      </c>
      <c r="L107">
        <v>0</v>
      </c>
      <c r="M107">
        <f t="shared" si="16"/>
        <v>0</v>
      </c>
      <c r="N107">
        <v>6.6</v>
      </c>
      <c r="O107">
        <f t="shared" si="17"/>
        <v>6.6</v>
      </c>
      <c r="P107">
        <v>60</v>
      </c>
      <c r="Q107">
        <f t="shared" si="18"/>
        <v>60</v>
      </c>
      <c r="R107" t="s">
        <v>18</v>
      </c>
      <c r="S107" t="str">
        <f t="shared" si="19"/>
        <v>Non-Performing</v>
      </c>
      <c r="T107" t="s">
        <v>19</v>
      </c>
      <c r="U107" s="3">
        <f t="shared" si="20"/>
        <v>0.14468330724871906</v>
      </c>
      <c r="V107" t="str">
        <f t="shared" si="21"/>
        <v>Healthy</v>
      </c>
      <c r="W107" t="str">
        <f t="shared" si="22"/>
        <v>High Risk</v>
      </c>
      <c r="X107" s="5" t="str">
        <f t="shared" si="23"/>
        <v>Medium</v>
      </c>
      <c r="Y107" s="5" t="str">
        <f t="shared" si="24"/>
        <v>Low</v>
      </c>
      <c r="Z107" s="5" t="str">
        <f>IF(B107=120,"NULL",IF(AND(V107="High Stress", W107="High Risk", Y107="Low"),"High Risk : Reject", IF(AND(V107="Healthy", W107="Good",Y107&lt;&gt;"Low"), "Low Risk : Approve", "Medium Risk : Review")))</f>
        <v>Medium Risk : Review</v>
      </c>
      <c r="AA107" s="5" t="str">
        <f t="shared" si="25"/>
        <v>Medium</v>
      </c>
    </row>
    <row r="108" spans="1:27" x14ac:dyDescent="0.2">
      <c r="A108">
        <v>24775</v>
      </c>
      <c r="B108">
        <v>45</v>
      </c>
      <c r="C108">
        <f t="shared" si="13"/>
        <v>45</v>
      </c>
      <c r="D108" t="s">
        <v>27</v>
      </c>
      <c r="E108" t="str">
        <f t="shared" si="14"/>
        <v>Unemployed</v>
      </c>
      <c r="F108">
        <v>8517.17</v>
      </c>
      <c r="G108">
        <f>ABS(Table1[[#This Row],[Monthly_Income]])</f>
        <v>8517.17</v>
      </c>
      <c r="H108">
        <v>24400.5</v>
      </c>
      <c r="I108" s="5">
        <f t="shared" si="15"/>
        <v>24400.5</v>
      </c>
      <c r="J108">
        <v>18</v>
      </c>
      <c r="K108">
        <v>13.65</v>
      </c>
      <c r="M108" t="str">
        <f t="shared" si="16"/>
        <v>NULL</v>
      </c>
      <c r="N108">
        <v>7.9</v>
      </c>
      <c r="O108">
        <f t="shared" si="17"/>
        <v>7.9</v>
      </c>
      <c r="P108">
        <v>0</v>
      </c>
      <c r="Q108">
        <f t="shared" si="18"/>
        <v>0</v>
      </c>
      <c r="R108" t="s">
        <v>18</v>
      </c>
      <c r="S108" t="str">
        <f t="shared" si="19"/>
        <v>Non-Performing</v>
      </c>
      <c r="T108" t="s">
        <v>22</v>
      </c>
      <c r="U108" s="3">
        <f t="shared" si="20"/>
        <v>0.15915889119664553</v>
      </c>
      <c r="V108" t="str">
        <f t="shared" si="21"/>
        <v>Healthy</v>
      </c>
      <c r="W108" t="str">
        <f t="shared" si="22"/>
        <v>Good</v>
      </c>
      <c r="X108" s="5" t="str">
        <f t="shared" si="23"/>
        <v>Medium</v>
      </c>
      <c r="Y108" s="5" t="str">
        <f t="shared" si="24"/>
        <v>Low</v>
      </c>
      <c r="Z108" s="5" t="str">
        <f>IF(B108=120,"NULL",IF(AND(V108="High Stress", W108="High Risk", Y108="Low"),"High Risk : Reject", IF(AND(V108="Healthy", W108="Good",Y108&lt;&gt;"Low"), "Low Risk : Approve", "Medium Risk : Review")))</f>
        <v>Medium Risk : Review</v>
      </c>
      <c r="AA108" s="5" t="str">
        <f t="shared" si="25"/>
        <v>High</v>
      </c>
    </row>
    <row r="109" spans="1:27" x14ac:dyDescent="0.2">
      <c r="A109">
        <v>20374</v>
      </c>
      <c r="B109">
        <v>120</v>
      </c>
      <c r="C109" t="str">
        <f t="shared" si="13"/>
        <v>NULL</v>
      </c>
      <c r="D109" t="s">
        <v>26</v>
      </c>
      <c r="E109" t="str">
        <f t="shared" si="14"/>
        <v>Salaried</v>
      </c>
      <c r="F109">
        <v>6143.01</v>
      </c>
      <c r="G109">
        <f>ABS(Table1[[#This Row],[Monthly_Income]])</f>
        <v>6143.01</v>
      </c>
      <c r="H109"/>
      <c r="I109" s="5" t="str">
        <f t="shared" si="15"/>
        <v>NULL</v>
      </c>
      <c r="J109">
        <v>36</v>
      </c>
      <c r="K109">
        <v>22.5</v>
      </c>
      <c r="L109">
        <v>2</v>
      </c>
      <c r="M109">
        <f t="shared" si="16"/>
        <v>2</v>
      </c>
      <c r="N109">
        <v>12.7</v>
      </c>
      <c r="O109">
        <f t="shared" si="17"/>
        <v>12.7</v>
      </c>
      <c r="P109">
        <v>0</v>
      </c>
      <c r="Q109">
        <f t="shared" si="18"/>
        <v>0</v>
      </c>
      <c r="R109" t="s">
        <v>24</v>
      </c>
      <c r="S109" t="str">
        <f t="shared" si="19"/>
        <v>Non-Performing</v>
      </c>
      <c r="T109" t="s">
        <v>16</v>
      </c>
      <c r="U109" s="3" t="str">
        <f t="shared" si="20"/>
        <v>NULL</v>
      </c>
      <c r="V109" t="str">
        <f t="shared" si="21"/>
        <v>NULL</v>
      </c>
      <c r="W109" t="str">
        <f t="shared" si="22"/>
        <v>Good</v>
      </c>
      <c r="X109" s="5" t="str">
        <f t="shared" si="23"/>
        <v>High</v>
      </c>
      <c r="Y109" s="5" t="str">
        <f t="shared" si="24"/>
        <v>High</v>
      </c>
      <c r="Z109" s="5" t="str">
        <f>IF(B109=120,"NULL",IF(AND(V109="High Stress", W109="High Risk", Y109="Low"),"High Risk : Reject", IF(AND(V109="Healthy", W109="Good",Y109&lt;&gt;"Low"), "Low Risk : Approve", "Medium Risk : Review")))</f>
        <v>NULL</v>
      </c>
      <c r="AA109" s="5" t="str">
        <f t="shared" si="25"/>
        <v>Medium</v>
      </c>
    </row>
    <row r="110" spans="1:27" x14ac:dyDescent="0.2">
      <c r="A110">
        <v>22759</v>
      </c>
      <c r="B110">
        <v>59</v>
      </c>
      <c r="C110">
        <f t="shared" si="13"/>
        <v>59</v>
      </c>
      <c r="D110" t="s">
        <v>12</v>
      </c>
      <c r="E110" t="str">
        <f t="shared" si="14"/>
        <v>Self-Employed</v>
      </c>
      <c r="F110">
        <v>-1500</v>
      </c>
      <c r="G110">
        <f>ABS(Table1[[#This Row],[Monthly_Income]])</f>
        <v>1500</v>
      </c>
      <c r="H110">
        <v>297.49</v>
      </c>
      <c r="I110" s="5">
        <f t="shared" si="15"/>
        <v>297.49</v>
      </c>
      <c r="J110">
        <v>48</v>
      </c>
      <c r="K110">
        <v>26.1</v>
      </c>
      <c r="M110" t="str">
        <f t="shared" si="16"/>
        <v>NULL</v>
      </c>
      <c r="N110">
        <v>-0.7</v>
      </c>
      <c r="O110">
        <f t="shared" si="17"/>
        <v>0.7</v>
      </c>
      <c r="P110">
        <v>90</v>
      </c>
      <c r="Q110">
        <f t="shared" si="18"/>
        <v>90</v>
      </c>
      <c r="R110" t="s">
        <v>20</v>
      </c>
      <c r="S110" t="str">
        <f t="shared" si="19"/>
        <v>Written Off</v>
      </c>
      <c r="T110" t="s">
        <v>16</v>
      </c>
      <c r="U110" s="3">
        <f t="shared" si="20"/>
        <v>4.1318055555555561E-3</v>
      </c>
      <c r="V110" t="str">
        <f t="shared" si="21"/>
        <v>Healthy</v>
      </c>
      <c r="W110" t="str">
        <f t="shared" si="22"/>
        <v>High Risk</v>
      </c>
      <c r="X110" s="5" t="str">
        <f t="shared" si="23"/>
        <v>Small</v>
      </c>
      <c r="Y110" s="5" t="str">
        <f t="shared" si="24"/>
        <v>Medium</v>
      </c>
      <c r="Z110" s="5" t="str">
        <f>IF(B110=120,"NULL",IF(AND(V110="High Stress", W110="High Risk", Y110="Low"),"High Risk : Reject", IF(AND(V110="Healthy", W110="Good",Y110&lt;&gt;"Low"), "Low Risk : Approve", "Medium Risk : Review")))</f>
        <v>Medium Risk : Review</v>
      </c>
      <c r="AA110" s="5" t="str">
        <f t="shared" si="25"/>
        <v>Low</v>
      </c>
    </row>
    <row r="111" spans="1:27" x14ac:dyDescent="0.2">
      <c r="A111">
        <v>23734</v>
      </c>
      <c r="B111">
        <v>31</v>
      </c>
      <c r="C111">
        <f t="shared" si="13"/>
        <v>31</v>
      </c>
      <c r="D111" t="s">
        <v>23</v>
      </c>
      <c r="E111" t="str">
        <f t="shared" si="14"/>
        <v>Self-Employed</v>
      </c>
      <c r="F111">
        <v>4595.24</v>
      </c>
      <c r="G111">
        <f>ABS(Table1[[#This Row],[Monthly_Income]])</f>
        <v>4595.24</v>
      </c>
      <c r="H111">
        <v>31350.61</v>
      </c>
      <c r="I111" s="5">
        <f t="shared" si="15"/>
        <v>31350.61</v>
      </c>
      <c r="J111">
        <v>48</v>
      </c>
      <c r="K111">
        <v>27.01</v>
      </c>
      <c r="L111">
        <v>0</v>
      </c>
      <c r="M111">
        <f t="shared" si="16"/>
        <v>0</v>
      </c>
      <c r="N111">
        <v>9.6999999999999993</v>
      </c>
      <c r="O111">
        <f t="shared" si="17"/>
        <v>9.6999999999999993</v>
      </c>
      <c r="P111">
        <v>0</v>
      </c>
      <c r="Q111">
        <f t="shared" si="18"/>
        <v>0</v>
      </c>
      <c r="R111" t="s">
        <v>15</v>
      </c>
      <c r="S111" t="str">
        <f t="shared" si="19"/>
        <v xml:space="preserve">Performing </v>
      </c>
      <c r="T111" t="s">
        <v>19</v>
      </c>
      <c r="U111" s="3">
        <f t="shared" si="20"/>
        <v>0.14213353564413031</v>
      </c>
      <c r="V111" t="str">
        <f t="shared" si="21"/>
        <v>Healthy</v>
      </c>
      <c r="W111" t="str">
        <f t="shared" si="22"/>
        <v>Good</v>
      </c>
      <c r="X111" s="5" t="str">
        <f t="shared" si="23"/>
        <v>High</v>
      </c>
      <c r="Y111" s="5" t="str">
        <f t="shared" si="24"/>
        <v>Medium</v>
      </c>
      <c r="Z111" s="5" t="str">
        <f>IF(B111=120,"NULL",IF(AND(V111="High Stress", W111="High Risk", Y111="Low"),"High Risk : Reject", IF(AND(V111="Healthy", W111="Good",Y111&lt;&gt;"Low"), "Low Risk : Approve", "Medium Risk : Review")))</f>
        <v>Low Risk : Approve</v>
      </c>
      <c r="AA111" s="5" t="str">
        <f t="shared" si="25"/>
        <v>Medium</v>
      </c>
    </row>
    <row r="112" spans="1:27" x14ac:dyDescent="0.2">
      <c r="A112">
        <v>24141</v>
      </c>
      <c r="B112">
        <v>46</v>
      </c>
      <c r="C112">
        <f t="shared" si="13"/>
        <v>46</v>
      </c>
      <c r="D112" t="s">
        <v>26</v>
      </c>
      <c r="E112" t="str">
        <f t="shared" si="14"/>
        <v>Salaried</v>
      </c>
      <c r="F112">
        <v>7616.98</v>
      </c>
      <c r="G112">
        <f>ABS(Table1[[#This Row],[Monthly_Income]])</f>
        <v>7616.98</v>
      </c>
      <c r="H112">
        <v>22317.71</v>
      </c>
      <c r="I112" s="5">
        <f t="shared" si="15"/>
        <v>22317.71</v>
      </c>
      <c r="J112">
        <v>48</v>
      </c>
      <c r="K112">
        <v>13.21</v>
      </c>
      <c r="L112">
        <v>4</v>
      </c>
      <c r="M112">
        <f t="shared" si="16"/>
        <v>4</v>
      </c>
      <c r="N112">
        <v>8</v>
      </c>
      <c r="O112">
        <f t="shared" si="17"/>
        <v>8</v>
      </c>
      <c r="P112">
        <v>90</v>
      </c>
      <c r="Q112">
        <f t="shared" si="18"/>
        <v>90</v>
      </c>
      <c r="R112" t="s">
        <v>18</v>
      </c>
      <c r="S112" t="str">
        <f t="shared" si="19"/>
        <v>Non-Performing</v>
      </c>
      <c r="T112" t="s">
        <v>19</v>
      </c>
      <c r="U112" s="3">
        <f t="shared" si="20"/>
        <v>6.1041553432812833E-2</v>
      </c>
      <c r="V112" t="str">
        <f t="shared" si="21"/>
        <v>Healthy</v>
      </c>
      <c r="W112" t="str">
        <f t="shared" si="22"/>
        <v>High Risk</v>
      </c>
      <c r="X112" s="5" t="str">
        <f t="shared" si="23"/>
        <v>Medium</v>
      </c>
      <c r="Y112" s="5" t="str">
        <f t="shared" si="24"/>
        <v>High</v>
      </c>
      <c r="Z112" s="5" t="str">
        <f>IF(B112=120,"NULL",IF(AND(V112="High Stress", W112="High Risk", Y112="Low"),"High Risk : Reject", IF(AND(V112="Healthy", W112="Good",Y112&lt;&gt;"Low"), "Low Risk : Approve", "Medium Risk : Review")))</f>
        <v>Medium Risk : Review</v>
      </c>
      <c r="AA112" s="5" t="str">
        <f t="shared" si="25"/>
        <v>Medium</v>
      </c>
    </row>
    <row r="113" spans="1:27" x14ac:dyDescent="0.2">
      <c r="A113">
        <v>23036</v>
      </c>
      <c r="B113">
        <v>28</v>
      </c>
      <c r="C113">
        <f t="shared" si="13"/>
        <v>28</v>
      </c>
      <c r="D113" t="s">
        <v>27</v>
      </c>
      <c r="E113" t="str">
        <f t="shared" si="14"/>
        <v>Unemployed</v>
      </c>
      <c r="F113">
        <v>7845.85</v>
      </c>
      <c r="G113">
        <f>ABS(Table1[[#This Row],[Monthly_Income]])</f>
        <v>7845.85</v>
      </c>
      <c r="H113">
        <v>17895.46</v>
      </c>
      <c r="I113" s="5">
        <f t="shared" si="15"/>
        <v>17895.46</v>
      </c>
      <c r="J113">
        <v>36</v>
      </c>
      <c r="K113">
        <v>20.76</v>
      </c>
      <c r="M113" t="str">
        <f t="shared" si="16"/>
        <v>NULL</v>
      </c>
      <c r="N113">
        <v>4.2</v>
      </c>
      <c r="O113">
        <f t="shared" si="17"/>
        <v>4.2</v>
      </c>
      <c r="P113">
        <v>0</v>
      </c>
      <c r="Q113">
        <f t="shared" si="18"/>
        <v>0</v>
      </c>
      <c r="R113" t="s">
        <v>13</v>
      </c>
      <c r="S113" t="str">
        <f t="shared" si="19"/>
        <v>Performing</v>
      </c>
      <c r="T113" t="s">
        <v>16</v>
      </c>
      <c r="U113" s="3">
        <f t="shared" si="20"/>
        <v>6.3357840273662008E-2</v>
      </c>
      <c r="V113" t="str">
        <f t="shared" si="21"/>
        <v>Healthy</v>
      </c>
      <c r="W113" t="str">
        <f t="shared" si="22"/>
        <v>Good</v>
      </c>
      <c r="X113" s="5" t="str">
        <f t="shared" si="23"/>
        <v>Medium</v>
      </c>
      <c r="Y113" s="5" t="str">
        <f t="shared" si="24"/>
        <v>Low</v>
      </c>
      <c r="Z113" s="5" t="str">
        <f>IF(B113=120,"NULL",IF(AND(V113="High Stress", W113="High Risk", Y113="Low"),"High Risk : Reject", IF(AND(V113="Healthy", W113="Good",Y113&lt;&gt;"Low"), "Low Risk : Approve", "Medium Risk : Review")))</f>
        <v>Medium Risk : Review</v>
      </c>
      <c r="AA113" s="5" t="str">
        <f t="shared" si="25"/>
        <v>Medium</v>
      </c>
    </row>
    <row r="114" spans="1:27" x14ac:dyDescent="0.2">
      <c r="A114">
        <v>20648</v>
      </c>
      <c r="B114">
        <v>44</v>
      </c>
      <c r="C114">
        <f t="shared" si="13"/>
        <v>44</v>
      </c>
      <c r="D114" t="s">
        <v>17</v>
      </c>
      <c r="E114" t="str">
        <f t="shared" si="14"/>
        <v>Contract</v>
      </c>
      <c r="F114">
        <v>4735.26</v>
      </c>
      <c r="G114">
        <f>ABS(Table1[[#This Row],[Monthly_Income]])</f>
        <v>4735.26</v>
      </c>
      <c r="H114">
        <v>27789.91</v>
      </c>
      <c r="I114" s="5">
        <f t="shared" si="15"/>
        <v>27789.91</v>
      </c>
      <c r="J114">
        <v>18</v>
      </c>
      <c r="K114">
        <v>15.95</v>
      </c>
      <c r="L114">
        <v>0</v>
      </c>
      <c r="M114">
        <f t="shared" si="16"/>
        <v>0</v>
      </c>
      <c r="N114">
        <v>8.6</v>
      </c>
      <c r="O114">
        <f t="shared" si="17"/>
        <v>8.6</v>
      </c>
      <c r="P114">
        <v>0</v>
      </c>
      <c r="Q114">
        <f t="shared" si="18"/>
        <v>0</v>
      </c>
      <c r="R114" t="s">
        <v>20</v>
      </c>
      <c r="S114" t="str">
        <f t="shared" si="19"/>
        <v>Written Off</v>
      </c>
      <c r="T114" t="s">
        <v>19</v>
      </c>
      <c r="U114" s="3">
        <f t="shared" si="20"/>
        <v>0.32603994055002022</v>
      </c>
      <c r="V114" t="str">
        <f t="shared" si="21"/>
        <v>Stretched</v>
      </c>
      <c r="W114" t="str">
        <f t="shared" si="22"/>
        <v>Good</v>
      </c>
      <c r="X114" s="5" t="str">
        <f t="shared" si="23"/>
        <v>Medium</v>
      </c>
      <c r="Y114" s="5" t="str">
        <f t="shared" si="24"/>
        <v>Low</v>
      </c>
      <c r="Z114" s="5" t="str">
        <f>IF(B114=120,"NULL",IF(AND(V114="High Stress", W114="High Risk", Y114="Low"),"High Risk : Reject", IF(AND(V114="Healthy", W114="Good",Y114&lt;&gt;"Low"), "Low Risk : Approve", "Medium Risk : Review")))</f>
        <v>Medium Risk : Review</v>
      </c>
      <c r="AA114" s="5" t="str">
        <f t="shared" si="25"/>
        <v>Medium</v>
      </c>
    </row>
    <row r="115" spans="1:27" x14ac:dyDescent="0.2">
      <c r="A115">
        <v>23794</v>
      </c>
      <c r="B115">
        <v>40</v>
      </c>
      <c r="C115">
        <f t="shared" si="13"/>
        <v>40</v>
      </c>
      <c r="D115" t="s">
        <v>23</v>
      </c>
      <c r="E115" t="str">
        <f t="shared" si="14"/>
        <v>Self-Employed</v>
      </c>
      <c r="F115">
        <v>1000.48</v>
      </c>
      <c r="G115">
        <f>ABS(Table1[[#This Row],[Monthly_Income]])</f>
        <v>1000.48</v>
      </c>
      <c r="H115">
        <v>15183.41</v>
      </c>
      <c r="I115" s="5">
        <f t="shared" si="15"/>
        <v>15183.41</v>
      </c>
      <c r="J115">
        <v>12</v>
      </c>
      <c r="K115">
        <v>16.8</v>
      </c>
      <c r="L115">
        <v>3</v>
      </c>
      <c r="M115">
        <f t="shared" si="16"/>
        <v>3</v>
      </c>
      <c r="N115">
        <v>7.8</v>
      </c>
      <c r="O115">
        <f t="shared" si="17"/>
        <v>7.8</v>
      </c>
      <c r="P115">
        <v>0</v>
      </c>
      <c r="Q115">
        <f t="shared" si="18"/>
        <v>0</v>
      </c>
      <c r="R115" t="s">
        <v>20</v>
      </c>
      <c r="S115" t="str">
        <f t="shared" si="19"/>
        <v>Written Off</v>
      </c>
      <c r="T115" t="s">
        <v>22</v>
      </c>
      <c r="U115" s="3">
        <f t="shared" si="20"/>
        <v>1.2646771216482755</v>
      </c>
      <c r="V115" t="str">
        <f t="shared" si="21"/>
        <v>High Stress</v>
      </c>
      <c r="W115" t="str">
        <f t="shared" si="22"/>
        <v>Good</v>
      </c>
      <c r="X115" s="5" t="str">
        <f t="shared" si="23"/>
        <v>Medium</v>
      </c>
      <c r="Y115" s="5" t="str">
        <f t="shared" si="24"/>
        <v>Medium</v>
      </c>
      <c r="Z115" s="5" t="str">
        <f>IF(B115=120,"NULL",IF(AND(V115="High Stress", W115="High Risk", Y115="Low"),"High Risk : Reject", IF(AND(V115="Healthy", W115="Good",Y115&lt;&gt;"Low"), "Low Risk : Approve", "Medium Risk : Review")))</f>
        <v>Medium Risk : Review</v>
      </c>
      <c r="AA115" s="5" t="str">
        <f t="shared" si="25"/>
        <v>Low</v>
      </c>
    </row>
    <row r="116" spans="1:27" x14ac:dyDescent="0.2">
      <c r="A116">
        <v>24592</v>
      </c>
      <c r="B116">
        <v>23</v>
      </c>
      <c r="C116">
        <f t="shared" si="13"/>
        <v>23</v>
      </c>
      <c r="D116" t="s">
        <v>23</v>
      </c>
      <c r="E116" t="str">
        <f t="shared" si="14"/>
        <v>Self-Employed</v>
      </c>
      <c r="F116">
        <v>4651.3999999999996</v>
      </c>
      <c r="G116">
        <f>ABS(Table1[[#This Row],[Monthly_Income]])</f>
        <v>4651.3999999999996</v>
      </c>
      <c r="H116">
        <v>17583.150000000001</v>
      </c>
      <c r="I116" s="5">
        <f t="shared" si="15"/>
        <v>17583.150000000001</v>
      </c>
      <c r="J116">
        <v>18</v>
      </c>
      <c r="K116">
        <v>14.09</v>
      </c>
      <c r="L116">
        <v>4</v>
      </c>
      <c r="M116">
        <f t="shared" si="16"/>
        <v>4</v>
      </c>
      <c r="O116" t="str">
        <f t="shared" si="17"/>
        <v>NULL</v>
      </c>
      <c r="P116">
        <v>0</v>
      </c>
      <c r="Q116">
        <f t="shared" si="18"/>
        <v>0</v>
      </c>
      <c r="R116" t="s">
        <v>15</v>
      </c>
      <c r="S116" t="str">
        <f t="shared" si="19"/>
        <v xml:space="preserve">Performing </v>
      </c>
      <c r="T116" t="s">
        <v>14</v>
      </c>
      <c r="U116" s="3">
        <f t="shared" si="20"/>
        <v>0.21001024781069502</v>
      </c>
      <c r="V116" t="str">
        <f t="shared" si="21"/>
        <v>Healthy</v>
      </c>
      <c r="W116" t="str">
        <f t="shared" si="22"/>
        <v>Good</v>
      </c>
      <c r="X116" s="5" t="str">
        <f t="shared" si="23"/>
        <v>Medium</v>
      </c>
      <c r="Y116" s="5" t="str">
        <f t="shared" si="24"/>
        <v>Medium</v>
      </c>
      <c r="Z116" s="5" t="str">
        <f>IF(B116=120,"NULL",IF(AND(V116="High Stress", W116="High Risk", Y116="Low"),"High Risk : Reject", IF(AND(V116="Healthy", W116="Good",Y116&lt;&gt;"Low"), "Low Risk : Approve", "Medium Risk : Review")))</f>
        <v>Low Risk : Approve</v>
      </c>
      <c r="AA116" s="5" t="str">
        <f t="shared" si="25"/>
        <v>Medium</v>
      </c>
    </row>
    <row r="117" spans="1:27" x14ac:dyDescent="0.2">
      <c r="A117">
        <v>20198</v>
      </c>
      <c r="B117">
        <v>30</v>
      </c>
      <c r="C117">
        <f t="shared" si="13"/>
        <v>30</v>
      </c>
      <c r="D117" t="s">
        <v>21</v>
      </c>
      <c r="E117" t="str">
        <f t="shared" si="14"/>
        <v>Salaried</v>
      </c>
      <c r="F117">
        <v>1433.39</v>
      </c>
      <c r="G117">
        <f>ABS(Table1[[#This Row],[Monthly_Income]])</f>
        <v>1433.39</v>
      </c>
      <c r="H117">
        <v>17809.189999999999</v>
      </c>
      <c r="I117" s="5">
        <f t="shared" si="15"/>
        <v>17809.189999999999</v>
      </c>
      <c r="J117">
        <v>6</v>
      </c>
      <c r="K117">
        <v>24.46</v>
      </c>
      <c r="M117" t="str">
        <f t="shared" si="16"/>
        <v>NULL</v>
      </c>
      <c r="N117">
        <v>8.4</v>
      </c>
      <c r="O117">
        <f t="shared" si="17"/>
        <v>8.4</v>
      </c>
      <c r="P117">
        <v>0</v>
      </c>
      <c r="Q117">
        <f t="shared" si="18"/>
        <v>0</v>
      </c>
      <c r="R117" t="s">
        <v>24</v>
      </c>
      <c r="S117" t="str">
        <f t="shared" si="19"/>
        <v>Non-Performing</v>
      </c>
      <c r="T117" t="s">
        <v>19</v>
      </c>
      <c r="U117" s="3">
        <f t="shared" si="20"/>
        <v>2.070754179485927</v>
      </c>
      <c r="V117" t="str">
        <f t="shared" si="21"/>
        <v>High Stress</v>
      </c>
      <c r="W117" t="str">
        <f t="shared" si="22"/>
        <v>Good</v>
      </c>
      <c r="X117" s="5" t="str">
        <f t="shared" si="23"/>
        <v>Medium</v>
      </c>
      <c r="Y117" s="5" t="str">
        <f t="shared" si="24"/>
        <v>High</v>
      </c>
      <c r="Z117" s="5" t="str">
        <f>IF(B117=120,"NULL",IF(AND(V117="High Stress", W117="High Risk", Y117="Low"),"High Risk : Reject", IF(AND(V117="Healthy", W117="Good",Y117&lt;&gt;"Low"), "Low Risk : Approve", "Medium Risk : Review")))</f>
        <v>Medium Risk : Review</v>
      </c>
      <c r="AA117" s="5" t="str">
        <f t="shared" si="25"/>
        <v>Low</v>
      </c>
    </row>
    <row r="118" spans="1:27" x14ac:dyDescent="0.2">
      <c r="A118">
        <v>22149</v>
      </c>
      <c r="B118">
        <v>58</v>
      </c>
      <c r="C118">
        <f t="shared" si="13"/>
        <v>58</v>
      </c>
      <c r="D118" t="s">
        <v>21</v>
      </c>
      <c r="E118" t="str">
        <f t="shared" si="14"/>
        <v>Salaried</v>
      </c>
      <c r="F118">
        <v>9226.5300000000007</v>
      </c>
      <c r="G118">
        <f>ABS(Table1[[#This Row],[Monthly_Income]])</f>
        <v>9226.5300000000007</v>
      </c>
      <c r="H118">
        <v>10423.08</v>
      </c>
      <c r="I118" s="5">
        <f t="shared" si="15"/>
        <v>10423.08</v>
      </c>
      <c r="J118">
        <v>60</v>
      </c>
      <c r="K118">
        <v>11.96</v>
      </c>
      <c r="L118">
        <v>0</v>
      </c>
      <c r="M118">
        <f t="shared" si="16"/>
        <v>0</v>
      </c>
      <c r="N118">
        <v>1.2</v>
      </c>
      <c r="O118">
        <f t="shared" si="17"/>
        <v>1.2</v>
      </c>
      <c r="Q118" t="str">
        <f t="shared" si="18"/>
        <v>NULL</v>
      </c>
      <c r="R118" t="s">
        <v>15</v>
      </c>
      <c r="S118" t="str">
        <f t="shared" si="19"/>
        <v xml:space="preserve">Performing </v>
      </c>
      <c r="T118" t="s">
        <v>22</v>
      </c>
      <c r="U118" s="3">
        <f t="shared" si="20"/>
        <v>1.8828096803456987E-2</v>
      </c>
      <c r="V118" t="str">
        <f t="shared" si="21"/>
        <v>Healthy</v>
      </c>
      <c r="W118" t="str">
        <f t="shared" si="22"/>
        <v>NULL</v>
      </c>
      <c r="X118" s="5" t="str">
        <f t="shared" si="23"/>
        <v>Medium</v>
      </c>
      <c r="Y118" s="5" t="str">
        <f t="shared" si="24"/>
        <v>High</v>
      </c>
      <c r="Z118" s="5" t="str">
        <f>IF(B118=120,"NULL",IF(AND(V118="High Stress", W118="High Risk", Y118="Low"),"High Risk : Reject", IF(AND(V118="Healthy", W118="Good",Y118&lt;&gt;"Low"), "Low Risk : Approve", "Medium Risk : Review")))</f>
        <v>Medium Risk : Review</v>
      </c>
      <c r="AA118" s="5" t="str">
        <f t="shared" si="25"/>
        <v>High</v>
      </c>
    </row>
    <row r="119" spans="1:27" x14ac:dyDescent="0.2">
      <c r="A119">
        <v>23253</v>
      </c>
      <c r="B119">
        <v>64</v>
      </c>
      <c r="C119">
        <f t="shared" si="13"/>
        <v>64</v>
      </c>
      <c r="D119" t="s">
        <v>12</v>
      </c>
      <c r="E119" t="str">
        <f t="shared" si="14"/>
        <v>Self-Employed</v>
      </c>
      <c r="F119">
        <v>5836.71</v>
      </c>
      <c r="G119">
        <f>ABS(Table1[[#This Row],[Monthly_Income]])</f>
        <v>5836.71</v>
      </c>
      <c r="H119">
        <v>22263.35</v>
      </c>
      <c r="I119" s="5">
        <f t="shared" si="15"/>
        <v>22263.35</v>
      </c>
      <c r="J119">
        <v>36</v>
      </c>
      <c r="K119">
        <v>24</v>
      </c>
      <c r="M119" t="str">
        <f t="shared" si="16"/>
        <v>NULL</v>
      </c>
      <c r="N119">
        <v>7.6</v>
      </c>
      <c r="O119">
        <f t="shared" si="17"/>
        <v>7.6</v>
      </c>
      <c r="P119">
        <v>0</v>
      </c>
      <c r="Q119">
        <f t="shared" si="18"/>
        <v>0</v>
      </c>
      <c r="R119" t="s">
        <v>15</v>
      </c>
      <c r="S119" t="str">
        <f t="shared" si="19"/>
        <v xml:space="preserve">Performing </v>
      </c>
      <c r="T119" t="s">
        <v>14</v>
      </c>
      <c r="U119" s="3">
        <f t="shared" si="20"/>
        <v>0.10595461979246679</v>
      </c>
      <c r="V119" t="str">
        <f t="shared" si="21"/>
        <v>Healthy</v>
      </c>
      <c r="W119" t="str">
        <f t="shared" si="22"/>
        <v>Good</v>
      </c>
      <c r="X119" s="5" t="str">
        <f t="shared" si="23"/>
        <v>Medium</v>
      </c>
      <c r="Y119" s="5" t="str">
        <f t="shared" si="24"/>
        <v>Medium</v>
      </c>
      <c r="Z119" s="5" t="str">
        <f>IF(B119=120,"NULL",IF(AND(V119="High Stress", W119="High Risk", Y119="Low"),"High Risk : Reject", IF(AND(V119="Healthy", W119="Good",Y119&lt;&gt;"Low"), "Low Risk : Approve", "Medium Risk : Review")))</f>
        <v>Low Risk : Approve</v>
      </c>
      <c r="AA119" s="5" t="str">
        <f t="shared" si="25"/>
        <v>Medium</v>
      </c>
    </row>
    <row r="120" spans="1:27" x14ac:dyDescent="0.2">
      <c r="A120">
        <v>21002</v>
      </c>
      <c r="B120">
        <v>42</v>
      </c>
      <c r="C120">
        <f t="shared" si="13"/>
        <v>42</v>
      </c>
      <c r="D120" t="s">
        <v>23</v>
      </c>
      <c r="E120" t="str">
        <f t="shared" si="14"/>
        <v>Self-Employed</v>
      </c>
      <c r="F120">
        <v>3488.61</v>
      </c>
      <c r="G120">
        <f>ABS(Table1[[#This Row],[Monthly_Income]])</f>
        <v>3488.61</v>
      </c>
      <c r="H120">
        <v>19569.05</v>
      </c>
      <c r="I120" s="5">
        <f t="shared" si="15"/>
        <v>19569.05</v>
      </c>
      <c r="J120">
        <v>12</v>
      </c>
      <c r="K120">
        <v>27.42</v>
      </c>
      <c r="L120">
        <v>3</v>
      </c>
      <c r="M120">
        <f t="shared" si="16"/>
        <v>3</v>
      </c>
      <c r="N120">
        <v>10.3</v>
      </c>
      <c r="O120">
        <f t="shared" si="17"/>
        <v>10.3</v>
      </c>
      <c r="P120">
        <v>30</v>
      </c>
      <c r="Q120">
        <f t="shared" si="18"/>
        <v>30</v>
      </c>
      <c r="R120" t="s">
        <v>15</v>
      </c>
      <c r="S120" t="str">
        <f t="shared" si="19"/>
        <v xml:space="preserve">Performing </v>
      </c>
      <c r="T120" t="s">
        <v>25</v>
      </c>
      <c r="U120" s="3">
        <f t="shared" si="20"/>
        <v>0.46745098095421</v>
      </c>
      <c r="V120" t="str">
        <f t="shared" si="21"/>
        <v>High Stress</v>
      </c>
      <c r="W120" t="str">
        <f t="shared" si="22"/>
        <v>At Risk</v>
      </c>
      <c r="X120" s="5" t="str">
        <f t="shared" si="23"/>
        <v>Medium</v>
      </c>
      <c r="Y120" s="5" t="str">
        <f t="shared" si="24"/>
        <v>Medium</v>
      </c>
      <c r="Z120" s="5" t="str">
        <f>IF(B120=120,"NULL",IF(AND(V120="High Stress", W120="High Risk", Y120="Low"),"High Risk : Reject", IF(AND(V120="Healthy", W120="Good",Y120&lt;&gt;"Low"), "Low Risk : Approve", "Medium Risk : Review")))</f>
        <v>Medium Risk : Review</v>
      </c>
      <c r="AA120" s="5" t="str">
        <f t="shared" si="25"/>
        <v>Medium</v>
      </c>
    </row>
    <row r="121" spans="1:27" x14ac:dyDescent="0.2">
      <c r="A121">
        <v>20170</v>
      </c>
      <c r="B121">
        <v>29</v>
      </c>
      <c r="C121">
        <f t="shared" si="13"/>
        <v>29</v>
      </c>
      <c r="D121" t="s">
        <v>21</v>
      </c>
      <c r="E121" t="str">
        <f t="shared" si="14"/>
        <v>Salaried</v>
      </c>
      <c r="F121">
        <v>3937.23</v>
      </c>
      <c r="G121">
        <f>ABS(Table1[[#This Row],[Monthly_Income]])</f>
        <v>3937.23</v>
      </c>
      <c r="H121">
        <v>24426.78</v>
      </c>
      <c r="I121" s="5">
        <f t="shared" si="15"/>
        <v>24426.78</v>
      </c>
      <c r="J121">
        <v>18</v>
      </c>
      <c r="K121">
        <v>17.68</v>
      </c>
      <c r="L121">
        <v>4</v>
      </c>
      <c r="M121">
        <f t="shared" si="16"/>
        <v>4</v>
      </c>
      <c r="N121">
        <v>4.7</v>
      </c>
      <c r="O121">
        <f t="shared" si="17"/>
        <v>4.7</v>
      </c>
      <c r="P121">
        <v>0</v>
      </c>
      <c r="Q121">
        <f t="shared" si="18"/>
        <v>0</v>
      </c>
      <c r="R121" t="s">
        <v>15</v>
      </c>
      <c r="S121" t="str">
        <f t="shared" si="19"/>
        <v xml:space="preserve">Performing </v>
      </c>
      <c r="T121" t="s">
        <v>19</v>
      </c>
      <c r="U121" s="3">
        <f t="shared" si="20"/>
        <v>0.3446695604100683</v>
      </c>
      <c r="V121" t="str">
        <f t="shared" si="21"/>
        <v>Stretched</v>
      </c>
      <c r="W121" t="str">
        <f t="shared" si="22"/>
        <v>Good</v>
      </c>
      <c r="X121" s="5" t="str">
        <f t="shared" si="23"/>
        <v>Medium</v>
      </c>
      <c r="Y121" s="5" t="str">
        <f t="shared" si="24"/>
        <v>High</v>
      </c>
      <c r="Z121" s="5" t="str">
        <f>IF(B121=120,"NULL",IF(AND(V121="High Stress", W121="High Risk", Y121="Low"),"High Risk : Reject", IF(AND(V121="Healthy", W121="Good",Y121&lt;&gt;"Low"), "Low Risk : Approve", "Medium Risk : Review")))</f>
        <v>Medium Risk : Review</v>
      </c>
      <c r="AA121" s="5" t="str">
        <f t="shared" si="25"/>
        <v>Medium</v>
      </c>
    </row>
    <row r="122" spans="1:27" x14ac:dyDescent="0.2">
      <c r="A122">
        <v>24126</v>
      </c>
      <c r="B122">
        <v>52</v>
      </c>
      <c r="C122">
        <f t="shared" si="13"/>
        <v>52</v>
      </c>
      <c r="D122" t="s">
        <v>26</v>
      </c>
      <c r="E122" t="str">
        <f t="shared" si="14"/>
        <v>Salaried</v>
      </c>
      <c r="F122">
        <v>3101.62</v>
      </c>
      <c r="G122">
        <f>ABS(Table1[[#This Row],[Monthly_Income]])</f>
        <v>3101.62</v>
      </c>
      <c r="H122">
        <v>14529.85</v>
      </c>
      <c r="I122" s="5">
        <f t="shared" si="15"/>
        <v>14529.85</v>
      </c>
      <c r="J122">
        <v>36</v>
      </c>
      <c r="K122">
        <v>12.58</v>
      </c>
      <c r="M122" t="str">
        <f t="shared" si="16"/>
        <v>NULL</v>
      </c>
      <c r="N122">
        <v>1.1000000000000001</v>
      </c>
      <c r="O122">
        <f t="shared" si="17"/>
        <v>1.1000000000000001</v>
      </c>
      <c r="P122">
        <v>60</v>
      </c>
      <c r="Q122">
        <f t="shared" si="18"/>
        <v>60</v>
      </c>
      <c r="R122" t="s">
        <v>13</v>
      </c>
      <c r="S122" t="str">
        <f t="shared" si="19"/>
        <v>Performing</v>
      </c>
      <c r="T122" t="s">
        <v>22</v>
      </c>
      <c r="U122" s="3">
        <f t="shared" si="20"/>
        <v>0.13012778626796465</v>
      </c>
      <c r="V122" t="str">
        <f t="shared" si="21"/>
        <v>Healthy</v>
      </c>
      <c r="W122" t="str">
        <f t="shared" si="22"/>
        <v>High Risk</v>
      </c>
      <c r="X122" s="5" t="str">
        <f t="shared" si="23"/>
        <v>Medium</v>
      </c>
      <c r="Y122" s="5" t="str">
        <f t="shared" si="24"/>
        <v>High</v>
      </c>
      <c r="Z122" s="5" t="str">
        <f>IF(B122=120,"NULL",IF(AND(V122="High Stress", W122="High Risk", Y122="Low"),"High Risk : Reject", IF(AND(V122="Healthy", W122="Good",Y122&lt;&gt;"Low"), "Low Risk : Approve", "Medium Risk : Review")))</f>
        <v>Medium Risk : Review</v>
      </c>
      <c r="AA122" s="5" t="str">
        <f t="shared" si="25"/>
        <v>Medium</v>
      </c>
    </row>
    <row r="123" spans="1:27" x14ac:dyDescent="0.2">
      <c r="A123">
        <v>22331</v>
      </c>
      <c r="B123">
        <v>48</v>
      </c>
      <c r="C123">
        <f t="shared" si="13"/>
        <v>48</v>
      </c>
      <c r="D123" t="s">
        <v>21</v>
      </c>
      <c r="E123" t="str">
        <f t="shared" si="14"/>
        <v>Salaried</v>
      </c>
      <c r="F123">
        <v>5151.1899999999996</v>
      </c>
      <c r="G123">
        <f>ABS(Table1[[#This Row],[Monthly_Income]])</f>
        <v>5151.1899999999996</v>
      </c>
      <c r="H123">
        <v>26881.83</v>
      </c>
      <c r="I123" s="5">
        <f t="shared" si="15"/>
        <v>26881.83</v>
      </c>
      <c r="J123">
        <v>24</v>
      </c>
      <c r="K123">
        <v>27.31</v>
      </c>
      <c r="L123">
        <v>1</v>
      </c>
      <c r="M123">
        <f t="shared" si="16"/>
        <v>1</v>
      </c>
      <c r="N123">
        <v>9.6999999999999993</v>
      </c>
      <c r="O123">
        <f t="shared" si="17"/>
        <v>9.6999999999999993</v>
      </c>
      <c r="P123">
        <v>60</v>
      </c>
      <c r="Q123">
        <f t="shared" si="18"/>
        <v>60</v>
      </c>
      <c r="R123" t="s">
        <v>24</v>
      </c>
      <c r="S123" t="str">
        <f t="shared" si="19"/>
        <v>Non-Performing</v>
      </c>
      <c r="T123" t="s">
        <v>14</v>
      </c>
      <c r="U123" s="3">
        <f t="shared" si="20"/>
        <v>0.21744029049598251</v>
      </c>
      <c r="V123" t="str">
        <f t="shared" si="21"/>
        <v>Healthy</v>
      </c>
      <c r="W123" t="str">
        <f t="shared" si="22"/>
        <v>High Risk</v>
      </c>
      <c r="X123" s="5" t="str">
        <f t="shared" si="23"/>
        <v>Medium</v>
      </c>
      <c r="Y123" s="5" t="str">
        <f t="shared" si="24"/>
        <v>High</v>
      </c>
      <c r="Z123" s="5" t="str">
        <f>IF(B123=120,"NULL",IF(AND(V123="High Stress", W123="High Risk", Y123="Low"),"High Risk : Reject", IF(AND(V123="Healthy", W123="Good",Y123&lt;&gt;"Low"), "Low Risk : Approve", "Medium Risk : Review")))</f>
        <v>Medium Risk : Review</v>
      </c>
      <c r="AA123" s="5" t="str">
        <f t="shared" si="25"/>
        <v>Medium</v>
      </c>
    </row>
    <row r="124" spans="1:27" x14ac:dyDescent="0.2">
      <c r="A124">
        <v>25953</v>
      </c>
      <c r="B124">
        <v>23</v>
      </c>
      <c r="C124">
        <f t="shared" si="13"/>
        <v>23</v>
      </c>
      <c r="D124" t="s">
        <v>17</v>
      </c>
      <c r="E124" t="str">
        <f t="shared" si="14"/>
        <v>Contract</v>
      </c>
      <c r="F124">
        <v>10280.950000000001</v>
      </c>
      <c r="G124">
        <f>ABS(Table1[[#This Row],[Monthly_Income]])</f>
        <v>10280.950000000001</v>
      </c>
      <c r="H124">
        <v>16821.79</v>
      </c>
      <c r="I124" s="5">
        <f t="shared" si="15"/>
        <v>16821.79</v>
      </c>
      <c r="J124">
        <v>24</v>
      </c>
      <c r="K124">
        <v>20.27</v>
      </c>
      <c r="L124">
        <v>0</v>
      </c>
      <c r="M124">
        <f t="shared" si="16"/>
        <v>0</v>
      </c>
      <c r="N124">
        <v>5.8</v>
      </c>
      <c r="O124">
        <f t="shared" si="17"/>
        <v>5.8</v>
      </c>
      <c r="P124">
        <v>0</v>
      </c>
      <c r="Q124">
        <f t="shared" si="18"/>
        <v>0</v>
      </c>
      <c r="R124" t="s">
        <v>18</v>
      </c>
      <c r="S124" t="str">
        <f t="shared" si="19"/>
        <v>Non-Performing</v>
      </c>
      <c r="T124" t="s">
        <v>16</v>
      </c>
      <c r="U124" s="3">
        <f t="shared" si="20"/>
        <v>6.8175403699722956E-2</v>
      </c>
      <c r="V124" t="str">
        <f t="shared" si="21"/>
        <v>Healthy</v>
      </c>
      <c r="W124" t="str">
        <f t="shared" si="22"/>
        <v>Good</v>
      </c>
      <c r="X124" s="5" t="str">
        <f t="shared" si="23"/>
        <v>Medium</v>
      </c>
      <c r="Y124" s="5" t="str">
        <f t="shared" si="24"/>
        <v>Low</v>
      </c>
      <c r="Z124" s="5" t="str">
        <f>IF(B124=120,"NULL",IF(AND(V124="High Stress", W124="High Risk", Y124="Low"),"High Risk : Reject", IF(AND(V124="Healthy", W124="Good",Y124&lt;&gt;"Low"), "Low Risk : Approve", "Medium Risk : Review")))</f>
        <v>Medium Risk : Review</v>
      </c>
      <c r="AA124" s="5" t="str">
        <f t="shared" si="25"/>
        <v>High</v>
      </c>
    </row>
    <row r="125" spans="1:27" x14ac:dyDescent="0.2">
      <c r="A125">
        <v>22239</v>
      </c>
      <c r="B125">
        <v>42</v>
      </c>
      <c r="C125">
        <f t="shared" si="13"/>
        <v>42</v>
      </c>
      <c r="D125" t="s">
        <v>21</v>
      </c>
      <c r="E125" t="str">
        <f t="shared" si="14"/>
        <v>Salaried</v>
      </c>
      <c r="F125">
        <v>3008.66</v>
      </c>
      <c r="G125">
        <f>ABS(Table1[[#This Row],[Monthly_Income]])</f>
        <v>3008.66</v>
      </c>
      <c r="H125">
        <v>24075.38</v>
      </c>
      <c r="I125" s="5">
        <f t="shared" si="15"/>
        <v>24075.38</v>
      </c>
      <c r="J125">
        <v>6</v>
      </c>
      <c r="K125">
        <v>11.47</v>
      </c>
      <c r="L125">
        <v>2</v>
      </c>
      <c r="M125">
        <f t="shared" si="16"/>
        <v>2</v>
      </c>
      <c r="N125">
        <v>-1.8</v>
      </c>
      <c r="O125">
        <f t="shared" si="17"/>
        <v>1.8</v>
      </c>
      <c r="P125">
        <v>60</v>
      </c>
      <c r="Q125">
        <f t="shared" si="18"/>
        <v>60</v>
      </c>
      <c r="R125" t="s">
        <v>13</v>
      </c>
      <c r="S125" t="str">
        <f t="shared" si="19"/>
        <v>Performing</v>
      </c>
      <c r="T125" t="s">
        <v>14</v>
      </c>
      <c r="U125" s="3">
        <f t="shared" si="20"/>
        <v>1.3336712467787433</v>
      </c>
      <c r="V125" t="str">
        <f t="shared" si="21"/>
        <v>High Stress</v>
      </c>
      <c r="W125" t="str">
        <f t="shared" si="22"/>
        <v>High Risk</v>
      </c>
      <c r="X125" s="5" t="str">
        <f t="shared" si="23"/>
        <v>Medium</v>
      </c>
      <c r="Y125" s="5" t="str">
        <f t="shared" si="24"/>
        <v>High</v>
      </c>
      <c r="Z125" s="5" t="str">
        <f>IF(B125=120,"NULL",IF(AND(V125="High Stress", W125="High Risk", Y125="Low"),"High Risk : Reject", IF(AND(V125="Healthy", W125="Good",Y125&lt;&gt;"Low"), "Low Risk : Approve", "Medium Risk : Review")))</f>
        <v>Medium Risk : Review</v>
      </c>
      <c r="AA125" s="5" t="str">
        <f t="shared" si="25"/>
        <v>Medium</v>
      </c>
    </row>
    <row r="126" spans="1:27" x14ac:dyDescent="0.2">
      <c r="A126">
        <v>20727</v>
      </c>
      <c r="B126">
        <v>45</v>
      </c>
      <c r="C126">
        <f t="shared" si="13"/>
        <v>45</v>
      </c>
      <c r="D126" t="s">
        <v>12</v>
      </c>
      <c r="E126" t="str">
        <f t="shared" si="14"/>
        <v>Self-Employed</v>
      </c>
      <c r="F126">
        <v>6466.6</v>
      </c>
      <c r="G126">
        <f>ABS(Table1[[#This Row],[Monthly_Income]])</f>
        <v>6466.6</v>
      </c>
      <c r="H126">
        <v>14994.27</v>
      </c>
      <c r="I126" s="5">
        <f t="shared" si="15"/>
        <v>14994.27</v>
      </c>
      <c r="J126">
        <v>24</v>
      </c>
      <c r="K126">
        <v>14.97</v>
      </c>
      <c r="L126">
        <v>0</v>
      </c>
      <c r="M126">
        <f t="shared" si="16"/>
        <v>0</v>
      </c>
      <c r="N126">
        <v>13.5</v>
      </c>
      <c r="O126">
        <f t="shared" si="17"/>
        <v>13.5</v>
      </c>
      <c r="P126">
        <v>0</v>
      </c>
      <c r="Q126">
        <f t="shared" si="18"/>
        <v>0</v>
      </c>
      <c r="R126" t="s">
        <v>20</v>
      </c>
      <c r="S126" t="str">
        <f t="shared" si="19"/>
        <v>Written Off</v>
      </c>
      <c r="T126" t="s">
        <v>19</v>
      </c>
      <c r="U126" s="3">
        <f t="shared" si="20"/>
        <v>9.6613560449076777E-2</v>
      </c>
      <c r="V126" t="str">
        <f t="shared" si="21"/>
        <v>Healthy</v>
      </c>
      <c r="W126" t="str">
        <f t="shared" si="22"/>
        <v>Good</v>
      </c>
      <c r="X126" s="5" t="str">
        <f t="shared" si="23"/>
        <v>Medium</v>
      </c>
      <c r="Y126" s="5" t="str">
        <f t="shared" si="24"/>
        <v>Medium</v>
      </c>
      <c r="Z126" s="5" t="str">
        <f>IF(B126=120,"NULL",IF(AND(V126="High Stress", W126="High Risk", Y126="Low"),"High Risk : Reject", IF(AND(V126="Healthy", W126="Good",Y126&lt;&gt;"Low"), "Low Risk : Approve", "Medium Risk : Review")))</f>
        <v>Low Risk : Approve</v>
      </c>
      <c r="AA126" s="5" t="str">
        <f t="shared" si="25"/>
        <v>Medium</v>
      </c>
    </row>
    <row r="127" spans="1:27" x14ac:dyDescent="0.2">
      <c r="A127">
        <v>25859</v>
      </c>
      <c r="B127">
        <v>24</v>
      </c>
      <c r="C127">
        <f t="shared" si="13"/>
        <v>24</v>
      </c>
      <c r="D127" t="s">
        <v>26</v>
      </c>
      <c r="E127" t="str">
        <f t="shared" si="14"/>
        <v>Salaried</v>
      </c>
      <c r="F127">
        <v>6796.88</v>
      </c>
      <c r="G127">
        <f>ABS(Table1[[#This Row],[Monthly_Income]])</f>
        <v>6796.88</v>
      </c>
      <c r="H127">
        <v>18407.38</v>
      </c>
      <c r="I127" s="5">
        <f t="shared" si="15"/>
        <v>18407.38</v>
      </c>
      <c r="J127">
        <v>24</v>
      </c>
      <c r="K127">
        <v>23.64</v>
      </c>
      <c r="L127">
        <v>0</v>
      </c>
      <c r="M127">
        <f t="shared" si="16"/>
        <v>0</v>
      </c>
      <c r="N127">
        <v>5.8</v>
      </c>
      <c r="O127">
        <f t="shared" si="17"/>
        <v>5.8</v>
      </c>
      <c r="P127">
        <v>0</v>
      </c>
      <c r="Q127">
        <f t="shared" si="18"/>
        <v>0</v>
      </c>
      <c r="R127" t="s">
        <v>15</v>
      </c>
      <c r="S127" t="str">
        <f t="shared" si="19"/>
        <v xml:space="preserve">Performing </v>
      </c>
      <c r="T127" t="s">
        <v>19</v>
      </c>
      <c r="U127" s="3">
        <f t="shared" si="20"/>
        <v>0.11284209323493526</v>
      </c>
      <c r="V127" t="str">
        <f t="shared" si="21"/>
        <v>Healthy</v>
      </c>
      <c r="W127" t="str">
        <f t="shared" si="22"/>
        <v>Good</v>
      </c>
      <c r="X127" s="5" t="str">
        <f t="shared" si="23"/>
        <v>Medium</v>
      </c>
      <c r="Y127" s="5" t="str">
        <f t="shared" si="24"/>
        <v>High</v>
      </c>
      <c r="Z127" s="5" t="str">
        <f>IF(B127=120,"NULL",IF(AND(V127="High Stress", W127="High Risk", Y127="Low"),"High Risk : Reject", IF(AND(V127="Healthy", W127="Good",Y127&lt;&gt;"Low"), "Low Risk : Approve", "Medium Risk : Review")))</f>
        <v>Low Risk : Approve</v>
      </c>
      <c r="AA127" s="5" t="str">
        <f t="shared" si="25"/>
        <v>Medium</v>
      </c>
    </row>
    <row r="128" spans="1:27" x14ac:dyDescent="0.2">
      <c r="A128">
        <v>24743</v>
      </c>
      <c r="B128">
        <v>43</v>
      </c>
      <c r="C128">
        <f t="shared" si="13"/>
        <v>43</v>
      </c>
      <c r="D128" t="s">
        <v>17</v>
      </c>
      <c r="E128" t="str">
        <f t="shared" si="14"/>
        <v>Contract</v>
      </c>
      <c r="F128">
        <v>6912.44</v>
      </c>
      <c r="G128">
        <f>ABS(Table1[[#This Row],[Monthly_Income]])</f>
        <v>6912.44</v>
      </c>
      <c r="H128">
        <v>8347.06</v>
      </c>
      <c r="I128" s="5">
        <f t="shared" si="15"/>
        <v>8347.06</v>
      </c>
      <c r="J128">
        <v>48</v>
      </c>
      <c r="K128">
        <v>14.75</v>
      </c>
      <c r="M128" t="str">
        <f t="shared" si="16"/>
        <v>NULL</v>
      </c>
      <c r="N128">
        <v>5.6</v>
      </c>
      <c r="O128">
        <f t="shared" si="17"/>
        <v>5.6</v>
      </c>
      <c r="P128">
        <v>90</v>
      </c>
      <c r="Q128">
        <f t="shared" si="18"/>
        <v>90</v>
      </c>
      <c r="R128" t="s">
        <v>24</v>
      </c>
      <c r="S128" t="str">
        <f t="shared" si="19"/>
        <v>Non-Performing</v>
      </c>
      <c r="T128" t="s">
        <v>16</v>
      </c>
      <c r="U128" s="3">
        <f t="shared" si="20"/>
        <v>2.515712011002386E-2</v>
      </c>
      <c r="V128" t="str">
        <f t="shared" si="21"/>
        <v>Healthy</v>
      </c>
      <c r="W128" t="str">
        <f t="shared" si="22"/>
        <v>High Risk</v>
      </c>
      <c r="X128" s="5" t="str">
        <f t="shared" si="23"/>
        <v>Small</v>
      </c>
      <c r="Y128" s="5" t="str">
        <f t="shared" si="24"/>
        <v>Low</v>
      </c>
      <c r="Z128" s="5" t="str">
        <f>IF(B128=120,"NULL",IF(AND(V128="High Stress", W128="High Risk", Y128="Low"),"High Risk : Reject", IF(AND(V128="Healthy", W128="Good",Y128&lt;&gt;"Low"), "Low Risk : Approve", "Medium Risk : Review")))</f>
        <v>Medium Risk : Review</v>
      </c>
      <c r="AA128" s="5" t="str">
        <f t="shared" si="25"/>
        <v>Medium</v>
      </c>
    </row>
    <row r="129" spans="1:27" x14ac:dyDescent="0.2">
      <c r="A129">
        <v>21955</v>
      </c>
      <c r="B129">
        <v>50</v>
      </c>
      <c r="C129">
        <f t="shared" si="13"/>
        <v>50</v>
      </c>
      <c r="D129" t="s">
        <v>23</v>
      </c>
      <c r="E129" t="str">
        <f t="shared" si="14"/>
        <v>Self-Employed</v>
      </c>
      <c r="F129">
        <v>4622.55</v>
      </c>
      <c r="G129">
        <f>ABS(Table1[[#This Row],[Monthly_Income]])</f>
        <v>4622.55</v>
      </c>
      <c r="H129">
        <v>17297.98</v>
      </c>
      <c r="I129" s="5">
        <f t="shared" si="15"/>
        <v>17297.98</v>
      </c>
      <c r="J129">
        <v>6</v>
      </c>
      <c r="K129">
        <v>22.66</v>
      </c>
      <c r="L129">
        <v>4</v>
      </c>
      <c r="M129">
        <f t="shared" si="16"/>
        <v>4</v>
      </c>
      <c r="N129">
        <v>12.1</v>
      </c>
      <c r="O129">
        <f t="shared" si="17"/>
        <v>12.1</v>
      </c>
      <c r="Q129" t="str">
        <f t="shared" si="18"/>
        <v>NULL</v>
      </c>
      <c r="R129" t="s">
        <v>15</v>
      </c>
      <c r="S129" t="str">
        <f t="shared" si="19"/>
        <v xml:space="preserve">Performing </v>
      </c>
      <c r="T129" t="s">
        <v>19</v>
      </c>
      <c r="U129" s="3">
        <f t="shared" si="20"/>
        <v>0.62368101300508727</v>
      </c>
      <c r="V129" t="str">
        <f t="shared" si="21"/>
        <v>High Stress</v>
      </c>
      <c r="W129" t="str">
        <f t="shared" si="22"/>
        <v>NULL</v>
      </c>
      <c r="X129" s="5" t="str">
        <f t="shared" si="23"/>
        <v>Medium</v>
      </c>
      <c r="Y129" s="5" t="str">
        <f t="shared" si="24"/>
        <v>Medium</v>
      </c>
      <c r="Z129" s="5" t="str">
        <f>IF(B129=120,"NULL",IF(AND(V129="High Stress", W129="High Risk", Y129="Low"),"High Risk : Reject", IF(AND(V129="Healthy", W129="Good",Y129&lt;&gt;"Low"), "Low Risk : Approve", "Medium Risk : Review")))</f>
        <v>Medium Risk : Review</v>
      </c>
      <c r="AA129" s="5" t="str">
        <f t="shared" si="25"/>
        <v>Medium</v>
      </c>
    </row>
    <row r="130" spans="1:27" x14ac:dyDescent="0.2">
      <c r="A130">
        <v>20444</v>
      </c>
      <c r="B130">
        <v>62</v>
      </c>
      <c r="C130">
        <f t="shared" ref="C130:C193" si="26">IF(B130=120,"NULL",B130)</f>
        <v>62</v>
      </c>
      <c r="D130" t="s">
        <v>21</v>
      </c>
      <c r="E130" t="str">
        <f t="shared" ref="E130:E193" si="27">TRIM(IF(D130="Self employed","Self-Employed",D130))</f>
        <v>Salaried</v>
      </c>
      <c r="F130">
        <v>5080.6499999999996</v>
      </c>
      <c r="G130">
        <f>ABS(Table1[[#This Row],[Monthly_Income]])</f>
        <v>5080.6499999999996</v>
      </c>
      <c r="H130">
        <v>29498.19</v>
      </c>
      <c r="I130" s="5">
        <f t="shared" ref="I130:I193" si="28">IF(H130="","NULL",ABS(H130))</f>
        <v>29498.19</v>
      </c>
      <c r="J130">
        <v>48</v>
      </c>
      <c r="K130">
        <v>15.51</v>
      </c>
      <c r="M130" t="str">
        <f t="shared" ref="M130:M193" si="29">IF(L130="","NULL",L130)</f>
        <v>NULL</v>
      </c>
      <c r="N130">
        <v>1.7</v>
      </c>
      <c r="O130">
        <f t="shared" ref="O130:O193" si="30">IF(N130="","NULL",ABS(N130))</f>
        <v>1.7</v>
      </c>
      <c r="P130">
        <v>30</v>
      </c>
      <c r="Q130">
        <f t="shared" ref="Q130:Q193" si="31">IF(P130="","NULL",P130)</f>
        <v>30</v>
      </c>
      <c r="R130" t="s">
        <v>20</v>
      </c>
      <c r="S130" t="str">
        <f t="shared" ref="S130:S193" si="32">IF(R130="Non performing","Non-Performing",R130)</f>
        <v>Written Off</v>
      </c>
      <c r="T130" t="s">
        <v>25</v>
      </c>
      <c r="U130" s="3">
        <f t="shared" ref="U130:U193" si="33">IFERROR(I130/(G130*J130),"NULL")</f>
        <v>0.12095807130977336</v>
      </c>
      <c r="V130" t="str">
        <f t="shared" ref="V130:V193" si="34">IF(U130="NULL","NULL",IF(U130&lt;=0.3,"Healthy",IF(U130&lt;=0.45,"Stretched","High Stress")))</f>
        <v>Healthy</v>
      </c>
      <c r="W130" t="str">
        <f t="shared" ref="W130:W193" si="35">IF(Q130="NULL","NULL",IF(Q130&lt;30,"Good",IF(Q130&lt;60,"At Risk","High Risk")))</f>
        <v>At Risk</v>
      </c>
      <c r="X130" s="5" t="str">
        <f t="shared" ref="X130:X193" si="36">IF(I130&lt;10000,"Small",IF(I130&lt;=30000,"Medium","High"))</f>
        <v>Medium</v>
      </c>
      <c r="Y130" s="5" t="str">
        <f t="shared" ref="Y130:Y193" si="37">IF(E130="Salaried","High",IF(E130="Self-Employed","Medium","Low"))</f>
        <v>High</v>
      </c>
      <c r="Z130" s="5" t="str">
        <f>IF(B130=120,"NULL",IF(AND(V130="High Stress", W130="High Risk", Y130="Low"),"High Risk : Reject", IF(AND(V130="Healthy", W130="Good",Y130&lt;&gt;"Low"), "Low Risk : Approve", "Medium Risk : Review")))</f>
        <v>Medium Risk : Review</v>
      </c>
      <c r="AA130" s="5" t="str">
        <f t="shared" ref="AA130:AA193" si="38">IF(G130="NULL","NULL",IF(G130&gt;8000,"High",IF(G130&gt;2000,"Medium","Low")))</f>
        <v>Medium</v>
      </c>
    </row>
    <row r="131" spans="1:27" x14ac:dyDescent="0.2">
      <c r="A131">
        <v>20107</v>
      </c>
      <c r="B131">
        <v>56</v>
      </c>
      <c r="C131">
        <f t="shared" si="26"/>
        <v>56</v>
      </c>
      <c r="D131" t="s">
        <v>26</v>
      </c>
      <c r="E131" t="str">
        <f t="shared" si="27"/>
        <v>Salaried</v>
      </c>
      <c r="F131">
        <v>7515.53</v>
      </c>
      <c r="G131">
        <f>ABS(Table1[[#This Row],[Monthly_Income]])</f>
        <v>7515.53</v>
      </c>
      <c r="H131">
        <v>17844.21</v>
      </c>
      <c r="I131" s="5">
        <f t="shared" si="28"/>
        <v>17844.21</v>
      </c>
      <c r="J131">
        <v>60</v>
      </c>
      <c r="K131">
        <v>18.7</v>
      </c>
      <c r="L131">
        <v>4</v>
      </c>
      <c r="M131">
        <f t="shared" si="29"/>
        <v>4</v>
      </c>
      <c r="N131">
        <v>8.1999999999999993</v>
      </c>
      <c r="O131">
        <f t="shared" si="30"/>
        <v>8.1999999999999993</v>
      </c>
      <c r="P131">
        <v>90</v>
      </c>
      <c r="Q131">
        <f t="shared" si="31"/>
        <v>90</v>
      </c>
      <c r="R131" t="s">
        <v>13</v>
      </c>
      <c r="S131" t="str">
        <f t="shared" si="32"/>
        <v>Performing</v>
      </c>
      <c r="T131" t="s">
        <v>16</v>
      </c>
      <c r="U131" s="3">
        <f t="shared" si="33"/>
        <v>3.9571859868831605E-2</v>
      </c>
      <c r="V131" t="str">
        <f t="shared" si="34"/>
        <v>Healthy</v>
      </c>
      <c r="W131" t="str">
        <f t="shared" si="35"/>
        <v>High Risk</v>
      </c>
      <c r="X131" s="5" t="str">
        <f t="shared" si="36"/>
        <v>Medium</v>
      </c>
      <c r="Y131" s="5" t="str">
        <f t="shared" si="37"/>
        <v>High</v>
      </c>
      <c r="Z131" s="5" t="str">
        <f>IF(B131=120,"NULL",IF(AND(V131="High Stress", W131="High Risk", Y131="Low"),"High Risk : Reject", IF(AND(V131="Healthy", W131="Good",Y131&lt;&gt;"Low"), "Low Risk : Approve", "Medium Risk : Review")))</f>
        <v>Medium Risk : Review</v>
      </c>
      <c r="AA131" s="5" t="str">
        <f t="shared" si="38"/>
        <v>Medium</v>
      </c>
    </row>
    <row r="132" spans="1:27" x14ac:dyDescent="0.2">
      <c r="A132">
        <v>25470</v>
      </c>
      <c r="B132">
        <v>46</v>
      </c>
      <c r="C132">
        <f t="shared" si="26"/>
        <v>46</v>
      </c>
      <c r="D132" t="s">
        <v>12</v>
      </c>
      <c r="E132" t="str">
        <f t="shared" si="27"/>
        <v>Self-Employed</v>
      </c>
      <c r="F132">
        <v>2497.1</v>
      </c>
      <c r="G132">
        <f>ABS(Table1[[#This Row],[Monthly_Income]])</f>
        <v>2497.1</v>
      </c>
      <c r="H132">
        <v>35991.49</v>
      </c>
      <c r="I132" s="5">
        <f t="shared" si="28"/>
        <v>35991.49</v>
      </c>
      <c r="J132">
        <v>48</v>
      </c>
      <c r="K132">
        <v>17.510000000000002</v>
      </c>
      <c r="L132">
        <v>1</v>
      </c>
      <c r="M132">
        <f t="shared" si="29"/>
        <v>1</v>
      </c>
      <c r="N132">
        <v>2.5</v>
      </c>
      <c r="O132">
        <f t="shared" si="30"/>
        <v>2.5</v>
      </c>
      <c r="Q132" t="str">
        <f t="shared" si="31"/>
        <v>NULL</v>
      </c>
      <c r="R132" t="s">
        <v>20</v>
      </c>
      <c r="S132" t="str">
        <f t="shared" si="32"/>
        <v>Written Off</v>
      </c>
      <c r="T132" t="s">
        <v>14</v>
      </c>
      <c r="U132" s="3">
        <f t="shared" si="33"/>
        <v>0.30027740512327633</v>
      </c>
      <c r="V132" t="str">
        <f t="shared" si="34"/>
        <v>Stretched</v>
      </c>
      <c r="W132" t="str">
        <f t="shared" si="35"/>
        <v>NULL</v>
      </c>
      <c r="X132" s="5" t="str">
        <f t="shared" si="36"/>
        <v>High</v>
      </c>
      <c r="Y132" s="5" t="str">
        <f t="shared" si="37"/>
        <v>Medium</v>
      </c>
      <c r="Z132" s="5" t="str">
        <f>IF(B132=120,"NULL",IF(AND(V132="High Stress", W132="High Risk", Y132="Low"),"High Risk : Reject", IF(AND(V132="Healthy", W132="Good",Y132&lt;&gt;"Low"), "Low Risk : Approve", "Medium Risk : Review")))</f>
        <v>Medium Risk : Review</v>
      </c>
      <c r="AA132" s="5" t="str">
        <f t="shared" si="38"/>
        <v>Medium</v>
      </c>
    </row>
    <row r="133" spans="1:27" x14ac:dyDescent="0.2">
      <c r="A133">
        <v>24583</v>
      </c>
      <c r="B133">
        <v>51</v>
      </c>
      <c r="C133">
        <f t="shared" si="26"/>
        <v>51</v>
      </c>
      <c r="D133" t="s">
        <v>27</v>
      </c>
      <c r="E133" t="str">
        <f t="shared" si="27"/>
        <v>Unemployed</v>
      </c>
      <c r="F133">
        <v>5772.04</v>
      </c>
      <c r="G133">
        <f>ABS(Table1[[#This Row],[Monthly_Income]])</f>
        <v>5772.04</v>
      </c>
      <c r="H133">
        <v>20574.48</v>
      </c>
      <c r="I133" s="5">
        <f t="shared" si="28"/>
        <v>20574.48</v>
      </c>
      <c r="J133">
        <v>18</v>
      </c>
      <c r="K133">
        <v>24.04</v>
      </c>
      <c r="L133">
        <v>2</v>
      </c>
      <c r="M133">
        <f t="shared" si="29"/>
        <v>2</v>
      </c>
      <c r="N133">
        <v>5.9</v>
      </c>
      <c r="O133">
        <f t="shared" si="30"/>
        <v>5.9</v>
      </c>
      <c r="P133">
        <v>0</v>
      </c>
      <c r="Q133">
        <f t="shared" si="31"/>
        <v>0</v>
      </c>
      <c r="R133" t="s">
        <v>20</v>
      </c>
      <c r="S133" t="str">
        <f t="shared" si="32"/>
        <v>Written Off</v>
      </c>
      <c r="T133" t="s">
        <v>16</v>
      </c>
      <c r="U133" s="3">
        <f t="shared" si="33"/>
        <v>0.19802819569279953</v>
      </c>
      <c r="V133" t="str">
        <f t="shared" si="34"/>
        <v>Healthy</v>
      </c>
      <c r="W133" t="str">
        <f t="shared" si="35"/>
        <v>Good</v>
      </c>
      <c r="X133" s="5" t="str">
        <f t="shared" si="36"/>
        <v>Medium</v>
      </c>
      <c r="Y133" s="5" t="str">
        <f t="shared" si="37"/>
        <v>Low</v>
      </c>
      <c r="Z133" s="5" t="str">
        <f>IF(B133=120,"NULL",IF(AND(V133="High Stress", W133="High Risk", Y133="Low"),"High Risk : Reject", IF(AND(V133="Healthy", W133="Good",Y133&lt;&gt;"Low"), "Low Risk : Approve", "Medium Risk : Review")))</f>
        <v>Medium Risk : Review</v>
      </c>
      <c r="AA133" s="5" t="str">
        <f t="shared" si="38"/>
        <v>Medium</v>
      </c>
    </row>
    <row r="134" spans="1:27" x14ac:dyDescent="0.2">
      <c r="A134">
        <v>25355</v>
      </c>
      <c r="B134">
        <v>29</v>
      </c>
      <c r="C134">
        <f t="shared" si="26"/>
        <v>29</v>
      </c>
      <c r="D134" t="s">
        <v>23</v>
      </c>
      <c r="E134" t="str">
        <f t="shared" si="27"/>
        <v>Self-Employed</v>
      </c>
      <c r="F134">
        <v>8993.16</v>
      </c>
      <c r="G134">
        <f>ABS(Table1[[#This Row],[Monthly_Income]])</f>
        <v>8993.16</v>
      </c>
      <c r="H134">
        <v>16138.83</v>
      </c>
      <c r="I134" s="5">
        <f t="shared" si="28"/>
        <v>16138.83</v>
      </c>
      <c r="J134">
        <v>48</v>
      </c>
      <c r="K134">
        <v>15.84</v>
      </c>
      <c r="L134">
        <v>4</v>
      </c>
      <c r="M134">
        <f t="shared" si="29"/>
        <v>4</v>
      </c>
      <c r="N134">
        <v>8.8000000000000007</v>
      </c>
      <c r="O134">
        <f t="shared" si="30"/>
        <v>8.8000000000000007</v>
      </c>
      <c r="Q134" t="str">
        <f t="shared" si="31"/>
        <v>NULL</v>
      </c>
      <c r="R134" t="s">
        <v>15</v>
      </c>
      <c r="S134" t="str">
        <f t="shared" si="32"/>
        <v xml:space="preserve">Performing </v>
      </c>
      <c r="T134" t="s">
        <v>22</v>
      </c>
      <c r="U134" s="3">
        <f t="shared" si="33"/>
        <v>3.7386816758514248E-2</v>
      </c>
      <c r="V134" t="str">
        <f t="shared" si="34"/>
        <v>Healthy</v>
      </c>
      <c r="W134" t="str">
        <f t="shared" si="35"/>
        <v>NULL</v>
      </c>
      <c r="X134" s="5" t="str">
        <f t="shared" si="36"/>
        <v>Medium</v>
      </c>
      <c r="Y134" s="5" t="str">
        <f t="shared" si="37"/>
        <v>Medium</v>
      </c>
      <c r="Z134" s="5" t="str">
        <f>IF(B134=120,"NULL",IF(AND(V134="High Stress", W134="High Risk", Y134="Low"),"High Risk : Reject", IF(AND(V134="Healthy", W134="Good",Y134&lt;&gt;"Low"), "Low Risk : Approve", "Medium Risk : Review")))</f>
        <v>Medium Risk : Review</v>
      </c>
      <c r="AA134" s="5" t="str">
        <f t="shared" si="38"/>
        <v>High</v>
      </c>
    </row>
    <row r="135" spans="1:27" x14ac:dyDescent="0.2">
      <c r="A135">
        <v>22896</v>
      </c>
      <c r="B135">
        <v>43</v>
      </c>
      <c r="C135">
        <f t="shared" si="26"/>
        <v>43</v>
      </c>
      <c r="D135" t="s">
        <v>27</v>
      </c>
      <c r="E135" t="str">
        <f t="shared" si="27"/>
        <v>Unemployed</v>
      </c>
      <c r="F135">
        <v>6129.13</v>
      </c>
      <c r="G135">
        <f>ABS(Table1[[#This Row],[Monthly_Income]])</f>
        <v>6129.13</v>
      </c>
      <c r="H135">
        <v>35512.120000000003</v>
      </c>
      <c r="I135" s="5">
        <f t="shared" si="28"/>
        <v>35512.120000000003</v>
      </c>
      <c r="J135">
        <v>48</v>
      </c>
      <c r="K135">
        <v>10.11</v>
      </c>
      <c r="L135">
        <v>2</v>
      </c>
      <c r="M135">
        <f t="shared" si="29"/>
        <v>2</v>
      </c>
      <c r="N135">
        <v>5.7</v>
      </c>
      <c r="O135">
        <f t="shared" si="30"/>
        <v>5.7</v>
      </c>
      <c r="P135">
        <v>30</v>
      </c>
      <c r="Q135">
        <f t="shared" si="31"/>
        <v>30</v>
      </c>
      <c r="R135" t="s">
        <v>24</v>
      </c>
      <c r="S135" t="str">
        <f t="shared" si="32"/>
        <v>Non-Performing</v>
      </c>
      <c r="T135" t="s">
        <v>22</v>
      </c>
      <c r="U135" s="3">
        <f t="shared" si="33"/>
        <v>0.1207081320404908</v>
      </c>
      <c r="V135" t="str">
        <f t="shared" si="34"/>
        <v>Healthy</v>
      </c>
      <c r="W135" t="str">
        <f t="shared" si="35"/>
        <v>At Risk</v>
      </c>
      <c r="X135" s="5" t="str">
        <f t="shared" si="36"/>
        <v>High</v>
      </c>
      <c r="Y135" s="5" t="str">
        <f t="shared" si="37"/>
        <v>Low</v>
      </c>
      <c r="Z135" s="5" t="str">
        <f>IF(B135=120,"NULL",IF(AND(V135="High Stress", W135="High Risk", Y135="Low"),"High Risk : Reject", IF(AND(V135="Healthy", W135="Good",Y135&lt;&gt;"Low"), "Low Risk : Approve", "Medium Risk : Review")))</f>
        <v>Medium Risk : Review</v>
      </c>
      <c r="AA135" s="5" t="str">
        <f t="shared" si="38"/>
        <v>Medium</v>
      </c>
    </row>
    <row r="136" spans="1:27" x14ac:dyDescent="0.2">
      <c r="A136">
        <v>20050</v>
      </c>
      <c r="B136">
        <v>27</v>
      </c>
      <c r="C136">
        <f t="shared" si="26"/>
        <v>27</v>
      </c>
      <c r="D136" t="s">
        <v>12</v>
      </c>
      <c r="E136" t="str">
        <f t="shared" si="27"/>
        <v>Self-Employed</v>
      </c>
      <c r="F136">
        <v>5847.1</v>
      </c>
      <c r="G136">
        <f>ABS(Table1[[#This Row],[Monthly_Income]])</f>
        <v>5847.1</v>
      </c>
      <c r="H136">
        <v>24571.72</v>
      </c>
      <c r="I136" s="5">
        <f t="shared" si="28"/>
        <v>24571.72</v>
      </c>
      <c r="J136">
        <v>18</v>
      </c>
      <c r="K136">
        <v>26.82</v>
      </c>
      <c r="L136">
        <v>4</v>
      </c>
      <c r="M136">
        <f t="shared" si="29"/>
        <v>4</v>
      </c>
      <c r="N136">
        <v>10.9</v>
      </c>
      <c r="O136">
        <f t="shared" si="30"/>
        <v>10.9</v>
      </c>
      <c r="P136">
        <v>60</v>
      </c>
      <c r="Q136">
        <f t="shared" si="31"/>
        <v>60</v>
      </c>
      <c r="R136" t="s">
        <v>13</v>
      </c>
      <c r="S136" t="str">
        <f t="shared" si="32"/>
        <v>Performing</v>
      </c>
      <c r="T136" t="s">
        <v>16</v>
      </c>
      <c r="U136" s="3">
        <f t="shared" si="33"/>
        <v>0.23346540260223966</v>
      </c>
      <c r="V136" t="str">
        <f t="shared" si="34"/>
        <v>Healthy</v>
      </c>
      <c r="W136" t="str">
        <f t="shared" si="35"/>
        <v>High Risk</v>
      </c>
      <c r="X136" s="5" t="str">
        <f t="shared" si="36"/>
        <v>Medium</v>
      </c>
      <c r="Y136" s="5" t="str">
        <f t="shared" si="37"/>
        <v>Medium</v>
      </c>
      <c r="Z136" s="5" t="str">
        <f>IF(B136=120,"NULL",IF(AND(V136="High Stress", W136="High Risk", Y136="Low"),"High Risk : Reject", IF(AND(V136="Healthy", W136="Good",Y136&lt;&gt;"Low"), "Low Risk : Approve", "Medium Risk : Review")))</f>
        <v>Medium Risk : Review</v>
      </c>
      <c r="AA136" s="5" t="str">
        <f t="shared" si="38"/>
        <v>Medium</v>
      </c>
    </row>
    <row r="137" spans="1:27" x14ac:dyDescent="0.2">
      <c r="A137">
        <v>21463</v>
      </c>
      <c r="B137">
        <v>26</v>
      </c>
      <c r="C137">
        <f t="shared" si="26"/>
        <v>26</v>
      </c>
      <c r="D137" t="s">
        <v>12</v>
      </c>
      <c r="E137" t="str">
        <f t="shared" si="27"/>
        <v>Self-Employed</v>
      </c>
      <c r="F137">
        <v>782.41</v>
      </c>
      <c r="G137">
        <f>ABS(Table1[[#This Row],[Monthly_Income]])</f>
        <v>782.41</v>
      </c>
      <c r="H137">
        <v>23063.42</v>
      </c>
      <c r="I137" s="5">
        <f t="shared" si="28"/>
        <v>23063.42</v>
      </c>
      <c r="J137">
        <v>12</v>
      </c>
      <c r="K137">
        <v>23.55</v>
      </c>
      <c r="L137">
        <v>3</v>
      </c>
      <c r="M137">
        <f t="shared" si="29"/>
        <v>3</v>
      </c>
      <c r="N137">
        <v>9.6</v>
      </c>
      <c r="O137">
        <f t="shared" si="30"/>
        <v>9.6</v>
      </c>
      <c r="P137">
        <v>120</v>
      </c>
      <c r="Q137">
        <f t="shared" si="31"/>
        <v>120</v>
      </c>
      <c r="R137" t="s">
        <v>24</v>
      </c>
      <c r="S137" t="str">
        <f t="shared" si="32"/>
        <v>Non-Performing</v>
      </c>
      <c r="T137" t="s">
        <v>16</v>
      </c>
      <c r="U137" s="3">
        <f t="shared" si="33"/>
        <v>2.4564507951926311</v>
      </c>
      <c r="V137" t="str">
        <f t="shared" si="34"/>
        <v>High Stress</v>
      </c>
      <c r="W137" t="str">
        <f t="shared" si="35"/>
        <v>High Risk</v>
      </c>
      <c r="X137" s="5" t="str">
        <f t="shared" si="36"/>
        <v>Medium</v>
      </c>
      <c r="Y137" s="5" t="str">
        <f t="shared" si="37"/>
        <v>Medium</v>
      </c>
      <c r="Z137" s="5" t="str">
        <f>IF(B137=120,"NULL",IF(AND(V137="High Stress", W137="High Risk", Y137="Low"),"High Risk : Reject", IF(AND(V137="Healthy", W137="Good",Y137&lt;&gt;"Low"), "Low Risk : Approve", "Medium Risk : Review")))</f>
        <v>Medium Risk : Review</v>
      </c>
      <c r="AA137" s="5" t="str">
        <f t="shared" si="38"/>
        <v>Low</v>
      </c>
    </row>
    <row r="138" spans="1:27" x14ac:dyDescent="0.2">
      <c r="A138">
        <v>25453</v>
      </c>
      <c r="B138">
        <v>44</v>
      </c>
      <c r="C138">
        <f t="shared" si="26"/>
        <v>44</v>
      </c>
      <c r="D138" t="s">
        <v>27</v>
      </c>
      <c r="E138" t="str">
        <f t="shared" si="27"/>
        <v>Unemployed</v>
      </c>
      <c r="F138">
        <v>3666.64</v>
      </c>
      <c r="G138">
        <f>ABS(Table1[[#This Row],[Monthly_Income]])</f>
        <v>3666.64</v>
      </c>
      <c r="H138">
        <v>39759.85</v>
      </c>
      <c r="I138" s="5">
        <f t="shared" si="28"/>
        <v>39759.85</v>
      </c>
      <c r="J138">
        <v>12</v>
      </c>
      <c r="K138">
        <v>18.809999999999999</v>
      </c>
      <c r="L138">
        <v>4</v>
      </c>
      <c r="M138">
        <f t="shared" si="29"/>
        <v>4</v>
      </c>
      <c r="N138">
        <v>3.6</v>
      </c>
      <c r="O138">
        <f t="shared" si="30"/>
        <v>3.6</v>
      </c>
      <c r="P138">
        <v>60</v>
      </c>
      <c r="Q138">
        <f t="shared" si="31"/>
        <v>60</v>
      </c>
      <c r="R138" t="s">
        <v>13</v>
      </c>
      <c r="S138" t="str">
        <f t="shared" si="32"/>
        <v>Performing</v>
      </c>
      <c r="T138" t="s">
        <v>19</v>
      </c>
      <c r="U138" s="3">
        <f t="shared" si="33"/>
        <v>0.90363952646928336</v>
      </c>
      <c r="V138" t="str">
        <f t="shared" si="34"/>
        <v>High Stress</v>
      </c>
      <c r="W138" t="str">
        <f t="shared" si="35"/>
        <v>High Risk</v>
      </c>
      <c r="X138" s="5" t="str">
        <f t="shared" si="36"/>
        <v>High</v>
      </c>
      <c r="Y138" s="5" t="str">
        <f t="shared" si="37"/>
        <v>Low</v>
      </c>
      <c r="Z138" s="5" t="str">
        <f>IF(B138=120,"NULL",IF(AND(V138="High Stress", W138="High Risk", Y138="Low"),"High Risk : Reject", IF(AND(V138="Healthy", W138="Good",Y138&lt;&gt;"Low"), "Low Risk : Approve", "Medium Risk : Review")))</f>
        <v>High Risk : Reject</v>
      </c>
      <c r="AA138" s="5" t="str">
        <f t="shared" si="38"/>
        <v>Medium</v>
      </c>
    </row>
    <row r="139" spans="1:27" x14ac:dyDescent="0.2">
      <c r="A139">
        <v>25738</v>
      </c>
      <c r="B139">
        <v>53</v>
      </c>
      <c r="C139">
        <f t="shared" si="26"/>
        <v>53</v>
      </c>
      <c r="D139" t="s">
        <v>17</v>
      </c>
      <c r="E139" t="str">
        <f t="shared" si="27"/>
        <v>Contract</v>
      </c>
      <c r="F139">
        <v>5606.42</v>
      </c>
      <c r="G139">
        <f>ABS(Table1[[#This Row],[Monthly_Income]])</f>
        <v>5606.42</v>
      </c>
      <c r="H139">
        <v>8025.93</v>
      </c>
      <c r="I139" s="5">
        <f t="shared" si="28"/>
        <v>8025.93</v>
      </c>
      <c r="J139">
        <v>60</v>
      </c>
      <c r="K139">
        <v>10.9</v>
      </c>
      <c r="M139" t="str">
        <f t="shared" si="29"/>
        <v>NULL</v>
      </c>
      <c r="N139">
        <v>5.2</v>
      </c>
      <c r="O139">
        <f t="shared" si="30"/>
        <v>5.2</v>
      </c>
      <c r="P139">
        <v>0</v>
      </c>
      <c r="Q139">
        <f t="shared" si="31"/>
        <v>0</v>
      </c>
      <c r="R139" t="s">
        <v>13</v>
      </c>
      <c r="S139" t="str">
        <f t="shared" si="32"/>
        <v>Performing</v>
      </c>
      <c r="T139" t="s">
        <v>14</v>
      </c>
      <c r="U139" s="3">
        <f t="shared" si="33"/>
        <v>2.3859343395607181E-2</v>
      </c>
      <c r="V139" t="str">
        <f t="shared" si="34"/>
        <v>Healthy</v>
      </c>
      <c r="W139" t="str">
        <f t="shared" si="35"/>
        <v>Good</v>
      </c>
      <c r="X139" s="5" t="str">
        <f t="shared" si="36"/>
        <v>Small</v>
      </c>
      <c r="Y139" s="5" t="str">
        <f t="shared" si="37"/>
        <v>Low</v>
      </c>
      <c r="Z139" s="5" t="str">
        <f>IF(B139=120,"NULL",IF(AND(V139="High Stress", W139="High Risk", Y139="Low"),"High Risk : Reject", IF(AND(V139="Healthy", W139="Good",Y139&lt;&gt;"Low"), "Low Risk : Approve", "Medium Risk : Review")))</f>
        <v>Medium Risk : Review</v>
      </c>
      <c r="AA139" s="5" t="str">
        <f t="shared" si="38"/>
        <v>Medium</v>
      </c>
    </row>
    <row r="140" spans="1:27" x14ac:dyDescent="0.2">
      <c r="A140">
        <v>25097</v>
      </c>
      <c r="B140">
        <v>64</v>
      </c>
      <c r="C140">
        <f t="shared" si="26"/>
        <v>64</v>
      </c>
      <c r="D140" t="s">
        <v>17</v>
      </c>
      <c r="E140" t="str">
        <f t="shared" si="27"/>
        <v>Contract</v>
      </c>
      <c r="F140">
        <v>9998.5</v>
      </c>
      <c r="G140">
        <f>ABS(Table1[[#This Row],[Monthly_Income]])</f>
        <v>9998.5</v>
      </c>
      <c r="H140">
        <v>16899.259999999998</v>
      </c>
      <c r="I140" s="5">
        <f t="shared" si="28"/>
        <v>16899.259999999998</v>
      </c>
      <c r="J140">
        <v>60</v>
      </c>
      <c r="K140">
        <v>28.95</v>
      </c>
      <c r="L140">
        <v>2</v>
      </c>
      <c r="M140">
        <f t="shared" si="29"/>
        <v>2</v>
      </c>
      <c r="N140">
        <v>10.5</v>
      </c>
      <c r="O140">
        <f t="shared" si="30"/>
        <v>10.5</v>
      </c>
      <c r="P140">
        <v>120</v>
      </c>
      <c r="Q140">
        <f t="shared" si="31"/>
        <v>120</v>
      </c>
      <c r="R140" t="s">
        <v>18</v>
      </c>
      <c r="S140" t="str">
        <f t="shared" si="32"/>
        <v>Non-Performing</v>
      </c>
      <c r="T140" t="s">
        <v>14</v>
      </c>
      <c r="U140" s="3">
        <f t="shared" si="33"/>
        <v>2.8169658782150653E-2</v>
      </c>
      <c r="V140" t="str">
        <f t="shared" si="34"/>
        <v>Healthy</v>
      </c>
      <c r="W140" t="str">
        <f t="shared" si="35"/>
        <v>High Risk</v>
      </c>
      <c r="X140" s="5" t="str">
        <f t="shared" si="36"/>
        <v>Medium</v>
      </c>
      <c r="Y140" s="5" t="str">
        <f t="shared" si="37"/>
        <v>Low</v>
      </c>
      <c r="Z140" s="5" t="str">
        <f>IF(B140=120,"NULL",IF(AND(V140="High Stress", W140="High Risk", Y140="Low"),"High Risk : Reject", IF(AND(V140="Healthy", W140="Good",Y140&lt;&gt;"Low"), "Low Risk : Approve", "Medium Risk : Review")))</f>
        <v>Medium Risk : Review</v>
      </c>
      <c r="AA140" s="5" t="str">
        <f t="shared" si="38"/>
        <v>High</v>
      </c>
    </row>
    <row r="141" spans="1:27" x14ac:dyDescent="0.2">
      <c r="A141">
        <v>25085</v>
      </c>
      <c r="B141">
        <v>75</v>
      </c>
      <c r="C141">
        <f t="shared" si="26"/>
        <v>75</v>
      </c>
      <c r="D141" t="s">
        <v>23</v>
      </c>
      <c r="E141" t="str">
        <f t="shared" si="27"/>
        <v>Self-Employed</v>
      </c>
      <c r="F141">
        <v>9321.27</v>
      </c>
      <c r="G141">
        <f>ABS(Table1[[#This Row],[Monthly_Income]])</f>
        <v>9321.27</v>
      </c>
      <c r="H141"/>
      <c r="I141" s="5" t="str">
        <f t="shared" si="28"/>
        <v>NULL</v>
      </c>
      <c r="J141">
        <v>12</v>
      </c>
      <c r="K141">
        <v>21.85</v>
      </c>
      <c r="L141">
        <v>4</v>
      </c>
      <c r="M141">
        <f t="shared" si="29"/>
        <v>4</v>
      </c>
      <c r="N141">
        <v>5.5</v>
      </c>
      <c r="O141">
        <f t="shared" si="30"/>
        <v>5.5</v>
      </c>
      <c r="P141">
        <v>0</v>
      </c>
      <c r="Q141">
        <f t="shared" si="31"/>
        <v>0</v>
      </c>
      <c r="R141" t="s">
        <v>13</v>
      </c>
      <c r="S141" t="str">
        <f t="shared" si="32"/>
        <v>Performing</v>
      </c>
      <c r="T141" t="s">
        <v>14</v>
      </c>
      <c r="U141" s="3" t="str">
        <f t="shared" si="33"/>
        <v>NULL</v>
      </c>
      <c r="V141" t="str">
        <f t="shared" si="34"/>
        <v>NULL</v>
      </c>
      <c r="W141" t="str">
        <f t="shared" si="35"/>
        <v>Good</v>
      </c>
      <c r="X141" s="5" t="str">
        <f t="shared" si="36"/>
        <v>High</v>
      </c>
      <c r="Y141" s="5" t="str">
        <f t="shared" si="37"/>
        <v>Medium</v>
      </c>
      <c r="Z141" s="5" t="str">
        <f>IF(B141=120,"NULL",IF(AND(V141="High Stress", W141="High Risk", Y141="Low"),"High Risk : Reject", IF(AND(V141="Healthy", W141="Good",Y141&lt;&gt;"Low"), "Low Risk : Approve", "Medium Risk : Review")))</f>
        <v>Medium Risk : Review</v>
      </c>
      <c r="AA141" s="5" t="str">
        <f t="shared" si="38"/>
        <v>High</v>
      </c>
    </row>
    <row r="142" spans="1:27" x14ac:dyDescent="0.2">
      <c r="A142">
        <v>20183</v>
      </c>
      <c r="B142">
        <v>52</v>
      </c>
      <c r="C142">
        <f t="shared" si="26"/>
        <v>52</v>
      </c>
      <c r="D142" t="s">
        <v>23</v>
      </c>
      <c r="E142" t="str">
        <f t="shared" si="27"/>
        <v>Self-Employed</v>
      </c>
      <c r="F142">
        <v>762.03</v>
      </c>
      <c r="G142">
        <f>ABS(Table1[[#This Row],[Monthly_Income]])</f>
        <v>762.03</v>
      </c>
      <c r="H142">
        <v>33644.800000000003</v>
      </c>
      <c r="I142" s="5">
        <f t="shared" si="28"/>
        <v>33644.800000000003</v>
      </c>
      <c r="J142">
        <v>12</v>
      </c>
      <c r="K142">
        <v>19.54</v>
      </c>
      <c r="L142">
        <v>2</v>
      </c>
      <c r="M142">
        <f t="shared" si="29"/>
        <v>2</v>
      </c>
      <c r="N142">
        <v>0.8</v>
      </c>
      <c r="O142">
        <f t="shared" si="30"/>
        <v>0.8</v>
      </c>
      <c r="Q142" t="str">
        <f t="shared" si="31"/>
        <v>NULL</v>
      </c>
      <c r="R142" t="s">
        <v>15</v>
      </c>
      <c r="S142" t="str">
        <f t="shared" si="32"/>
        <v xml:space="preserve">Performing </v>
      </c>
      <c r="T142" t="s">
        <v>14</v>
      </c>
      <c r="U142" s="3">
        <f t="shared" si="33"/>
        <v>3.679295215848895</v>
      </c>
      <c r="V142" t="str">
        <f t="shared" si="34"/>
        <v>High Stress</v>
      </c>
      <c r="W142" t="str">
        <f t="shared" si="35"/>
        <v>NULL</v>
      </c>
      <c r="X142" s="5" t="str">
        <f t="shared" si="36"/>
        <v>High</v>
      </c>
      <c r="Y142" s="5" t="str">
        <f t="shared" si="37"/>
        <v>Medium</v>
      </c>
      <c r="Z142" s="5" t="str">
        <f>IF(B142=120,"NULL",IF(AND(V142="High Stress", W142="High Risk", Y142="Low"),"High Risk : Reject", IF(AND(V142="Healthy", W142="Good",Y142&lt;&gt;"Low"), "Low Risk : Approve", "Medium Risk : Review")))</f>
        <v>Medium Risk : Review</v>
      </c>
      <c r="AA142" s="5" t="str">
        <f t="shared" si="38"/>
        <v>Low</v>
      </c>
    </row>
    <row r="143" spans="1:27" x14ac:dyDescent="0.2">
      <c r="A143">
        <v>21712</v>
      </c>
      <c r="B143">
        <v>63</v>
      </c>
      <c r="C143">
        <f t="shared" si="26"/>
        <v>63</v>
      </c>
      <c r="D143" t="s">
        <v>23</v>
      </c>
      <c r="E143" t="str">
        <f t="shared" si="27"/>
        <v>Self-Employed</v>
      </c>
      <c r="F143">
        <v>6289.96</v>
      </c>
      <c r="G143">
        <f>ABS(Table1[[#This Row],[Monthly_Income]])</f>
        <v>6289.96</v>
      </c>
      <c r="H143">
        <v>20097.240000000002</v>
      </c>
      <c r="I143" s="5">
        <f t="shared" si="28"/>
        <v>20097.240000000002</v>
      </c>
      <c r="J143">
        <v>36</v>
      </c>
      <c r="K143">
        <v>10.57</v>
      </c>
      <c r="L143">
        <v>1</v>
      </c>
      <c r="M143">
        <f t="shared" si="29"/>
        <v>1</v>
      </c>
      <c r="N143">
        <v>13.2</v>
      </c>
      <c r="O143">
        <f t="shared" si="30"/>
        <v>13.2</v>
      </c>
      <c r="P143">
        <v>60</v>
      </c>
      <c r="Q143">
        <f t="shared" si="31"/>
        <v>60</v>
      </c>
      <c r="R143" t="s">
        <v>15</v>
      </c>
      <c r="S143" t="str">
        <f t="shared" si="32"/>
        <v xml:space="preserve">Performing </v>
      </c>
      <c r="T143" t="s">
        <v>19</v>
      </c>
      <c r="U143" s="3">
        <f t="shared" si="33"/>
        <v>8.8753611575696306E-2</v>
      </c>
      <c r="V143" t="str">
        <f t="shared" si="34"/>
        <v>Healthy</v>
      </c>
      <c r="W143" t="str">
        <f t="shared" si="35"/>
        <v>High Risk</v>
      </c>
      <c r="X143" s="5" t="str">
        <f t="shared" si="36"/>
        <v>Medium</v>
      </c>
      <c r="Y143" s="5" t="str">
        <f t="shared" si="37"/>
        <v>Medium</v>
      </c>
      <c r="Z143" s="5" t="str">
        <f>IF(B143=120,"NULL",IF(AND(V143="High Stress", W143="High Risk", Y143="Low"),"High Risk : Reject", IF(AND(V143="Healthy", W143="Good",Y143&lt;&gt;"Low"), "Low Risk : Approve", "Medium Risk : Review")))</f>
        <v>Medium Risk : Review</v>
      </c>
      <c r="AA143" s="5" t="str">
        <f t="shared" si="38"/>
        <v>Medium</v>
      </c>
    </row>
    <row r="144" spans="1:27" x14ac:dyDescent="0.2">
      <c r="A144">
        <v>24042</v>
      </c>
      <c r="B144">
        <v>25</v>
      </c>
      <c r="C144">
        <f t="shared" si="26"/>
        <v>25</v>
      </c>
      <c r="D144" t="s">
        <v>26</v>
      </c>
      <c r="E144" t="str">
        <f t="shared" si="27"/>
        <v>Salaried</v>
      </c>
      <c r="F144">
        <v>2934.01</v>
      </c>
      <c r="G144">
        <f>ABS(Table1[[#This Row],[Monthly_Income]])</f>
        <v>2934.01</v>
      </c>
      <c r="H144">
        <v>26885.26</v>
      </c>
      <c r="I144" s="5">
        <f t="shared" si="28"/>
        <v>26885.26</v>
      </c>
      <c r="J144">
        <v>60</v>
      </c>
      <c r="K144">
        <v>18.350000000000001</v>
      </c>
      <c r="L144">
        <v>0</v>
      </c>
      <c r="M144">
        <f t="shared" si="29"/>
        <v>0</v>
      </c>
      <c r="N144">
        <v>1.5</v>
      </c>
      <c r="O144">
        <f t="shared" si="30"/>
        <v>1.5</v>
      </c>
      <c r="P144">
        <v>0</v>
      </c>
      <c r="Q144">
        <f t="shared" si="31"/>
        <v>0</v>
      </c>
      <c r="R144" t="s">
        <v>13</v>
      </c>
      <c r="S144" t="str">
        <f t="shared" si="32"/>
        <v>Performing</v>
      </c>
      <c r="T144" t="s">
        <v>22</v>
      </c>
      <c r="U144" s="3">
        <f t="shared" si="33"/>
        <v>0.1527219289186699</v>
      </c>
      <c r="V144" t="str">
        <f t="shared" si="34"/>
        <v>Healthy</v>
      </c>
      <c r="W144" t="str">
        <f t="shared" si="35"/>
        <v>Good</v>
      </c>
      <c r="X144" s="5" t="str">
        <f t="shared" si="36"/>
        <v>Medium</v>
      </c>
      <c r="Y144" s="5" t="str">
        <f t="shared" si="37"/>
        <v>High</v>
      </c>
      <c r="Z144" s="5" t="str">
        <f>IF(B144=120,"NULL",IF(AND(V144="High Stress", W144="High Risk", Y144="Low"),"High Risk : Reject", IF(AND(V144="Healthy", W144="Good",Y144&lt;&gt;"Low"), "Low Risk : Approve", "Medium Risk : Review")))</f>
        <v>Low Risk : Approve</v>
      </c>
      <c r="AA144" s="5" t="str">
        <f t="shared" si="38"/>
        <v>Medium</v>
      </c>
    </row>
    <row r="145" spans="1:27" x14ac:dyDescent="0.2">
      <c r="A145">
        <v>22648</v>
      </c>
      <c r="B145">
        <v>37</v>
      </c>
      <c r="C145">
        <f t="shared" si="26"/>
        <v>37</v>
      </c>
      <c r="D145" t="s">
        <v>26</v>
      </c>
      <c r="E145" t="str">
        <f t="shared" si="27"/>
        <v>Salaried</v>
      </c>
      <c r="F145">
        <v>3977.31</v>
      </c>
      <c r="G145">
        <f>ABS(Table1[[#This Row],[Monthly_Income]])</f>
        <v>3977.31</v>
      </c>
      <c r="H145">
        <v>12095.26</v>
      </c>
      <c r="I145" s="5">
        <f t="shared" si="28"/>
        <v>12095.26</v>
      </c>
      <c r="J145">
        <v>48</v>
      </c>
      <c r="K145">
        <v>18.48</v>
      </c>
      <c r="L145">
        <v>0</v>
      </c>
      <c r="M145">
        <f t="shared" si="29"/>
        <v>0</v>
      </c>
      <c r="N145">
        <v>6.6</v>
      </c>
      <c r="O145">
        <f t="shared" si="30"/>
        <v>6.6</v>
      </c>
      <c r="P145">
        <v>0</v>
      </c>
      <c r="Q145">
        <f t="shared" si="31"/>
        <v>0</v>
      </c>
      <c r="R145" t="s">
        <v>15</v>
      </c>
      <c r="S145" t="str">
        <f t="shared" si="32"/>
        <v xml:space="preserve">Performing </v>
      </c>
      <c r="T145" t="s">
        <v>19</v>
      </c>
      <c r="U145" s="3">
        <f t="shared" si="33"/>
        <v>6.3355530077699077E-2</v>
      </c>
      <c r="V145" t="str">
        <f t="shared" si="34"/>
        <v>Healthy</v>
      </c>
      <c r="W145" t="str">
        <f t="shared" si="35"/>
        <v>Good</v>
      </c>
      <c r="X145" s="5" t="str">
        <f t="shared" si="36"/>
        <v>Medium</v>
      </c>
      <c r="Y145" s="5" t="str">
        <f t="shared" si="37"/>
        <v>High</v>
      </c>
      <c r="Z145" s="5" t="str">
        <f>IF(B145=120,"NULL",IF(AND(V145="High Stress", W145="High Risk", Y145="Low"),"High Risk : Reject", IF(AND(V145="Healthy", W145="Good",Y145&lt;&gt;"Low"), "Low Risk : Approve", "Medium Risk : Review")))</f>
        <v>Low Risk : Approve</v>
      </c>
      <c r="AA145" s="5" t="str">
        <f t="shared" si="38"/>
        <v>Medium</v>
      </c>
    </row>
    <row r="146" spans="1:27" x14ac:dyDescent="0.2">
      <c r="A146">
        <v>25782</v>
      </c>
      <c r="B146">
        <v>23</v>
      </c>
      <c r="C146">
        <f t="shared" si="26"/>
        <v>23</v>
      </c>
      <c r="D146" t="s">
        <v>26</v>
      </c>
      <c r="E146" t="str">
        <f t="shared" si="27"/>
        <v>Salaried</v>
      </c>
      <c r="F146">
        <v>4679.62</v>
      </c>
      <c r="G146">
        <f>ABS(Table1[[#This Row],[Monthly_Income]])</f>
        <v>4679.62</v>
      </c>
      <c r="H146">
        <v>32608.91</v>
      </c>
      <c r="I146" s="5">
        <f t="shared" si="28"/>
        <v>32608.91</v>
      </c>
      <c r="J146">
        <v>6</v>
      </c>
      <c r="K146">
        <v>20.13</v>
      </c>
      <c r="L146">
        <v>0</v>
      </c>
      <c r="M146">
        <f t="shared" si="29"/>
        <v>0</v>
      </c>
      <c r="N146">
        <v>10.7</v>
      </c>
      <c r="O146">
        <f t="shared" si="30"/>
        <v>10.7</v>
      </c>
      <c r="Q146" t="str">
        <f t="shared" si="31"/>
        <v>NULL</v>
      </c>
      <c r="R146" t="s">
        <v>24</v>
      </c>
      <c r="S146" t="str">
        <f t="shared" si="32"/>
        <v>Non-Performing</v>
      </c>
      <c r="T146" t="s">
        <v>16</v>
      </c>
      <c r="U146" s="3">
        <f t="shared" si="33"/>
        <v>1.1613802687682617</v>
      </c>
      <c r="V146" t="str">
        <f t="shared" si="34"/>
        <v>High Stress</v>
      </c>
      <c r="W146" t="str">
        <f t="shared" si="35"/>
        <v>NULL</v>
      </c>
      <c r="X146" s="5" t="str">
        <f t="shared" si="36"/>
        <v>High</v>
      </c>
      <c r="Y146" s="5" t="str">
        <f t="shared" si="37"/>
        <v>High</v>
      </c>
      <c r="Z146" s="5" t="str">
        <f>IF(B146=120,"NULL",IF(AND(V146="High Stress", W146="High Risk", Y146="Low"),"High Risk : Reject", IF(AND(V146="Healthy", W146="Good",Y146&lt;&gt;"Low"), "Low Risk : Approve", "Medium Risk : Review")))</f>
        <v>Medium Risk : Review</v>
      </c>
      <c r="AA146" s="5" t="str">
        <f t="shared" si="38"/>
        <v>Medium</v>
      </c>
    </row>
    <row r="147" spans="1:27" x14ac:dyDescent="0.2">
      <c r="A147">
        <v>23333</v>
      </c>
      <c r="B147">
        <v>26</v>
      </c>
      <c r="C147">
        <f t="shared" si="26"/>
        <v>26</v>
      </c>
      <c r="D147" t="s">
        <v>17</v>
      </c>
      <c r="E147" t="str">
        <f t="shared" si="27"/>
        <v>Contract</v>
      </c>
      <c r="F147">
        <v>3039.34</v>
      </c>
      <c r="G147">
        <f>ABS(Table1[[#This Row],[Monthly_Income]])</f>
        <v>3039.34</v>
      </c>
      <c r="H147">
        <v>20564.12</v>
      </c>
      <c r="I147" s="5">
        <f t="shared" si="28"/>
        <v>20564.12</v>
      </c>
      <c r="J147">
        <v>12</v>
      </c>
      <c r="K147">
        <v>23.37</v>
      </c>
      <c r="L147">
        <v>3</v>
      </c>
      <c r="M147">
        <f t="shared" si="29"/>
        <v>3</v>
      </c>
      <c r="N147">
        <v>7.8</v>
      </c>
      <c r="O147">
        <f t="shared" si="30"/>
        <v>7.8</v>
      </c>
      <c r="P147">
        <v>15</v>
      </c>
      <c r="Q147">
        <f t="shared" si="31"/>
        <v>15</v>
      </c>
      <c r="R147" t="s">
        <v>20</v>
      </c>
      <c r="S147" t="str">
        <f t="shared" si="32"/>
        <v>Written Off</v>
      </c>
      <c r="T147" t="s">
        <v>25</v>
      </c>
      <c r="U147" s="3">
        <f t="shared" si="33"/>
        <v>0.56383184068471004</v>
      </c>
      <c r="V147" t="str">
        <f t="shared" si="34"/>
        <v>High Stress</v>
      </c>
      <c r="W147" t="str">
        <f t="shared" si="35"/>
        <v>Good</v>
      </c>
      <c r="X147" s="5" t="str">
        <f t="shared" si="36"/>
        <v>Medium</v>
      </c>
      <c r="Y147" s="5" t="str">
        <f t="shared" si="37"/>
        <v>Low</v>
      </c>
      <c r="Z147" s="5" t="str">
        <f>IF(B147=120,"NULL",IF(AND(V147="High Stress", W147="High Risk", Y147="Low"),"High Risk : Reject", IF(AND(V147="Healthy", W147="Good",Y147&lt;&gt;"Low"), "Low Risk : Approve", "Medium Risk : Review")))</f>
        <v>Medium Risk : Review</v>
      </c>
      <c r="AA147" s="5" t="str">
        <f t="shared" si="38"/>
        <v>Medium</v>
      </c>
    </row>
    <row r="148" spans="1:27" x14ac:dyDescent="0.2">
      <c r="A148">
        <v>20234</v>
      </c>
      <c r="B148">
        <v>43</v>
      </c>
      <c r="C148">
        <f t="shared" si="26"/>
        <v>43</v>
      </c>
      <c r="D148" t="s">
        <v>17</v>
      </c>
      <c r="E148" t="str">
        <f t="shared" si="27"/>
        <v>Contract</v>
      </c>
      <c r="F148">
        <v>-1500</v>
      </c>
      <c r="G148">
        <f>ABS(Table1[[#This Row],[Monthly_Income]])</f>
        <v>1500</v>
      </c>
      <c r="H148">
        <v>12120.31</v>
      </c>
      <c r="I148" s="5">
        <f t="shared" si="28"/>
        <v>12120.31</v>
      </c>
      <c r="J148">
        <v>12</v>
      </c>
      <c r="K148">
        <v>12.69</v>
      </c>
      <c r="L148">
        <v>1</v>
      </c>
      <c r="M148">
        <f t="shared" si="29"/>
        <v>1</v>
      </c>
      <c r="N148">
        <v>-2.2999999999999998</v>
      </c>
      <c r="O148">
        <f t="shared" si="30"/>
        <v>2.2999999999999998</v>
      </c>
      <c r="P148">
        <v>0</v>
      </c>
      <c r="Q148">
        <f t="shared" si="31"/>
        <v>0</v>
      </c>
      <c r="R148" t="s">
        <v>24</v>
      </c>
      <c r="S148" t="str">
        <f t="shared" si="32"/>
        <v>Non-Performing</v>
      </c>
      <c r="T148" t="s">
        <v>16</v>
      </c>
      <c r="U148" s="3">
        <f t="shared" si="33"/>
        <v>0.67335055555555556</v>
      </c>
      <c r="V148" t="str">
        <f t="shared" si="34"/>
        <v>High Stress</v>
      </c>
      <c r="W148" t="str">
        <f t="shared" si="35"/>
        <v>Good</v>
      </c>
      <c r="X148" s="5" t="str">
        <f t="shared" si="36"/>
        <v>Medium</v>
      </c>
      <c r="Y148" s="5" t="str">
        <f t="shared" si="37"/>
        <v>Low</v>
      </c>
      <c r="Z148" s="5" t="str">
        <f>IF(B148=120,"NULL",IF(AND(V148="High Stress", W148="High Risk", Y148="Low"),"High Risk : Reject", IF(AND(V148="Healthy", W148="Good",Y148&lt;&gt;"Low"), "Low Risk : Approve", "Medium Risk : Review")))</f>
        <v>Medium Risk : Review</v>
      </c>
      <c r="AA148" s="5" t="str">
        <f t="shared" si="38"/>
        <v>Low</v>
      </c>
    </row>
    <row r="149" spans="1:27" x14ac:dyDescent="0.2">
      <c r="A149">
        <v>23961</v>
      </c>
      <c r="B149">
        <v>50</v>
      </c>
      <c r="C149">
        <f t="shared" si="26"/>
        <v>50</v>
      </c>
      <c r="D149" t="s">
        <v>23</v>
      </c>
      <c r="E149" t="str">
        <f t="shared" si="27"/>
        <v>Self-Employed</v>
      </c>
      <c r="F149">
        <v>5042.33</v>
      </c>
      <c r="G149">
        <f>ABS(Table1[[#This Row],[Monthly_Income]])</f>
        <v>5042.33</v>
      </c>
      <c r="H149">
        <v>10572.87</v>
      </c>
      <c r="I149" s="5">
        <f t="shared" si="28"/>
        <v>10572.87</v>
      </c>
      <c r="J149">
        <v>48</v>
      </c>
      <c r="K149">
        <v>12.97</v>
      </c>
      <c r="L149">
        <v>1</v>
      </c>
      <c r="M149">
        <f t="shared" si="29"/>
        <v>1</v>
      </c>
      <c r="N149">
        <v>8.6</v>
      </c>
      <c r="O149">
        <f t="shared" si="30"/>
        <v>8.6</v>
      </c>
      <c r="P149">
        <v>60</v>
      </c>
      <c r="Q149">
        <f t="shared" si="31"/>
        <v>60</v>
      </c>
      <c r="R149" t="s">
        <v>24</v>
      </c>
      <c r="S149" t="str">
        <f t="shared" si="32"/>
        <v>Non-Performing</v>
      </c>
      <c r="T149" t="s">
        <v>19</v>
      </c>
      <c r="U149" s="3">
        <f t="shared" si="33"/>
        <v>4.3683797966416325E-2</v>
      </c>
      <c r="V149" t="str">
        <f t="shared" si="34"/>
        <v>Healthy</v>
      </c>
      <c r="W149" t="str">
        <f t="shared" si="35"/>
        <v>High Risk</v>
      </c>
      <c r="X149" s="5" t="str">
        <f t="shared" si="36"/>
        <v>Medium</v>
      </c>
      <c r="Y149" s="5" t="str">
        <f t="shared" si="37"/>
        <v>Medium</v>
      </c>
      <c r="Z149" s="5" t="str">
        <f>IF(B149=120,"NULL",IF(AND(V149="High Stress", W149="High Risk", Y149="Low"),"High Risk : Reject", IF(AND(V149="Healthy", W149="Good",Y149&lt;&gt;"Low"), "Low Risk : Approve", "Medium Risk : Review")))</f>
        <v>Medium Risk : Review</v>
      </c>
      <c r="AA149" s="5" t="str">
        <f t="shared" si="38"/>
        <v>Medium</v>
      </c>
    </row>
    <row r="150" spans="1:27" x14ac:dyDescent="0.2">
      <c r="A150">
        <v>24566</v>
      </c>
      <c r="B150">
        <v>45</v>
      </c>
      <c r="C150">
        <f t="shared" si="26"/>
        <v>45</v>
      </c>
      <c r="D150" t="s">
        <v>27</v>
      </c>
      <c r="E150" t="str">
        <f t="shared" si="27"/>
        <v>Unemployed</v>
      </c>
      <c r="F150">
        <v>2493.87</v>
      </c>
      <c r="G150">
        <f>ABS(Table1[[#This Row],[Monthly_Income]])</f>
        <v>2493.87</v>
      </c>
      <c r="H150">
        <v>17393.02</v>
      </c>
      <c r="I150" s="5">
        <f t="shared" si="28"/>
        <v>17393.02</v>
      </c>
      <c r="J150">
        <v>60</v>
      </c>
      <c r="K150">
        <v>21.89</v>
      </c>
      <c r="L150">
        <v>2</v>
      </c>
      <c r="M150">
        <f t="shared" si="29"/>
        <v>2</v>
      </c>
      <c r="N150">
        <v>5.0999999999999996</v>
      </c>
      <c r="O150">
        <f t="shared" si="30"/>
        <v>5.0999999999999996</v>
      </c>
      <c r="P150">
        <v>15</v>
      </c>
      <c r="Q150">
        <f t="shared" si="31"/>
        <v>15</v>
      </c>
      <c r="R150" t="s">
        <v>13</v>
      </c>
      <c r="S150" t="str">
        <f t="shared" si="32"/>
        <v>Performing</v>
      </c>
      <c r="T150" t="s">
        <v>19</v>
      </c>
      <c r="U150" s="3">
        <f t="shared" si="33"/>
        <v>0.11623848342803222</v>
      </c>
      <c r="V150" t="str">
        <f t="shared" si="34"/>
        <v>Healthy</v>
      </c>
      <c r="W150" t="str">
        <f t="shared" si="35"/>
        <v>Good</v>
      </c>
      <c r="X150" s="5" t="str">
        <f t="shared" si="36"/>
        <v>Medium</v>
      </c>
      <c r="Y150" s="5" t="str">
        <f t="shared" si="37"/>
        <v>Low</v>
      </c>
      <c r="Z150" s="5" t="str">
        <f>IF(B150=120,"NULL",IF(AND(V150="High Stress", W150="High Risk", Y150="Low"),"High Risk : Reject", IF(AND(V150="Healthy", W150="Good",Y150&lt;&gt;"Low"), "Low Risk : Approve", "Medium Risk : Review")))</f>
        <v>Medium Risk : Review</v>
      </c>
      <c r="AA150" s="5" t="str">
        <f t="shared" si="38"/>
        <v>Medium</v>
      </c>
    </row>
    <row r="151" spans="1:27" x14ac:dyDescent="0.2">
      <c r="A151">
        <v>24182</v>
      </c>
      <c r="B151">
        <v>41</v>
      </c>
      <c r="C151">
        <f t="shared" si="26"/>
        <v>41</v>
      </c>
      <c r="D151" t="s">
        <v>27</v>
      </c>
      <c r="E151" t="str">
        <f t="shared" si="27"/>
        <v>Unemployed</v>
      </c>
      <c r="F151">
        <v>6970.45</v>
      </c>
      <c r="G151">
        <f>ABS(Table1[[#This Row],[Monthly_Income]])</f>
        <v>6970.45</v>
      </c>
      <c r="H151">
        <v>4889.07</v>
      </c>
      <c r="I151" s="5">
        <f t="shared" si="28"/>
        <v>4889.07</v>
      </c>
      <c r="J151">
        <v>12</v>
      </c>
      <c r="K151">
        <v>21.03</v>
      </c>
      <c r="L151">
        <v>4</v>
      </c>
      <c r="M151">
        <f t="shared" si="29"/>
        <v>4</v>
      </c>
      <c r="N151">
        <v>7.4</v>
      </c>
      <c r="O151">
        <f t="shared" si="30"/>
        <v>7.4</v>
      </c>
      <c r="P151">
        <v>15</v>
      </c>
      <c r="Q151">
        <f t="shared" si="31"/>
        <v>15</v>
      </c>
      <c r="R151" t="s">
        <v>20</v>
      </c>
      <c r="S151" t="str">
        <f t="shared" si="32"/>
        <v>Written Off</v>
      </c>
      <c r="T151" t="s">
        <v>16</v>
      </c>
      <c r="U151" s="3">
        <f t="shared" si="33"/>
        <v>5.8449956602514903E-2</v>
      </c>
      <c r="V151" t="str">
        <f t="shared" si="34"/>
        <v>Healthy</v>
      </c>
      <c r="W151" t="str">
        <f t="shared" si="35"/>
        <v>Good</v>
      </c>
      <c r="X151" s="5" t="str">
        <f t="shared" si="36"/>
        <v>Small</v>
      </c>
      <c r="Y151" s="5" t="str">
        <f t="shared" si="37"/>
        <v>Low</v>
      </c>
      <c r="Z151" s="5" t="str">
        <f>IF(B151=120,"NULL",IF(AND(V151="High Stress", W151="High Risk", Y151="Low"),"High Risk : Reject", IF(AND(V151="Healthy", W151="Good",Y151&lt;&gt;"Low"), "Low Risk : Approve", "Medium Risk : Review")))</f>
        <v>Medium Risk : Review</v>
      </c>
      <c r="AA151" s="5" t="str">
        <f t="shared" si="38"/>
        <v>Medium</v>
      </c>
    </row>
    <row r="152" spans="1:27" x14ac:dyDescent="0.2">
      <c r="A152">
        <v>21695</v>
      </c>
      <c r="B152">
        <v>41</v>
      </c>
      <c r="C152">
        <f t="shared" si="26"/>
        <v>41</v>
      </c>
      <c r="D152" t="s">
        <v>17</v>
      </c>
      <c r="E152" t="str">
        <f t="shared" si="27"/>
        <v>Contract</v>
      </c>
      <c r="F152">
        <v>5388.41</v>
      </c>
      <c r="G152">
        <f>ABS(Table1[[#This Row],[Monthly_Income]])</f>
        <v>5388.41</v>
      </c>
      <c r="H152">
        <v>18719.689999999999</v>
      </c>
      <c r="I152" s="5">
        <f t="shared" si="28"/>
        <v>18719.689999999999</v>
      </c>
      <c r="J152">
        <v>48</v>
      </c>
      <c r="K152">
        <v>22.46</v>
      </c>
      <c r="L152">
        <v>0</v>
      </c>
      <c r="M152">
        <f t="shared" si="29"/>
        <v>0</v>
      </c>
      <c r="N152">
        <v>8.1999999999999993</v>
      </c>
      <c r="O152">
        <f t="shared" si="30"/>
        <v>8.1999999999999993</v>
      </c>
      <c r="P152">
        <v>15</v>
      </c>
      <c r="Q152">
        <f t="shared" si="31"/>
        <v>15</v>
      </c>
      <c r="R152" t="s">
        <v>18</v>
      </c>
      <c r="S152" t="str">
        <f t="shared" si="32"/>
        <v>Non-Performing</v>
      </c>
      <c r="T152" t="s">
        <v>14</v>
      </c>
      <c r="U152" s="3">
        <f t="shared" si="33"/>
        <v>7.2376367363780156E-2</v>
      </c>
      <c r="V152" t="str">
        <f t="shared" si="34"/>
        <v>Healthy</v>
      </c>
      <c r="W152" t="str">
        <f t="shared" si="35"/>
        <v>Good</v>
      </c>
      <c r="X152" s="5" t="str">
        <f t="shared" si="36"/>
        <v>Medium</v>
      </c>
      <c r="Y152" s="5" t="str">
        <f t="shared" si="37"/>
        <v>Low</v>
      </c>
      <c r="Z152" s="5" t="str">
        <f>IF(B152=120,"NULL",IF(AND(V152="High Stress", W152="High Risk", Y152="Low"),"High Risk : Reject", IF(AND(V152="Healthy", W152="Good",Y152&lt;&gt;"Low"), "Low Risk : Approve", "Medium Risk : Review")))</f>
        <v>Medium Risk : Review</v>
      </c>
      <c r="AA152" s="5" t="str">
        <f t="shared" si="38"/>
        <v>Medium</v>
      </c>
    </row>
    <row r="153" spans="1:27" x14ac:dyDescent="0.2">
      <c r="A153">
        <v>23948</v>
      </c>
      <c r="B153">
        <v>39</v>
      </c>
      <c r="C153">
        <f t="shared" si="26"/>
        <v>39</v>
      </c>
      <c r="D153" t="s">
        <v>21</v>
      </c>
      <c r="E153" t="str">
        <f t="shared" si="27"/>
        <v>Salaried</v>
      </c>
      <c r="F153">
        <v>2829.45</v>
      </c>
      <c r="G153">
        <f>ABS(Table1[[#This Row],[Monthly_Income]])</f>
        <v>2829.45</v>
      </c>
      <c r="H153">
        <v>7556.55</v>
      </c>
      <c r="I153" s="5">
        <f t="shared" si="28"/>
        <v>7556.55</v>
      </c>
      <c r="J153">
        <v>48</v>
      </c>
      <c r="K153">
        <v>12.95</v>
      </c>
      <c r="M153" t="str">
        <f t="shared" si="29"/>
        <v>NULL</v>
      </c>
      <c r="N153">
        <v>1.4</v>
      </c>
      <c r="O153">
        <f t="shared" si="30"/>
        <v>1.4</v>
      </c>
      <c r="P153">
        <v>30</v>
      </c>
      <c r="Q153">
        <f t="shared" si="31"/>
        <v>30</v>
      </c>
      <c r="R153" t="s">
        <v>18</v>
      </c>
      <c r="S153" t="str">
        <f t="shared" si="32"/>
        <v>Non-Performing</v>
      </c>
      <c r="T153" t="s">
        <v>16</v>
      </c>
      <c r="U153" s="3">
        <f t="shared" si="33"/>
        <v>5.5639125978547081E-2</v>
      </c>
      <c r="V153" t="str">
        <f t="shared" si="34"/>
        <v>Healthy</v>
      </c>
      <c r="W153" t="str">
        <f t="shared" si="35"/>
        <v>At Risk</v>
      </c>
      <c r="X153" s="5" t="str">
        <f t="shared" si="36"/>
        <v>Small</v>
      </c>
      <c r="Y153" s="5" t="str">
        <f t="shared" si="37"/>
        <v>High</v>
      </c>
      <c r="Z153" s="5" t="str">
        <f>IF(B153=120,"NULL",IF(AND(V153="High Stress", W153="High Risk", Y153="Low"),"High Risk : Reject", IF(AND(V153="Healthy", W153="Good",Y153&lt;&gt;"Low"), "Low Risk : Approve", "Medium Risk : Review")))</f>
        <v>Medium Risk : Review</v>
      </c>
      <c r="AA153" s="5" t="str">
        <f t="shared" si="38"/>
        <v>Medium</v>
      </c>
    </row>
    <row r="154" spans="1:27" x14ac:dyDescent="0.2">
      <c r="A154">
        <v>22525</v>
      </c>
      <c r="B154">
        <v>22</v>
      </c>
      <c r="C154">
        <f t="shared" si="26"/>
        <v>22</v>
      </c>
      <c r="D154" t="s">
        <v>26</v>
      </c>
      <c r="E154" t="str">
        <f t="shared" si="27"/>
        <v>Salaried</v>
      </c>
      <c r="F154">
        <v>4406.3100000000004</v>
      </c>
      <c r="G154">
        <f>ABS(Table1[[#This Row],[Monthly_Income]])</f>
        <v>4406.3100000000004</v>
      </c>
      <c r="H154">
        <v>4778.13</v>
      </c>
      <c r="I154" s="5">
        <f t="shared" si="28"/>
        <v>4778.13</v>
      </c>
      <c r="J154">
        <v>24</v>
      </c>
      <c r="K154">
        <v>20.93</v>
      </c>
      <c r="M154" t="str">
        <f t="shared" si="29"/>
        <v>NULL</v>
      </c>
      <c r="N154">
        <v>15.4</v>
      </c>
      <c r="O154">
        <f t="shared" si="30"/>
        <v>15.4</v>
      </c>
      <c r="P154">
        <v>0</v>
      </c>
      <c r="Q154">
        <f t="shared" si="31"/>
        <v>0</v>
      </c>
      <c r="R154" t="s">
        <v>20</v>
      </c>
      <c r="S154" t="str">
        <f t="shared" si="32"/>
        <v>Written Off</v>
      </c>
      <c r="T154" t="s">
        <v>16</v>
      </c>
      <c r="U154" s="3">
        <f t="shared" si="33"/>
        <v>4.5182647158279833E-2</v>
      </c>
      <c r="V154" t="str">
        <f t="shared" si="34"/>
        <v>Healthy</v>
      </c>
      <c r="W154" t="str">
        <f t="shared" si="35"/>
        <v>Good</v>
      </c>
      <c r="X154" s="5" t="str">
        <f t="shared" si="36"/>
        <v>Small</v>
      </c>
      <c r="Y154" s="5" t="str">
        <f t="shared" si="37"/>
        <v>High</v>
      </c>
      <c r="Z154" s="5" t="str">
        <f>IF(B154=120,"NULL",IF(AND(V154="High Stress", W154="High Risk", Y154="Low"),"High Risk : Reject", IF(AND(V154="Healthy", W154="Good",Y154&lt;&gt;"Low"), "Low Risk : Approve", "Medium Risk : Review")))</f>
        <v>Low Risk : Approve</v>
      </c>
      <c r="AA154" s="5" t="str">
        <f t="shared" si="38"/>
        <v>Medium</v>
      </c>
    </row>
    <row r="155" spans="1:27" x14ac:dyDescent="0.2">
      <c r="A155">
        <v>21849</v>
      </c>
      <c r="B155">
        <v>35</v>
      </c>
      <c r="C155">
        <f t="shared" si="26"/>
        <v>35</v>
      </c>
      <c r="D155" t="s">
        <v>21</v>
      </c>
      <c r="E155" t="str">
        <f t="shared" si="27"/>
        <v>Salaried</v>
      </c>
      <c r="F155">
        <v>3189.71</v>
      </c>
      <c r="G155">
        <f>ABS(Table1[[#This Row],[Monthly_Income]])</f>
        <v>3189.71</v>
      </c>
      <c r="H155"/>
      <c r="I155" s="5" t="str">
        <f t="shared" si="28"/>
        <v>NULL</v>
      </c>
      <c r="J155">
        <v>36</v>
      </c>
      <c r="K155">
        <v>18.559999999999999</v>
      </c>
      <c r="M155" t="str">
        <f t="shared" si="29"/>
        <v>NULL</v>
      </c>
      <c r="N155">
        <v>9.1999999999999993</v>
      </c>
      <c r="O155">
        <f t="shared" si="30"/>
        <v>9.1999999999999993</v>
      </c>
      <c r="P155">
        <v>60</v>
      </c>
      <c r="Q155">
        <f t="shared" si="31"/>
        <v>60</v>
      </c>
      <c r="R155" t="s">
        <v>24</v>
      </c>
      <c r="S155" t="str">
        <f t="shared" si="32"/>
        <v>Non-Performing</v>
      </c>
      <c r="T155" t="s">
        <v>19</v>
      </c>
      <c r="U155" s="3" t="str">
        <f t="shared" si="33"/>
        <v>NULL</v>
      </c>
      <c r="V155" t="str">
        <f t="shared" si="34"/>
        <v>NULL</v>
      </c>
      <c r="W155" t="str">
        <f t="shared" si="35"/>
        <v>High Risk</v>
      </c>
      <c r="X155" s="5" t="str">
        <f t="shared" si="36"/>
        <v>High</v>
      </c>
      <c r="Y155" s="5" t="str">
        <f t="shared" si="37"/>
        <v>High</v>
      </c>
      <c r="Z155" s="5" t="str">
        <f>IF(B155=120,"NULL",IF(AND(V155="High Stress", W155="High Risk", Y155="Low"),"High Risk : Reject", IF(AND(V155="Healthy", W155="Good",Y155&lt;&gt;"Low"), "Low Risk : Approve", "Medium Risk : Review")))</f>
        <v>Medium Risk : Review</v>
      </c>
      <c r="AA155" s="5" t="str">
        <f t="shared" si="38"/>
        <v>Medium</v>
      </c>
    </row>
    <row r="156" spans="1:27" x14ac:dyDescent="0.2">
      <c r="A156">
        <v>21844</v>
      </c>
      <c r="B156">
        <v>45</v>
      </c>
      <c r="C156">
        <f t="shared" si="26"/>
        <v>45</v>
      </c>
      <c r="D156" t="s">
        <v>17</v>
      </c>
      <c r="E156" t="str">
        <f t="shared" si="27"/>
        <v>Contract</v>
      </c>
      <c r="F156">
        <v>5099.62</v>
      </c>
      <c r="G156">
        <f>ABS(Table1[[#This Row],[Monthly_Income]])</f>
        <v>5099.62</v>
      </c>
      <c r="H156">
        <v>4164.1499999999996</v>
      </c>
      <c r="I156" s="5">
        <f t="shared" si="28"/>
        <v>4164.1499999999996</v>
      </c>
      <c r="J156">
        <v>18</v>
      </c>
      <c r="K156">
        <v>20.79</v>
      </c>
      <c r="L156">
        <v>4</v>
      </c>
      <c r="M156">
        <f t="shared" si="29"/>
        <v>4</v>
      </c>
      <c r="N156">
        <v>5.7</v>
      </c>
      <c r="O156">
        <f t="shared" si="30"/>
        <v>5.7</v>
      </c>
      <c r="P156">
        <v>60</v>
      </c>
      <c r="Q156">
        <f t="shared" si="31"/>
        <v>60</v>
      </c>
      <c r="R156" t="s">
        <v>20</v>
      </c>
      <c r="S156" t="str">
        <f t="shared" si="32"/>
        <v>Written Off</v>
      </c>
      <c r="T156" t="s">
        <v>25</v>
      </c>
      <c r="U156" s="3">
        <f t="shared" si="33"/>
        <v>4.5364491210456201E-2</v>
      </c>
      <c r="V156" t="str">
        <f t="shared" si="34"/>
        <v>Healthy</v>
      </c>
      <c r="W156" t="str">
        <f t="shared" si="35"/>
        <v>High Risk</v>
      </c>
      <c r="X156" s="5" t="str">
        <f t="shared" si="36"/>
        <v>Small</v>
      </c>
      <c r="Y156" s="5" t="str">
        <f t="shared" si="37"/>
        <v>Low</v>
      </c>
      <c r="Z156" s="5" t="str">
        <f>IF(B156=120,"NULL",IF(AND(V156="High Stress", W156="High Risk", Y156="Low"),"High Risk : Reject", IF(AND(V156="Healthy", W156="Good",Y156&lt;&gt;"Low"), "Low Risk : Approve", "Medium Risk : Review")))</f>
        <v>Medium Risk : Review</v>
      </c>
      <c r="AA156" s="5" t="str">
        <f t="shared" si="38"/>
        <v>Medium</v>
      </c>
    </row>
    <row r="157" spans="1:27" x14ac:dyDescent="0.2">
      <c r="A157">
        <v>21208</v>
      </c>
      <c r="B157">
        <v>26</v>
      </c>
      <c r="C157">
        <f t="shared" si="26"/>
        <v>26</v>
      </c>
      <c r="D157" t="s">
        <v>17</v>
      </c>
      <c r="E157" t="str">
        <f t="shared" si="27"/>
        <v>Contract</v>
      </c>
      <c r="F157">
        <v>6138.25</v>
      </c>
      <c r="G157">
        <f>ABS(Table1[[#This Row],[Monthly_Income]])</f>
        <v>6138.25</v>
      </c>
      <c r="H157">
        <v>19130</v>
      </c>
      <c r="I157" s="5">
        <f t="shared" si="28"/>
        <v>19130</v>
      </c>
      <c r="J157">
        <v>36</v>
      </c>
      <c r="K157">
        <v>12.55</v>
      </c>
      <c r="M157" t="str">
        <f t="shared" si="29"/>
        <v>NULL</v>
      </c>
      <c r="N157">
        <v>-2.6</v>
      </c>
      <c r="O157">
        <f t="shared" si="30"/>
        <v>2.6</v>
      </c>
      <c r="P157">
        <v>0</v>
      </c>
      <c r="Q157">
        <f t="shared" si="31"/>
        <v>0</v>
      </c>
      <c r="R157" t="s">
        <v>15</v>
      </c>
      <c r="S157" t="str">
        <f t="shared" si="32"/>
        <v xml:space="preserve">Performing </v>
      </c>
      <c r="T157" t="s">
        <v>22</v>
      </c>
      <c r="U157" s="3">
        <f t="shared" si="33"/>
        <v>8.6570095530304064E-2</v>
      </c>
      <c r="V157" t="str">
        <f t="shared" si="34"/>
        <v>Healthy</v>
      </c>
      <c r="W157" t="str">
        <f t="shared" si="35"/>
        <v>Good</v>
      </c>
      <c r="X157" s="5" t="str">
        <f t="shared" si="36"/>
        <v>Medium</v>
      </c>
      <c r="Y157" s="5" t="str">
        <f t="shared" si="37"/>
        <v>Low</v>
      </c>
      <c r="Z157" s="5" t="str">
        <f>IF(B157=120,"NULL",IF(AND(V157="High Stress", W157="High Risk", Y157="Low"),"High Risk : Reject", IF(AND(V157="Healthy", W157="Good",Y157&lt;&gt;"Low"), "Low Risk : Approve", "Medium Risk : Review")))</f>
        <v>Medium Risk : Review</v>
      </c>
      <c r="AA157" s="5" t="str">
        <f t="shared" si="38"/>
        <v>Medium</v>
      </c>
    </row>
    <row r="158" spans="1:27" x14ac:dyDescent="0.2">
      <c r="A158">
        <v>21101</v>
      </c>
      <c r="B158">
        <v>62</v>
      </c>
      <c r="C158">
        <f t="shared" si="26"/>
        <v>62</v>
      </c>
      <c r="D158" t="s">
        <v>26</v>
      </c>
      <c r="E158" t="str">
        <f t="shared" si="27"/>
        <v>Salaried</v>
      </c>
      <c r="F158">
        <v>6203.51</v>
      </c>
      <c r="G158">
        <f>ABS(Table1[[#This Row],[Monthly_Income]])</f>
        <v>6203.51</v>
      </c>
      <c r="H158">
        <v>11580.58</v>
      </c>
      <c r="I158" s="5">
        <f t="shared" si="28"/>
        <v>11580.58</v>
      </c>
      <c r="J158">
        <v>12</v>
      </c>
      <c r="K158">
        <v>23.46</v>
      </c>
      <c r="L158">
        <v>3</v>
      </c>
      <c r="M158">
        <f t="shared" si="29"/>
        <v>3</v>
      </c>
      <c r="N158">
        <v>3.5</v>
      </c>
      <c r="O158">
        <f t="shared" si="30"/>
        <v>3.5</v>
      </c>
      <c r="P158">
        <v>120</v>
      </c>
      <c r="Q158">
        <f t="shared" si="31"/>
        <v>120</v>
      </c>
      <c r="R158" t="s">
        <v>20</v>
      </c>
      <c r="S158" t="str">
        <f t="shared" si="32"/>
        <v>Written Off</v>
      </c>
      <c r="T158" t="s">
        <v>19</v>
      </c>
      <c r="U158" s="3">
        <f t="shared" si="33"/>
        <v>0.155564887190209</v>
      </c>
      <c r="V158" t="str">
        <f t="shared" si="34"/>
        <v>Healthy</v>
      </c>
      <c r="W158" t="str">
        <f t="shared" si="35"/>
        <v>High Risk</v>
      </c>
      <c r="X158" s="5" t="str">
        <f t="shared" si="36"/>
        <v>Medium</v>
      </c>
      <c r="Y158" s="5" t="str">
        <f t="shared" si="37"/>
        <v>High</v>
      </c>
      <c r="Z158" s="5" t="str">
        <f>IF(B158=120,"NULL",IF(AND(V158="High Stress", W158="High Risk", Y158="Low"),"High Risk : Reject", IF(AND(V158="Healthy", W158="Good",Y158&lt;&gt;"Low"), "Low Risk : Approve", "Medium Risk : Review")))</f>
        <v>Medium Risk : Review</v>
      </c>
      <c r="AA158" s="5" t="str">
        <f t="shared" si="38"/>
        <v>Medium</v>
      </c>
    </row>
    <row r="159" spans="1:27" x14ac:dyDescent="0.2">
      <c r="A159">
        <v>23950</v>
      </c>
      <c r="B159">
        <v>53</v>
      </c>
      <c r="C159">
        <f t="shared" si="26"/>
        <v>53</v>
      </c>
      <c r="D159" t="s">
        <v>21</v>
      </c>
      <c r="E159" t="str">
        <f t="shared" si="27"/>
        <v>Salaried</v>
      </c>
      <c r="F159">
        <v>5746.53</v>
      </c>
      <c r="G159">
        <f>ABS(Table1[[#This Row],[Monthly_Income]])</f>
        <v>5746.53</v>
      </c>
      <c r="H159">
        <v>21476.84</v>
      </c>
      <c r="I159" s="5">
        <f t="shared" si="28"/>
        <v>21476.84</v>
      </c>
      <c r="J159">
        <v>48</v>
      </c>
      <c r="K159">
        <v>20.34</v>
      </c>
      <c r="M159" t="str">
        <f t="shared" si="29"/>
        <v>NULL</v>
      </c>
      <c r="N159">
        <v>13.5</v>
      </c>
      <c r="O159">
        <f t="shared" si="30"/>
        <v>13.5</v>
      </c>
      <c r="P159">
        <v>90</v>
      </c>
      <c r="Q159">
        <f t="shared" si="31"/>
        <v>90</v>
      </c>
      <c r="R159" t="s">
        <v>20</v>
      </c>
      <c r="S159" t="str">
        <f t="shared" si="32"/>
        <v>Written Off</v>
      </c>
      <c r="T159" t="s">
        <v>19</v>
      </c>
      <c r="U159" s="3">
        <f t="shared" si="33"/>
        <v>7.7861625479492255E-2</v>
      </c>
      <c r="V159" t="str">
        <f t="shared" si="34"/>
        <v>Healthy</v>
      </c>
      <c r="W159" t="str">
        <f t="shared" si="35"/>
        <v>High Risk</v>
      </c>
      <c r="X159" s="5" t="str">
        <f t="shared" si="36"/>
        <v>Medium</v>
      </c>
      <c r="Y159" s="5" t="str">
        <f t="shared" si="37"/>
        <v>High</v>
      </c>
      <c r="Z159" s="5" t="str">
        <f>IF(B159=120,"NULL",IF(AND(V159="High Stress", W159="High Risk", Y159="Low"),"High Risk : Reject", IF(AND(V159="Healthy", W159="Good",Y159&lt;&gt;"Low"), "Low Risk : Approve", "Medium Risk : Review")))</f>
        <v>Medium Risk : Review</v>
      </c>
      <c r="AA159" s="5" t="str">
        <f t="shared" si="38"/>
        <v>Medium</v>
      </c>
    </row>
    <row r="160" spans="1:27" x14ac:dyDescent="0.2">
      <c r="A160">
        <v>25029</v>
      </c>
      <c r="B160">
        <v>25</v>
      </c>
      <c r="C160">
        <f t="shared" si="26"/>
        <v>25</v>
      </c>
      <c r="D160" t="s">
        <v>23</v>
      </c>
      <c r="E160" t="str">
        <f t="shared" si="27"/>
        <v>Self-Employed</v>
      </c>
      <c r="F160">
        <v>6916.8</v>
      </c>
      <c r="G160">
        <f>ABS(Table1[[#This Row],[Monthly_Income]])</f>
        <v>6916.8</v>
      </c>
      <c r="H160">
        <v>31854.06</v>
      </c>
      <c r="I160" s="5">
        <f t="shared" si="28"/>
        <v>31854.06</v>
      </c>
      <c r="J160">
        <v>36</v>
      </c>
      <c r="K160">
        <v>19.79</v>
      </c>
      <c r="L160">
        <v>4</v>
      </c>
      <c r="M160">
        <f t="shared" si="29"/>
        <v>4</v>
      </c>
      <c r="N160">
        <v>7.1</v>
      </c>
      <c r="O160">
        <f t="shared" si="30"/>
        <v>7.1</v>
      </c>
      <c r="P160">
        <v>30</v>
      </c>
      <c r="Q160">
        <f t="shared" si="31"/>
        <v>30</v>
      </c>
      <c r="R160" t="s">
        <v>18</v>
      </c>
      <c r="S160" t="str">
        <f t="shared" si="32"/>
        <v>Non-Performing</v>
      </c>
      <c r="T160" t="s">
        <v>14</v>
      </c>
      <c r="U160" s="3">
        <f t="shared" si="33"/>
        <v>0.12792548577376822</v>
      </c>
      <c r="V160" t="str">
        <f t="shared" si="34"/>
        <v>Healthy</v>
      </c>
      <c r="W160" t="str">
        <f t="shared" si="35"/>
        <v>At Risk</v>
      </c>
      <c r="X160" s="5" t="str">
        <f t="shared" si="36"/>
        <v>High</v>
      </c>
      <c r="Y160" s="5" t="str">
        <f t="shared" si="37"/>
        <v>Medium</v>
      </c>
      <c r="Z160" s="5" t="str">
        <f>IF(B160=120,"NULL",IF(AND(V160="High Stress", W160="High Risk", Y160="Low"),"High Risk : Reject", IF(AND(V160="Healthy", W160="Good",Y160&lt;&gt;"Low"), "Low Risk : Approve", "Medium Risk : Review")))</f>
        <v>Medium Risk : Review</v>
      </c>
      <c r="AA160" s="5" t="str">
        <f t="shared" si="38"/>
        <v>Medium</v>
      </c>
    </row>
    <row r="161" spans="1:27" x14ac:dyDescent="0.2">
      <c r="A161">
        <v>25832</v>
      </c>
      <c r="B161">
        <v>41</v>
      </c>
      <c r="C161">
        <f t="shared" si="26"/>
        <v>41</v>
      </c>
      <c r="D161" t="s">
        <v>12</v>
      </c>
      <c r="E161" t="str">
        <f t="shared" si="27"/>
        <v>Self-Employed</v>
      </c>
      <c r="F161">
        <v>8295.9599999999991</v>
      </c>
      <c r="G161">
        <f>ABS(Table1[[#This Row],[Monthly_Income]])</f>
        <v>8295.9599999999991</v>
      </c>
      <c r="H161">
        <v>22776.04</v>
      </c>
      <c r="I161" s="5">
        <f t="shared" si="28"/>
        <v>22776.04</v>
      </c>
      <c r="J161">
        <v>18</v>
      </c>
      <c r="K161">
        <v>21.03</v>
      </c>
      <c r="L161">
        <v>3</v>
      </c>
      <c r="M161">
        <f t="shared" si="29"/>
        <v>3</v>
      </c>
      <c r="N161">
        <v>3.7</v>
      </c>
      <c r="O161">
        <f t="shared" si="30"/>
        <v>3.7</v>
      </c>
      <c r="P161">
        <v>0</v>
      </c>
      <c r="Q161">
        <f t="shared" si="31"/>
        <v>0</v>
      </c>
      <c r="R161" t="s">
        <v>24</v>
      </c>
      <c r="S161" t="str">
        <f t="shared" si="32"/>
        <v>Non-Performing</v>
      </c>
      <c r="T161" t="s">
        <v>22</v>
      </c>
      <c r="U161" s="3">
        <f t="shared" si="33"/>
        <v>0.15252430768175784</v>
      </c>
      <c r="V161" t="str">
        <f t="shared" si="34"/>
        <v>Healthy</v>
      </c>
      <c r="W161" t="str">
        <f t="shared" si="35"/>
        <v>Good</v>
      </c>
      <c r="X161" s="5" t="str">
        <f t="shared" si="36"/>
        <v>Medium</v>
      </c>
      <c r="Y161" s="5" t="str">
        <f t="shared" si="37"/>
        <v>Medium</v>
      </c>
      <c r="Z161" s="5" t="str">
        <f>IF(B161=120,"NULL",IF(AND(V161="High Stress", W161="High Risk", Y161="Low"),"High Risk : Reject", IF(AND(V161="Healthy", W161="Good",Y161&lt;&gt;"Low"), "Low Risk : Approve", "Medium Risk : Review")))</f>
        <v>Low Risk : Approve</v>
      </c>
      <c r="AA161" s="5" t="str">
        <f t="shared" si="38"/>
        <v>High</v>
      </c>
    </row>
    <row r="162" spans="1:27" x14ac:dyDescent="0.2">
      <c r="A162">
        <v>21723</v>
      </c>
      <c r="B162">
        <v>52</v>
      </c>
      <c r="C162">
        <f t="shared" si="26"/>
        <v>52</v>
      </c>
      <c r="D162" t="s">
        <v>21</v>
      </c>
      <c r="E162" t="str">
        <f t="shared" si="27"/>
        <v>Salaried</v>
      </c>
      <c r="F162">
        <v>3631.67</v>
      </c>
      <c r="G162">
        <f>ABS(Table1[[#This Row],[Monthly_Income]])</f>
        <v>3631.67</v>
      </c>
      <c r="H162">
        <v>34185.53</v>
      </c>
      <c r="I162" s="5">
        <f t="shared" si="28"/>
        <v>34185.53</v>
      </c>
      <c r="J162">
        <v>48</v>
      </c>
      <c r="K162">
        <v>21.78</v>
      </c>
      <c r="L162">
        <v>2</v>
      </c>
      <c r="M162">
        <f t="shared" si="29"/>
        <v>2</v>
      </c>
      <c r="N162">
        <v>4.5999999999999996</v>
      </c>
      <c r="O162">
        <f t="shared" si="30"/>
        <v>4.5999999999999996</v>
      </c>
      <c r="P162">
        <v>120</v>
      </c>
      <c r="Q162">
        <f t="shared" si="31"/>
        <v>120</v>
      </c>
      <c r="R162" t="s">
        <v>13</v>
      </c>
      <c r="S162" t="str">
        <f t="shared" si="32"/>
        <v>Performing</v>
      </c>
      <c r="T162" t="s">
        <v>14</v>
      </c>
      <c r="U162" s="3">
        <f t="shared" si="33"/>
        <v>0.19610772500438273</v>
      </c>
      <c r="V162" t="str">
        <f t="shared" si="34"/>
        <v>Healthy</v>
      </c>
      <c r="W162" t="str">
        <f t="shared" si="35"/>
        <v>High Risk</v>
      </c>
      <c r="X162" s="5" t="str">
        <f t="shared" si="36"/>
        <v>High</v>
      </c>
      <c r="Y162" s="5" t="str">
        <f t="shared" si="37"/>
        <v>High</v>
      </c>
      <c r="Z162" s="5" t="str">
        <f>IF(B162=120,"NULL",IF(AND(V162="High Stress", W162="High Risk", Y162="Low"),"High Risk : Reject", IF(AND(V162="Healthy", W162="Good",Y162&lt;&gt;"Low"), "Low Risk : Approve", "Medium Risk : Review")))</f>
        <v>Medium Risk : Review</v>
      </c>
      <c r="AA162" s="5" t="str">
        <f t="shared" si="38"/>
        <v>Medium</v>
      </c>
    </row>
    <row r="163" spans="1:27" x14ac:dyDescent="0.2">
      <c r="A163">
        <v>25930</v>
      </c>
      <c r="B163">
        <v>18</v>
      </c>
      <c r="C163">
        <f t="shared" si="26"/>
        <v>18</v>
      </c>
      <c r="D163" t="s">
        <v>27</v>
      </c>
      <c r="E163" t="str">
        <f t="shared" si="27"/>
        <v>Unemployed</v>
      </c>
      <c r="F163">
        <v>2868.75</v>
      </c>
      <c r="G163">
        <f>ABS(Table1[[#This Row],[Monthly_Income]])</f>
        <v>2868.75</v>
      </c>
      <c r="H163">
        <v>18558.91</v>
      </c>
      <c r="I163" s="5">
        <f t="shared" si="28"/>
        <v>18558.91</v>
      </c>
      <c r="J163">
        <v>6</v>
      </c>
      <c r="K163">
        <v>18.649999999999999</v>
      </c>
      <c r="L163">
        <v>4</v>
      </c>
      <c r="M163">
        <f t="shared" si="29"/>
        <v>4</v>
      </c>
      <c r="N163">
        <v>15.9</v>
      </c>
      <c r="O163">
        <f t="shared" si="30"/>
        <v>15.9</v>
      </c>
      <c r="P163">
        <v>60</v>
      </c>
      <c r="Q163">
        <f t="shared" si="31"/>
        <v>60</v>
      </c>
      <c r="R163" t="s">
        <v>20</v>
      </c>
      <c r="S163" t="str">
        <f t="shared" si="32"/>
        <v>Written Off</v>
      </c>
      <c r="T163" t="s">
        <v>19</v>
      </c>
      <c r="U163" s="3">
        <f t="shared" si="33"/>
        <v>1.0782228031953522</v>
      </c>
      <c r="V163" t="str">
        <f t="shared" si="34"/>
        <v>High Stress</v>
      </c>
      <c r="W163" t="str">
        <f t="shared" si="35"/>
        <v>High Risk</v>
      </c>
      <c r="X163" s="5" t="str">
        <f t="shared" si="36"/>
        <v>Medium</v>
      </c>
      <c r="Y163" s="5" t="str">
        <f t="shared" si="37"/>
        <v>Low</v>
      </c>
      <c r="Z163" s="5" t="str">
        <f>IF(B163=120,"NULL",IF(AND(V163="High Stress", W163="High Risk", Y163="Low"),"High Risk : Reject", IF(AND(V163="Healthy", W163="Good",Y163&lt;&gt;"Low"), "Low Risk : Approve", "Medium Risk : Review")))</f>
        <v>High Risk : Reject</v>
      </c>
      <c r="AA163" s="5" t="str">
        <f t="shared" si="38"/>
        <v>Medium</v>
      </c>
    </row>
    <row r="164" spans="1:27" x14ac:dyDescent="0.2">
      <c r="A164">
        <v>25351</v>
      </c>
      <c r="B164">
        <v>120</v>
      </c>
      <c r="C164" t="str">
        <f t="shared" si="26"/>
        <v>NULL</v>
      </c>
      <c r="D164" t="s">
        <v>21</v>
      </c>
      <c r="E164" t="str">
        <f t="shared" si="27"/>
        <v>Salaried</v>
      </c>
      <c r="F164">
        <v>4335.07</v>
      </c>
      <c r="G164">
        <f>ABS(Table1[[#This Row],[Monthly_Income]])</f>
        <v>4335.07</v>
      </c>
      <c r="H164">
        <v>8245.7800000000007</v>
      </c>
      <c r="I164" s="5">
        <f t="shared" si="28"/>
        <v>8245.7800000000007</v>
      </c>
      <c r="J164">
        <v>12</v>
      </c>
      <c r="K164">
        <v>32.39</v>
      </c>
      <c r="L164">
        <v>2</v>
      </c>
      <c r="M164">
        <f t="shared" si="29"/>
        <v>2</v>
      </c>
      <c r="N164">
        <v>5.0999999999999996</v>
      </c>
      <c r="O164">
        <f t="shared" si="30"/>
        <v>5.0999999999999996</v>
      </c>
      <c r="P164">
        <v>15</v>
      </c>
      <c r="Q164">
        <f t="shared" si="31"/>
        <v>15</v>
      </c>
      <c r="R164" t="s">
        <v>24</v>
      </c>
      <c r="S164" t="str">
        <f t="shared" si="32"/>
        <v>Non-Performing</v>
      </c>
      <c r="T164" t="s">
        <v>16</v>
      </c>
      <c r="U164" s="3">
        <f t="shared" si="33"/>
        <v>0.15850916671087975</v>
      </c>
      <c r="V164" t="str">
        <f t="shared" si="34"/>
        <v>Healthy</v>
      </c>
      <c r="W164" t="str">
        <f t="shared" si="35"/>
        <v>Good</v>
      </c>
      <c r="X164" s="5" t="str">
        <f t="shared" si="36"/>
        <v>Small</v>
      </c>
      <c r="Y164" s="5" t="str">
        <f t="shared" si="37"/>
        <v>High</v>
      </c>
      <c r="Z164" s="5" t="str">
        <f>IF(B164=120,"NULL",IF(AND(V164="High Stress", W164="High Risk", Y164="Low"),"High Risk : Reject", IF(AND(V164="Healthy", W164="Good",Y164&lt;&gt;"Low"), "Low Risk : Approve", "Medium Risk : Review")))</f>
        <v>NULL</v>
      </c>
      <c r="AA164" s="5" t="str">
        <f t="shared" si="38"/>
        <v>Medium</v>
      </c>
    </row>
    <row r="165" spans="1:27" x14ac:dyDescent="0.2">
      <c r="A165">
        <v>25008</v>
      </c>
      <c r="B165">
        <v>53</v>
      </c>
      <c r="C165">
        <f t="shared" si="26"/>
        <v>53</v>
      </c>
      <c r="D165" t="s">
        <v>26</v>
      </c>
      <c r="E165" t="str">
        <f t="shared" si="27"/>
        <v>Salaried</v>
      </c>
      <c r="F165">
        <v>4445.04</v>
      </c>
      <c r="G165">
        <f>ABS(Table1[[#This Row],[Monthly_Income]])</f>
        <v>4445.04</v>
      </c>
      <c r="H165"/>
      <c r="I165" s="5" t="str">
        <f t="shared" si="28"/>
        <v>NULL</v>
      </c>
      <c r="J165">
        <v>24</v>
      </c>
      <c r="K165">
        <v>25.18</v>
      </c>
      <c r="L165">
        <v>0</v>
      </c>
      <c r="M165">
        <f t="shared" si="29"/>
        <v>0</v>
      </c>
      <c r="N165">
        <v>5.5</v>
      </c>
      <c r="O165">
        <f t="shared" si="30"/>
        <v>5.5</v>
      </c>
      <c r="P165">
        <v>15</v>
      </c>
      <c r="Q165">
        <f t="shared" si="31"/>
        <v>15</v>
      </c>
      <c r="R165" t="s">
        <v>18</v>
      </c>
      <c r="S165" t="str">
        <f t="shared" si="32"/>
        <v>Non-Performing</v>
      </c>
      <c r="T165" t="s">
        <v>25</v>
      </c>
      <c r="U165" s="3" t="str">
        <f t="shared" si="33"/>
        <v>NULL</v>
      </c>
      <c r="V165" t="str">
        <f t="shared" si="34"/>
        <v>NULL</v>
      </c>
      <c r="W165" t="str">
        <f t="shared" si="35"/>
        <v>Good</v>
      </c>
      <c r="X165" s="5" t="str">
        <f t="shared" si="36"/>
        <v>High</v>
      </c>
      <c r="Y165" s="5" t="str">
        <f t="shared" si="37"/>
        <v>High</v>
      </c>
      <c r="Z165" s="5" t="str">
        <f>IF(B165=120,"NULL",IF(AND(V165="High Stress", W165="High Risk", Y165="Low"),"High Risk : Reject", IF(AND(V165="Healthy", W165="Good",Y165&lt;&gt;"Low"), "Low Risk : Approve", "Medium Risk : Review")))</f>
        <v>Medium Risk : Review</v>
      </c>
      <c r="AA165" s="5" t="str">
        <f t="shared" si="38"/>
        <v>Medium</v>
      </c>
    </row>
    <row r="166" spans="1:27" x14ac:dyDescent="0.2">
      <c r="A166">
        <v>23884</v>
      </c>
      <c r="B166">
        <v>50</v>
      </c>
      <c r="C166">
        <f t="shared" si="26"/>
        <v>50</v>
      </c>
      <c r="D166" t="s">
        <v>23</v>
      </c>
      <c r="E166" t="str">
        <f t="shared" si="27"/>
        <v>Self-Employed</v>
      </c>
      <c r="F166">
        <v>-1500</v>
      </c>
      <c r="G166">
        <f>ABS(Table1[[#This Row],[Monthly_Income]])</f>
        <v>1500</v>
      </c>
      <c r="H166">
        <v>15400.33</v>
      </c>
      <c r="I166" s="5">
        <f t="shared" si="28"/>
        <v>15400.33</v>
      </c>
      <c r="J166">
        <v>60</v>
      </c>
      <c r="K166">
        <v>23.38</v>
      </c>
      <c r="L166">
        <v>1</v>
      </c>
      <c r="M166">
        <f t="shared" si="29"/>
        <v>1</v>
      </c>
      <c r="N166">
        <v>7.3</v>
      </c>
      <c r="O166">
        <f t="shared" si="30"/>
        <v>7.3</v>
      </c>
      <c r="P166">
        <v>0</v>
      </c>
      <c r="Q166">
        <f t="shared" si="31"/>
        <v>0</v>
      </c>
      <c r="R166" t="s">
        <v>20</v>
      </c>
      <c r="S166" t="str">
        <f t="shared" si="32"/>
        <v>Written Off</v>
      </c>
      <c r="T166" t="s">
        <v>19</v>
      </c>
      <c r="U166" s="3">
        <f t="shared" si="33"/>
        <v>0.17111477777777778</v>
      </c>
      <c r="V166" t="str">
        <f t="shared" si="34"/>
        <v>Healthy</v>
      </c>
      <c r="W166" t="str">
        <f t="shared" si="35"/>
        <v>Good</v>
      </c>
      <c r="X166" s="5" t="str">
        <f t="shared" si="36"/>
        <v>Medium</v>
      </c>
      <c r="Y166" s="5" t="str">
        <f t="shared" si="37"/>
        <v>Medium</v>
      </c>
      <c r="Z166" s="5" t="str">
        <f>IF(B166=120,"NULL",IF(AND(V166="High Stress", W166="High Risk", Y166="Low"),"High Risk : Reject", IF(AND(V166="Healthy", W166="Good",Y166&lt;&gt;"Low"), "Low Risk : Approve", "Medium Risk : Review")))</f>
        <v>Low Risk : Approve</v>
      </c>
      <c r="AA166" s="5" t="str">
        <f t="shared" si="38"/>
        <v>Low</v>
      </c>
    </row>
    <row r="167" spans="1:27" x14ac:dyDescent="0.2">
      <c r="A167">
        <v>20851</v>
      </c>
      <c r="B167">
        <v>31</v>
      </c>
      <c r="C167">
        <f t="shared" si="26"/>
        <v>31</v>
      </c>
      <c r="D167" t="s">
        <v>26</v>
      </c>
      <c r="E167" t="str">
        <f t="shared" si="27"/>
        <v>Salaried</v>
      </c>
      <c r="F167">
        <v>2399.31</v>
      </c>
      <c r="G167">
        <f>ABS(Table1[[#This Row],[Monthly_Income]])</f>
        <v>2399.31</v>
      </c>
      <c r="H167">
        <v>22681.19</v>
      </c>
      <c r="I167" s="5">
        <f t="shared" si="28"/>
        <v>22681.19</v>
      </c>
      <c r="J167">
        <v>60</v>
      </c>
      <c r="K167">
        <v>11.5</v>
      </c>
      <c r="L167">
        <v>3</v>
      </c>
      <c r="M167">
        <f t="shared" si="29"/>
        <v>3</v>
      </c>
      <c r="N167">
        <v>5.7</v>
      </c>
      <c r="O167">
        <f t="shared" si="30"/>
        <v>5.7</v>
      </c>
      <c r="P167">
        <v>0</v>
      </c>
      <c r="Q167">
        <f t="shared" si="31"/>
        <v>0</v>
      </c>
      <c r="R167" t="s">
        <v>20</v>
      </c>
      <c r="S167" t="str">
        <f t="shared" si="32"/>
        <v>Written Off</v>
      </c>
      <c r="T167" t="s">
        <v>14</v>
      </c>
      <c r="U167" s="3">
        <f t="shared" si="33"/>
        <v>0.15755356053754341</v>
      </c>
      <c r="V167" t="str">
        <f t="shared" si="34"/>
        <v>Healthy</v>
      </c>
      <c r="W167" t="str">
        <f t="shared" si="35"/>
        <v>Good</v>
      </c>
      <c r="X167" s="5" t="str">
        <f t="shared" si="36"/>
        <v>Medium</v>
      </c>
      <c r="Y167" s="5" t="str">
        <f t="shared" si="37"/>
        <v>High</v>
      </c>
      <c r="Z167" s="5" t="str">
        <f>IF(B167=120,"NULL",IF(AND(V167="High Stress", W167="High Risk", Y167="Low"),"High Risk : Reject", IF(AND(V167="Healthy", W167="Good",Y167&lt;&gt;"Low"), "Low Risk : Approve", "Medium Risk : Review")))</f>
        <v>Low Risk : Approve</v>
      </c>
      <c r="AA167" s="5" t="str">
        <f t="shared" si="38"/>
        <v>Medium</v>
      </c>
    </row>
    <row r="168" spans="1:27" x14ac:dyDescent="0.2">
      <c r="A168">
        <v>20576</v>
      </c>
      <c r="B168">
        <v>48</v>
      </c>
      <c r="C168">
        <f t="shared" si="26"/>
        <v>48</v>
      </c>
      <c r="D168" t="s">
        <v>12</v>
      </c>
      <c r="E168" t="str">
        <f t="shared" si="27"/>
        <v>Self-Employed</v>
      </c>
      <c r="F168">
        <v>-32.92</v>
      </c>
      <c r="G168">
        <f>ABS(Table1[[#This Row],[Monthly_Income]])</f>
        <v>32.92</v>
      </c>
      <c r="H168">
        <v>19855.810000000001</v>
      </c>
      <c r="I168" s="5">
        <f t="shared" si="28"/>
        <v>19855.810000000001</v>
      </c>
      <c r="J168">
        <v>6</v>
      </c>
      <c r="K168">
        <v>16.29</v>
      </c>
      <c r="M168" t="str">
        <f t="shared" si="29"/>
        <v>NULL</v>
      </c>
      <c r="N168">
        <v>6.6</v>
      </c>
      <c r="O168">
        <f t="shared" si="30"/>
        <v>6.6</v>
      </c>
      <c r="P168">
        <v>90</v>
      </c>
      <c r="Q168">
        <f t="shared" si="31"/>
        <v>90</v>
      </c>
      <c r="R168" t="s">
        <v>15</v>
      </c>
      <c r="S168" t="str">
        <f t="shared" si="32"/>
        <v xml:space="preserve">Performing </v>
      </c>
      <c r="T168" t="s">
        <v>19</v>
      </c>
      <c r="U168" s="3">
        <f t="shared" si="33"/>
        <v>100.52556703118671</v>
      </c>
      <c r="V168" t="str">
        <f t="shared" si="34"/>
        <v>High Stress</v>
      </c>
      <c r="W168" t="str">
        <f t="shared" si="35"/>
        <v>High Risk</v>
      </c>
      <c r="X168" s="5" t="str">
        <f t="shared" si="36"/>
        <v>Medium</v>
      </c>
      <c r="Y168" s="5" t="str">
        <f t="shared" si="37"/>
        <v>Medium</v>
      </c>
      <c r="Z168" s="5" t="str">
        <f>IF(B168=120,"NULL",IF(AND(V168="High Stress", W168="High Risk", Y168="Low"),"High Risk : Reject", IF(AND(V168="Healthy", W168="Good",Y168&lt;&gt;"Low"), "Low Risk : Approve", "Medium Risk : Review")))</f>
        <v>Medium Risk : Review</v>
      </c>
      <c r="AA168" s="5" t="str">
        <f t="shared" si="38"/>
        <v>Low</v>
      </c>
    </row>
    <row r="169" spans="1:27" x14ac:dyDescent="0.2">
      <c r="A169">
        <v>22449</v>
      </c>
      <c r="B169">
        <v>44</v>
      </c>
      <c r="C169">
        <f t="shared" si="26"/>
        <v>44</v>
      </c>
      <c r="D169" t="s">
        <v>23</v>
      </c>
      <c r="E169" t="str">
        <f t="shared" si="27"/>
        <v>Self-Employed</v>
      </c>
      <c r="F169">
        <v>5622.02</v>
      </c>
      <c r="G169">
        <f>ABS(Table1[[#This Row],[Monthly_Income]])</f>
        <v>5622.02</v>
      </c>
      <c r="H169">
        <v>11024.24</v>
      </c>
      <c r="I169" s="5">
        <f t="shared" si="28"/>
        <v>11024.24</v>
      </c>
      <c r="J169">
        <v>48</v>
      </c>
      <c r="K169">
        <v>18.399999999999999</v>
      </c>
      <c r="L169">
        <v>1</v>
      </c>
      <c r="M169">
        <f t="shared" si="29"/>
        <v>1</v>
      </c>
      <c r="N169">
        <v>-0.7</v>
      </c>
      <c r="O169">
        <f t="shared" si="30"/>
        <v>0.7</v>
      </c>
      <c r="P169">
        <v>0</v>
      </c>
      <c r="Q169">
        <f t="shared" si="31"/>
        <v>0</v>
      </c>
      <c r="R169" t="s">
        <v>13</v>
      </c>
      <c r="S169" t="str">
        <f t="shared" si="32"/>
        <v>Performing</v>
      </c>
      <c r="T169" t="s">
        <v>14</v>
      </c>
      <c r="U169" s="3">
        <f t="shared" si="33"/>
        <v>4.0852161085635885E-2</v>
      </c>
      <c r="V169" t="str">
        <f t="shared" si="34"/>
        <v>Healthy</v>
      </c>
      <c r="W169" t="str">
        <f t="shared" si="35"/>
        <v>Good</v>
      </c>
      <c r="X169" s="5" t="str">
        <f t="shared" si="36"/>
        <v>Medium</v>
      </c>
      <c r="Y169" s="5" t="str">
        <f t="shared" si="37"/>
        <v>Medium</v>
      </c>
      <c r="Z169" s="5" t="str">
        <f>IF(B169=120,"NULL",IF(AND(V169="High Stress", W169="High Risk", Y169="Low"),"High Risk : Reject", IF(AND(V169="Healthy", W169="Good",Y169&lt;&gt;"Low"), "Low Risk : Approve", "Medium Risk : Review")))</f>
        <v>Low Risk : Approve</v>
      </c>
      <c r="AA169" s="5" t="str">
        <f t="shared" si="38"/>
        <v>Medium</v>
      </c>
    </row>
    <row r="170" spans="1:27" x14ac:dyDescent="0.2">
      <c r="A170">
        <v>23108</v>
      </c>
      <c r="B170">
        <v>31</v>
      </c>
      <c r="C170">
        <f t="shared" si="26"/>
        <v>31</v>
      </c>
      <c r="D170" t="s">
        <v>27</v>
      </c>
      <c r="E170" t="str">
        <f t="shared" si="27"/>
        <v>Unemployed</v>
      </c>
      <c r="F170">
        <v>7506.49</v>
      </c>
      <c r="G170">
        <f>ABS(Table1[[#This Row],[Monthly_Income]])</f>
        <v>7506.49</v>
      </c>
      <c r="H170">
        <v>15460.64</v>
      </c>
      <c r="I170" s="5">
        <f t="shared" si="28"/>
        <v>15460.64</v>
      </c>
      <c r="J170">
        <v>6</v>
      </c>
      <c r="K170">
        <v>18.399999999999999</v>
      </c>
      <c r="M170" t="str">
        <f t="shared" si="29"/>
        <v>NULL</v>
      </c>
      <c r="N170">
        <v>11</v>
      </c>
      <c r="O170">
        <f t="shared" si="30"/>
        <v>11</v>
      </c>
      <c r="Q170" t="str">
        <f t="shared" si="31"/>
        <v>NULL</v>
      </c>
      <c r="R170" t="s">
        <v>24</v>
      </c>
      <c r="S170" t="str">
        <f t="shared" si="32"/>
        <v>Non-Performing</v>
      </c>
      <c r="T170" t="s">
        <v>16</v>
      </c>
      <c r="U170" s="3">
        <f t="shared" si="33"/>
        <v>0.34327273243997303</v>
      </c>
      <c r="V170" t="str">
        <f t="shared" si="34"/>
        <v>Stretched</v>
      </c>
      <c r="W170" t="str">
        <f t="shared" si="35"/>
        <v>NULL</v>
      </c>
      <c r="X170" s="5" t="str">
        <f t="shared" si="36"/>
        <v>Medium</v>
      </c>
      <c r="Y170" s="5" t="str">
        <f t="shared" si="37"/>
        <v>Low</v>
      </c>
      <c r="Z170" s="5" t="str">
        <f>IF(B170=120,"NULL",IF(AND(V170="High Stress", W170="High Risk", Y170="Low"),"High Risk : Reject", IF(AND(V170="Healthy", W170="Good",Y170&lt;&gt;"Low"), "Low Risk : Approve", "Medium Risk : Review")))</f>
        <v>Medium Risk : Review</v>
      </c>
      <c r="AA170" s="5" t="str">
        <f t="shared" si="38"/>
        <v>Medium</v>
      </c>
    </row>
    <row r="171" spans="1:27" x14ac:dyDescent="0.2">
      <c r="A171">
        <v>20289</v>
      </c>
      <c r="B171">
        <v>38</v>
      </c>
      <c r="C171">
        <f t="shared" si="26"/>
        <v>38</v>
      </c>
      <c r="D171" t="s">
        <v>12</v>
      </c>
      <c r="E171" t="str">
        <f t="shared" si="27"/>
        <v>Self-Employed</v>
      </c>
      <c r="F171">
        <v>5173.6499999999996</v>
      </c>
      <c r="G171">
        <f>ABS(Table1[[#This Row],[Monthly_Income]])</f>
        <v>5173.6499999999996</v>
      </c>
      <c r="H171">
        <v>17481.349999999999</v>
      </c>
      <c r="I171" s="5">
        <f t="shared" si="28"/>
        <v>17481.349999999999</v>
      </c>
      <c r="J171">
        <v>60</v>
      </c>
      <c r="K171">
        <v>20.07</v>
      </c>
      <c r="L171">
        <v>2</v>
      </c>
      <c r="M171">
        <f t="shared" si="29"/>
        <v>2</v>
      </c>
      <c r="N171">
        <v>3.7</v>
      </c>
      <c r="O171">
        <f t="shared" si="30"/>
        <v>3.7</v>
      </c>
      <c r="P171">
        <v>15</v>
      </c>
      <c r="Q171">
        <f t="shared" si="31"/>
        <v>15</v>
      </c>
      <c r="R171" t="s">
        <v>20</v>
      </c>
      <c r="S171" t="str">
        <f t="shared" si="32"/>
        <v>Written Off</v>
      </c>
      <c r="T171" t="s">
        <v>22</v>
      </c>
      <c r="U171" s="3">
        <f t="shared" si="33"/>
        <v>5.6315335079360471E-2</v>
      </c>
      <c r="V171" t="str">
        <f t="shared" si="34"/>
        <v>Healthy</v>
      </c>
      <c r="W171" t="str">
        <f t="shared" si="35"/>
        <v>Good</v>
      </c>
      <c r="X171" s="5" t="str">
        <f t="shared" si="36"/>
        <v>Medium</v>
      </c>
      <c r="Y171" s="5" t="str">
        <f t="shared" si="37"/>
        <v>Medium</v>
      </c>
      <c r="Z171" s="5" t="str">
        <f>IF(B171=120,"NULL",IF(AND(V171="High Stress", W171="High Risk", Y171="Low"),"High Risk : Reject", IF(AND(V171="Healthy", W171="Good",Y171&lt;&gt;"Low"), "Low Risk : Approve", "Medium Risk : Review")))</f>
        <v>Low Risk : Approve</v>
      </c>
      <c r="AA171" s="5" t="str">
        <f t="shared" si="38"/>
        <v>Medium</v>
      </c>
    </row>
    <row r="172" spans="1:27" x14ac:dyDescent="0.2">
      <c r="A172">
        <v>22678</v>
      </c>
      <c r="B172">
        <v>61</v>
      </c>
      <c r="C172">
        <f t="shared" si="26"/>
        <v>61</v>
      </c>
      <c r="D172" t="s">
        <v>17</v>
      </c>
      <c r="E172" t="str">
        <f t="shared" si="27"/>
        <v>Contract</v>
      </c>
      <c r="F172">
        <v>2801.02</v>
      </c>
      <c r="G172">
        <f>ABS(Table1[[#This Row],[Monthly_Income]])</f>
        <v>2801.02</v>
      </c>
      <c r="H172">
        <v>21071.66</v>
      </c>
      <c r="I172" s="5">
        <f t="shared" si="28"/>
        <v>21071.66</v>
      </c>
      <c r="J172">
        <v>24</v>
      </c>
      <c r="K172">
        <v>19.87</v>
      </c>
      <c r="L172">
        <v>3</v>
      </c>
      <c r="M172">
        <f t="shared" si="29"/>
        <v>3</v>
      </c>
      <c r="N172">
        <v>15.7</v>
      </c>
      <c r="O172">
        <f t="shared" si="30"/>
        <v>15.7</v>
      </c>
      <c r="P172">
        <v>0</v>
      </c>
      <c r="Q172">
        <f t="shared" si="31"/>
        <v>0</v>
      </c>
      <c r="R172" t="s">
        <v>15</v>
      </c>
      <c r="S172" t="str">
        <f t="shared" si="32"/>
        <v xml:space="preserve">Performing </v>
      </c>
      <c r="T172" t="s">
        <v>14</v>
      </c>
      <c r="U172" s="3">
        <f t="shared" si="33"/>
        <v>0.31345218289527865</v>
      </c>
      <c r="V172" t="str">
        <f t="shared" si="34"/>
        <v>Stretched</v>
      </c>
      <c r="W172" t="str">
        <f t="shared" si="35"/>
        <v>Good</v>
      </c>
      <c r="X172" s="5" t="str">
        <f t="shared" si="36"/>
        <v>Medium</v>
      </c>
      <c r="Y172" s="5" t="str">
        <f t="shared" si="37"/>
        <v>Low</v>
      </c>
      <c r="Z172" s="5" t="str">
        <f>IF(B172=120,"NULL",IF(AND(V172="High Stress", W172="High Risk", Y172="Low"),"High Risk : Reject", IF(AND(V172="Healthy", W172="Good",Y172&lt;&gt;"Low"), "Low Risk : Approve", "Medium Risk : Review")))</f>
        <v>Medium Risk : Review</v>
      </c>
      <c r="AA172" s="5" t="str">
        <f t="shared" si="38"/>
        <v>Medium</v>
      </c>
    </row>
    <row r="173" spans="1:27" x14ac:dyDescent="0.2">
      <c r="A173">
        <v>23040</v>
      </c>
      <c r="B173">
        <v>42</v>
      </c>
      <c r="C173">
        <f t="shared" si="26"/>
        <v>42</v>
      </c>
      <c r="D173" t="s">
        <v>17</v>
      </c>
      <c r="E173" t="str">
        <f t="shared" si="27"/>
        <v>Contract</v>
      </c>
      <c r="F173">
        <v>3123.16</v>
      </c>
      <c r="G173">
        <f>ABS(Table1[[#This Row],[Monthly_Income]])</f>
        <v>3123.16</v>
      </c>
      <c r="H173">
        <v>25374.09</v>
      </c>
      <c r="I173" s="5">
        <f t="shared" si="28"/>
        <v>25374.09</v>
      </c>
      <c r="J173">
        <v>6</v>
      </c>
      <c r="K173">
        <v>15.02</v>
      </c>
      <c r="L173">
        <v>0</v>
      </c>
      <c r="M173">
        <f t="shared" si="29"/>
        <v>0</v>
      </c>
      <c r="N173">
        <v>8.9</v>
      </c>
      <c r="O173">
        <f t="shared" si="30"/>
        <v>8.9</v>
      </c>
      <c r="P173">
        <v>0</v>
      </c>
      <c r="Q173">
        <f t="shared" si="31"/>
        <v>0</v>
      </c>
      <c r="R173" t="s">
        <v>15</v>
      </c>
      <c r="S173" t="str">
        <f t="shared" si="32"/>
        <v xml:space="preserve">Performing </v>
      </c>
      <c r="T173" t="s">
        <v>14</v>
      </c>
      <c r="U173" s="3">
        <f t="shared" si="33"/>
        <v>1.354082083530783</v>
      </c>
      <c r="V173" t="str">
        <f t="shared" si="34"/>
        <v>High Stress</v>
      </c>
      <c r="W173" t="str">
        <f t="shared" si="35"/>
        <v>Good</v>
      </c>
      <c r="X173" s="5" t="str">
        <f t="shared" si="36"/>
        <v>Medium</v>
      </c>
      <c r="Y173" s="5" t="str">
        <f t="shared" si="37"/>
        <v>Low</v>
      </c>
      <c r="Z173" s="5" t="str">
        <f>IF(B173=120,"NULL",IF(AND(V173="High Stress", W173="High Risk", Y173="Low"),"High Risk : Reject", IF(AND(V173="Healthy", W173="Good",Y173&lt;&gt;"Low"), "Low Risk : Approve", "Medium Risk : Review")))</f>
        <v>Medium Risk : Review</v>
      </c>
      <c r="AA173" s="5" t="str">
        <f t="shared" si="38"/>
        <v>Medium</v>
      </c>
    </row>
    <row r="174" spans="1:27" x14ac:dyDescent="0.2">
      <c r="A174">
        <v>24258</v>
      </c>
      <c r="B174">
        <v>59</v>
      </c>
      <c r="C174">
        <f t="shared" si="26"/>
        <v>59</v>
      </c>
      <c r="D174" t="s">
        <v>17</v>
      </c>
      <c r="E174" t="str">
        <f t="shared" si="27"/>
        <v>Contract</v>
      </c>
      <c r="F174">
        <v>3475.25</v>
      </c>
      <c r="G174">
        <f>ABS(Table1[[#This Row],[Monthly_Income]])</f>
        <v>3475.25</v>
      </c>
      <c r="H174"/>
      <c r="I174" s="5" t="str">
        <f t="shared" si="28"/>
        <v>NULL</v>
      </c>
      <c r="J174">
        <v>36</v>
      </c>
      <c r="K174">
        <v>26.74</v>
      </c>
      <c r="L174">
        <v>3</v>
      </c>
      <c r="M174">
        <f t="shared" si="29"/>
        <v>3</v>
      </c>
      <c r="N174">
        <v>13.4</v>
      </c>
      <c r="O174">
        <f t="shared" si="30"/>
        <v>13.4</v>
      </c>
      <c r="P174">
        <v>90</v>
      </c>
      <c r="Q174">
        <f t="shared" si="31"/>
        <v>90</v>
      </c>
      <c r="R174" t="s">
        <v>13</v>
      </c>
      <c r="S174" t="str">
        <f t="shared" si="32"/>
        <v>Performing</v>
      </c>
      <c r="T174" t="s">
        <v>19</v>
      </c>
      <c r="U174" s="3" t="str">
        <f t="shared" si="33"/>
        <v>NULL</v>
      </c>
      <c r="V174" t="str">
        <f t="shared" si="34"/>
        <v>NULL</v>
      </c>
      <c r="W174" t="str">
        <f t="shared" si="35"/>
        <v>High Risk</v>
      </c>
      <c r="X174" s="5" t="str">
        <f t="shared" si="36"/>
        <v>High</v>
      </c>
      <c r="Y174" s="5" t="str">
        <f t="shared" si="37"/>
        <v>Low</v>
      </c>
      <c r="Z174" s="5" t="str">
        <f>IF(B174=120,"NULL",IF(AND(V174="High Stress", W174="High Risk", Y174="Low"),"High Risk : Reject", IF(AND(V174="Healthy", W174="Good",Y174&lt;&gt;"Low"), "Low Risk : Approve", "Medium Risk : Review")))</f>
        <v>Medium Risk : Review</v>
      </c>
      <c r="AA174" s="5" t="str">
        <f t="shared" si="38"/>
        <v>Medium</v>
      </c>
    </row>
    <row r="175" spans="1:27" x14ac:dyDescent="0.2">
      <c r="A175">
        <v>24142</v>
      </c>
      <c r="B175">
        <v>29</v>
      </c>
      <c r="C175">
        <f t="shared" si="26"/>
        <v>29</v>
      </c>
      <c r="D175" t="s">
        <v>23</v>
      </c>
      <c r="E175" t="str">
        <f t="shared" si="27"/>
        <v>Self-Employed</v>
      </c>
      <c r="F175">
        <v>-1500</v>
      </c>
      <c r="G175">
        <f>ABS(Table1[[#This Row],[Monthly_Income]])</f>
        <v>1500</v>
      </c>
      <c r="H175">
        <v>8278.07</v>
      </c>
      <c r="I175" s="5">
        <f t="shared" si="28"/>
        <v>8278.07</v>
      </c>
      <c r="J175">
        <v>24</v>
      </c>
      <c r="K175">
        <v>16.920000000000002</v>
      </c>
      <c r="L175">
        <v>3</v>
      </c>
      <c r="M175">
        <f t="shared" si="29"/>
        <v>3</v>
      </c>
      <c r="N175">
        <v>12</v>
      </c>
      <c r="O175">
        <f t="shared" si="30"/>
        <v>12</v>
      </c>
      <c r="P175">
        <v>30</v>
      </c>
      <c r="Q175">
        <f t="shared" si="31"/>
        <v>30</v>
      </c>
      <c r="R175" t="s">
        <v>20</v>
      </c>
      <c r="S175" t="str">
        <f t="shared" si="32"/>
        <v>Written Off</v>
      </c>
      <c r="T175" t="s">
        <v>22</v>
      </c>
      <c r="U175" s="3">
        <f t="shared" si="33"/>
        <v>0.22994638888888888</v>
      </c>
      <c r="V175" t="str">
        <f t="shared" si="34"/>
        <v>Healthy</v>
      </c>
      <c r="W175" t="str">
        <f t="shared" si="35"/>
        <v>At Risk</v>
      </c>
      <c r="X175" s="5" t="str">
        <f t="shared" si="36"/>
        <v>Small</v>
      </c>
      <c r="Y175" s="5" t="str">
        <f t="shared" si="37"/>
        <v>Medium</v>
      </c>
      <c r="Z175" s="5" t="str">
        <f>IF(B175=120,"NULL",IF(AND(V175="High Stress", W175="High Risk", Y175="Low"),"High Risk : Reject", IF(AND(V175="Healthy", W175="Good",Y175&lt;&gt;"Low"), "Low Risk : Approve", "Medium Risk : Review")))</f>
        <v>Medium Risk : Review</v>
      </c>
      <c r="AA175" s="5" t="str">
        <f t="shared" si="38"/>
        <v>Low</v>
      </c>
    </row>
    <row r="176" spans="1:27" x14ac:dyDescent="0.2">
      <c r="A176">
        <v>21653</v>
      </c>
      <c r="B176">
        <v>31</v>
      </c>
      <c r="C176">
        <f t="shared" si="26"/>
        <v>31</v>
      </c>
      <c r="D176" t="s">
        <v>26</v>
      </c>
      <c r="E176" t="str">
        <f t="shared" si="27"/>
        <v>Salaried</v>
      </c>
      <c r="F176">
        <v>7084.22</v>
      </c>
      <c r="G176">
        <f>ABS(Table1[[#This Row],[Monthly_Income]])</f>
        <v>7084.22</v>
      </c>
      <c r="H176">
        <v>15466.32</v>
      </c>
      <c r="I176" s="5">
        <f t="shared" si="28"/>
        <v>15466.32</v>
      </c>
      <c r="J176">
        <v>36</v>
      </c>
      <c r="K176">
        <v>18.72</v>
      </c>
      <c r="L176">
        <v>2</v>
      </c>
      <c r="M176">
        <f t="shared" si="29"/>
        <v>2</v>
      </c>
      <c r="N176">
        <v>2.4</v>
      </c>
      <c r="O176">
        <f t="shared" si="30"/>
        <v>2.4</v>
      </c>
      <c r="P176">
        <v>60</v>
      </c>
      <c r="Q176">
        <f t="shared" si="31"/>
        <v>60</v>
      </c>
      <c r="R176" t="s">
        <v>24</v>
      </c>
      <c r="S176" t="str">
        <f t="shared" si="32"/>
        <v>Non-Performing</v>
      </c>
      <c r="T176" t="s">
        <v>16</v>
      </c>
      <c r="U176" s="3">
        <f t="shared" si="33"/>
        <v>6.0644644011620188E-2</v>
      </c>
      <c r="V176" t="str">
        <f t="shared" si="34"/>
        <v>Healthy</v>
      </c>
      <c r="W176" t="str">
        <f t="shared" si="35"/>
        <v>High Risk</v>
      </c>
      <c r="X176" s="5" t="str">
        <f t="shared" si="36"/>
        <v>Medium</v>
      </c>
      <c r="Y176" s="5" t="str">
        <f t="shared" si="37"/>
        <v>High</v>
      </c>
      <c r="Z176" s="5" t="str">
        <f>IF(B176=120,"NULL",IF(AND(V176="High Stress", W176="High Risk", Y176="Low"),"High Risk : Reject", IF(AND(V176="Healthy", W176="Good",Y176&lt;&gt;"Low"), "Low Risk : Approve", "Medium Risk : Review")))</f>
        <v>Medium Risk : Review</v>
      </c>
      <c r="AA176" s="5" t="str">
        <f t="shared" si="38"/>
        <v>Medium</v>
      </c>
    </row>
    <row r="177" spans="1:27" x14ac:dyDescent="0.2">
      <c r="A177">
        <v>24572</v>
      </c>
      <c r="B177">
        <v>24</v>
      </c>
      <c r="C177">
        <f t="shared" si="26"/>
        <v>24</v>
      </c>
      <c r="D177" t="s">
        <v>17</v>
      </c>
      <c r="E177" t="str">
        <f t="shared" si="27"/>
        <v>Contract</v>
      </c>
      <c r="F177">
        <v>8724.23</v>
      </c>
      <c r="G177">
        <f>ABS(Table1[[#This Row],[Monthly_Income]])</f>
        <v>8724.23</v>
      </c>
      <c r="H177">
        <v>28931.82</v>
      </c>
      <c r="I177" s="5">
        <f t="shared" si="28"/>
        <v>28931.82</v>
      </c>
      <c r="J177">
        <v>18</v>
      </c>
      <c r="K177">
        <v>10.029999999999999</v>
      </c>
      <c r="L177">
        <v>4</v>
      </c>
      <c r="M177">
        <f t="shared" si="29"/>
        <v>4</v>
      </c>
      <c r="N177">
        <v>10.199999999999999</v>
      </c>
      <c r="O177">
        <f t="shared" si="30"/>
        <v>10.199999999999999</v>
      </c>
      <c r="Q177" t="str">
        <f t="shared" si="31"/>
        <v>NULL</v>
      </c>
      <c r="R177" t="s">
        <v>20</v>
      </c>
      <c r="S177" t="str">
        <f t="shared" si="32"/>
        <v>Written Off</v>
      </c>
      <c r="T177" t="s">
        <v>14</v>
      </c>
      <c r="U177" s="3">
        <f t="shared" si="33"/>
        <v>0.184236698635104</v>
      </c>
      <c r="V177" t="str">
        <f t="shared" si="34"/>
        <v>Healthy</v>
      </c>
      <c r="W177" t="str">
        <f t="shared" si="35"/>
        <v>NULL</v>
      </c>
      <c r="X177" s="5" t="str">
        <f t="shared" si="36"/>
        <v>Medium</v>
      </c>
      <c r="Y177" s="5" t="str">
        <f t="shared" si="37"/>
        <v>Low</v>
      </c>
      <c r="Z177" s="5" t="str">
        <f>IF(B177=120,"NULL",IF(AND(V177="High Stress", W177="High Risk", Y177="Low"),"High Risk : Reject", IF(AND(V177="Healthy", W177="Good",Y177&lt;&gt;"Low"), "Low Risk : Approve", "Medium Risk : Review")))</f>
        <v>Medium Risk : Review</v>
      </c>
      <c r="AA177" s="5" t="str">
        <f t="shared" si="38"/>
        <v>High</v>
      </c>
    </row>
    <row r="178" spans="1:27" x14ac:dyDescent="0.2">
      <c r="A178">
        <v>22094</v>
      </c>
      <c r="B178">
        <v>51</v>
      </c>
      <c r="C178">
        <f t="shared" si="26"/>
        <v>51</v>
      </c>
      <c r="D178" t="s">
        <v>12</v>
      </c>
      <c r="E178" t="str">
        <f t="shared" si="27"/>
        <v>Self-Employed</v>
      </c>
      <c r="F178">
        <v>4314.8900000000003</v>
      </c>
      <c r="G178">
        <f>ABS(Table1[[#This Row],[Monthly_Income]])</f>
        <v>4314.8900000000003</v>
      </c>
      <c r="H178">
        <v>21583.439999999999</v>
      </c>
      <c r="I178" s="5">
        <f t="shared" si="28"/>
        <v>21583.439999999999</v>
      </c>
      <c r="J178">
        <v>18</v>
      </c>
      <c r="K178">
        <v>17.649999999999999</v>
      </c>
      <c r="L178">
        <v>2</v>
      </c>
      <c r="M178">
        <f t="shared" si="29"/>
        <v>2</v>
      </c>
      <c r="N178">
        <v>5.8</v>
      </c>
      <c r="O178">
        <f t="shared" si="30"/>
        <v>5.8</v>
      </c>
      <c r="Q178" t="str">
        <f t="shared" si="31"/>
        <v>NULL</v>
      </c>
      <c r="R178" t="s">
        <v>24</v>
      </c>
      <c r="S178" t="str">
        <f t="shared" si="32"/>
        <v>Non-Performing</v>
      </c>
      <c r="T178" t="s">
        <v>25</v>
      </c>
      <c r="U178" s="3">
        <f t="shared" si="33"/>
        <v>0.27789352683382423</v>
      </c>
      <c r="V178" t="str">
        <f t="shared" si="34"/>
        <v>Healthy</v>
      </c>
      <c r="W178" t="str">
        <f t="shared" si="35"/>
        <v>NULL</v>
      </c>
      <c r="X178" s="5" t="str">
        <f t="shared" si="36"/>
        <v>Medium</v>
      </c>
      <c r="Y178" s="5" t="str">
        <f t="shared" si="37"/>
        <v>Medium</v>
      </c>
      <c r="Z178" s="5" t="str">
        <f>IF(B178=120,"NULL",IF(AND(V178="High Stress", W178="High Risk", Y178="Low"),"High Risk : Reject", IF(AND(V178="Healthy", W178="Good",Y178&lt;&gt;"Low"), "Low Risk : Approve", "Medium Risk : Review")))</f>
        <v>Medium Risk : Review</v>
      </c>
      <c r="AA178" s="5" t="str">
        <f t="shared" si="38"/>
        <v>Medium</v>
      </c>
    </row>
    <row r="179" spans="1:27" x14ac:dyDescent="0.2">
      <c r="A179">
        <v>24970</v>
      </c>
      <c r="B179">
        <v>23</v>
      </c>
      <c r="C179">
        <f t="shared" si="26"/>
        <v>23</v>
      </c>
      <c r="D179" t="s">
        <v>12</v>
      </c>
      <c r="E179" t="str">
        <f t="shared" si="27"/>
        <v>Self-Employed</v>
      </c>
      <c r="F179">
        <v>4368.71</v>
      </c>
      <c r="G179">
        <f>ABS(Table1[[#This Row],[Monthly_Income]])</f>
        <v>4368.71</v>
      </c>
      <c r="H179">
        <v>6090.29</v>
      </c>
      <c r="I179" s="5">
        <f t="shared" si="28"/>
        <v>6090.29</v>
      </c>
      <c r="J179">
        <v>60</v>
      </c>
      <c r="K179">
        <v>21.45</v>
      </c>
      <c r="L179">
        <v>3</v>
      </c>
      <c r="M179">
        <f t="shared" si="29"/>
        <v>3</v>
      </c>
      <c r="N179">
        <v>9.5</v>
      </c>
      <c r="O179">
        <f t="shared" si="30"/>
        <v>9.5</v>
      </c>
      <c r="P179">
        <v>60</v>
      </c>
      <c r="Q179">
        <f t="shared" si="31"/>
        <v>60</v>
      </c>
      <c r="R179" t="s">
        <v>15</v>
      </c>
      <c r="S179" t="str">
        <f t="shared" si="32"/>
        <v xml:space="preserve">Performing </v>
      </c>
      <c r="T179" t="s">
        <v>14</v>
      </c>
      <c r="U179" s="3">
        <f t="shared" si="33"/>
        <v>2.3234509347915822E-2</v>
      </c>
      <c r="V179" t="str">
        <f t="shared" si="34"/>
        <v>Healthy</v>
      </c>
      <c r="W179" t="str">
        <f t="shared" si="35"/>
        <v>High Risk</v>
      </c>
      <c r="X179" s="5" t="str">
        <f t="shared" si="36"/>
        <v>Small</v>
      </c>
      <c r="Y179" s="5" t="str">
        <f t="shared" si="37"/>
        <v>Medium</v>
      </c>
      <c r="Z179" s="5" t="str">
        <f>IF(B179=120,"NULL",IF(AND(V179="High Stress", W179="High Risk", Y179="Low"),"High Risk : Reject", IF(AND(V179="Healthy", W179="Good",Y179&lt;&gt;"Low"), "Low Risk : Approve", "Medium Risk : Review")))</f>
        <v>Medium Risk : Review</v>
      </c>
      <c r="AA179" s="5" t="str">
        <f t="shared" si="38"/>
        <v>Medium</v>
      </c>
    </row>
    <row r="180" spans="1:27" x14ac:dyDescent="0.2">
      <c r="A180">
        <v>22913</v>
      </c>
      <c r="B180">
        <v>21</v>
      </c>
      <c r="C180">
        <f t="shared" si="26"/>
        <v>21</v>
      </c>
      <c r="D180" t="s">
        <v>27</v>
      </c>
      <c r="E180" t="str">
        <f t="shared" si="27"/>
        <v>Unemployed</v>
      </c>
      <c r="F180">
        <v>6197.98</v>
      </c>
      <c r="G180">
        <f>ABS(Table1[[#This Row],[Monthly_Income]])</f>
        <v>6197.98</v>
      </c>
      <c r="H180">
        <v>15244.35</v>
      </c>
      <c r="I180" s="5">
        <f t="shared" si="28"/>
        <v>15244.35</v>
      </c>
      <c r="J180">
        <v>12</v>
      </c>
      <c r="K180">
        <v>14.6</v>
      </c>
      <c r="M180" t="str">
        <f t="shared" si="29"/>
        <v>NULL</v>
      </c>
      <c r="N180">
        <v>8.4</v>
      </c>
      <c r="O180">
        <f t="shared" si="30"/>
        <v>8.4</v>
      </c>
      <c r="P180">
        <v>0</v>
      </c>
      <c r="Q180">
        <f t="shared" si="31"/>
        <v>0</v>
      </c>
      <c r="R180" t="s">
        <v>24</v>
      </c>
      <c r="S180" t="str">
        <f t="shared" si="32"/>
        <v>Non-Performing</v>
      </c>
      <c r="T180" t="s">
        <v>19</v>
      </c>
      <c r="U180" s="3">
        <f t="shared" si="33"/>
        <v>0.20496395599856729</v>
      </c>
      <c r="V180" t="str">
        <f t="shared" si="34"/>
        <v>Healthy</v>
      </c>
      <c r="W180" t="str">
        <f t="shared" si="35"/>
        <v>Good</v>
      </c>
      <c r="X180" s="5" t="str">
        <f t="shared" si="36"/>
        <v>Medium</v>
      </c>
      <c r="Y180" s="5" t="str">
        <f t="shared" si="37"/>
        <v>Low</v>
      </c>
      <c r="Z180" s="5" t="str">
        <f>IF(B180=120,"NULL",IF(AND(V180="High Stress", W180="High Risk", Y180="Low"),"High Risk : Reject", IF(AND(V180="Healthy", W180="Good",Y180&lt;&gt;"Low"), "Low Risk : Approve", "Medium Risk : Review")))</f>
        <v>Medium Risk : Review</v>
      </c>
      <c r="AA180" s="5" t="str">
        <f t="shared" si="38"/>
        <v>Medium</v>
      </c>
    </row>
    <row r="181" spans="1:27" x14ac:dyDescent="0.2">
      <c r="A181">
        <v>20291</v>
      </c>
      <c r="B181">
        <v>58</v>
      </c>
      <c r="C181">
        <f t="shared" si="26"/>
        <v>58</v>
      </c>
      <c r="D181" t="s">
        <v>26</v>
      </c>
      <c r="E181" t="str">
        <f t="shared" si="27"/>
        <v>Salaried</v>
      </c>
      <c r="F181">
        <v>7089.61</v>
      </c>
      <c r="G181">
        <f>ABS(Table1[[#This Row],[Monthly_Income]])</f>
        <v>7089.61</v>
      </c>
      <c r="H181">
        <v>12304.17</v>
      </c>
      <c r="I181" s="5">
        <f t="shared" si="28"/>
        <v>12304.17</v>
      </c>
      <c r="J181">
        <v>48</v>
      </c>
      <c r="K181">
        <v>14.56</v>
      </c>
      <c r="L181">
        <v>2</v>
      </c>
      <c r="M181">
        <f t="shared" si="29"/>
        <v>2</v>
      </c>
      <c r="N181">
        <v>5.5</v>
      </c>
      <c r="O181">
        <f t="shared" si="30"/>
        <v>5.5</v>
      </c>
      <c r="P181">
        <v>30</v>
      </c>
      <c r="Q181">
        <f t="shared" si="31"/>
        <v>30</v>
      </c>
      <c r="R181" t="s">
        <v>24</v>
      </c>
      <c r="S181" t="str">
        <f t="shared" si="32"/>
        <v>Non-Performing</v>
      </c>
      <c r="T181" t="s">
        <v>22</v>
      </c>
      <c r="U181" s="3">
        <f t="shared" si="33"/>
        <v>3.61566962075488E-2</v>
      </c>
      <c r="V181" t="str">
        <f t="shared" si="34"/>
        <v>Healthy</v>
      </c>
      <c r="W181" t="str">
        <f t="shared" si="35"/>
        <v>At Risk</v>
      </c>
      <c r="X181" s="5" t="str">
        <f t="shared" si="36"/>
        <v>Medium</v>
      </c>
      <c r="Y181" s="5" t="str">
        <f t="shared" si="37"/>
        <v>High</v>
      </c>
      <c r="Z181" s="5" t="str">
        <f>IF(B181=120,"NULL",IF(AND(V181="High Stress", W181="High Risk", Y181="Low"),"High Risk : Reject", IF(AND(V181="Healthy", W181="Good",Y181&lt;&gt;"Low"), "Low Risk : Approve", "Medium Risk : Review")))</f>
        <v>Medium Risk : Review</v>
      </c>
      <c r="AA181" s="5" t="str">
        <f t="shared" si="38"/>
        <v>Medium</v>
      </c>
    </row>
    <row r="182" spans="1:27" x14ac:dyDescent="0.2">
      <c r="A182">
        <v>22232</v>
      </c>
      <c r="B182">
        <v>59</v>
      </c>
      <c r="C182">
        <f t="shared" si="26"/>
        <v>59</v>
      </c>
      <c r="D182" t="s">
        <v>23</v>
      </c>
      <c r="E182" t="str">
        <f t="shared" si="27"/>
        <v>Self-Employed</v>
      </c>
      <c r="F182">
        <v>4813.33</v>
      </c>
      <c r="G182">
        <f>ABS(Table1[[#This Row],[Monthly_Income]])</f>
        <v>4813.33</v>
      </c>
      <c r="H182">
        <v>28119.37</v>
      </c>
      <c r="I182" s="5">
        <f t="shared" si="28"/>
        <v>28119.37</v>
      </c>
      <c r="J182">
        <v>24</v>
      </c>
      <c r="K182">
        <v>23.52</v>
      </c>
      <c r="L182">
        <v>1</v>
      </c>
      <c r="M182">
        <f t="shared" si="29"/>
        <v>1</v>
      </c>
      <c r="N182">
        <v>13.1</v>
      </c>
      <c r="O182">
        <f t="shared" si="30"/>
        <v>13.1</v>
      </c>
      <c r="P182">
        <v>60</v>
      </c>
      <c r="Q182">
        <f t="shared" si="31"/>
        <v>60</v>
      </c>
      <c r="R182" t="s">
        <v>13</v>
      </c>
      <c r="S182" t="str">
        <f t="shared" si="32"/>
        <v>Performing</v>
      </c>
      <c r="T182" t="s">
        <v>22</v>
      </c>
      <c r="U182" s="3">
        <f t="shared" si="33"/>
        <v>0.24341576760094707</v>
      </c>
      <c r="V182" t="str">
        <f t="shared" si="34"/>
        <v>Healthy</v>
      </c>
      <c r="W182" t="str">
        <f t="shared" si="35"/>
        <v>High Risk</v>
      </c>
      <c r="X182" s="5" t="str">
        <f t="shared" si="36"/>
        <v>Medium</v>
      </c>
      <c r="Y182" s="5" t="str">
        <f t="shared" si="37"/>
        <v>Medium</v>
      </c>
      <c r="Z182" s="5" t="str">
        <f>IF(B182=120,"NULL",IF(AND(V182="High Stress", W182="High Risk", Y182="Low"),"High Risk : Reject", IF(AND(V182="Healthy", W182="Good",Y182&lt;&gt;"Low"), "Low Risk : Approve", "Medium Risk : Review")))</f>
        <v>Medium Risk : Review</v>
      </c>
      <c r="AA182" s="5" t="str">
        <f t="shared" si="38"/>
        <v>Medium</v>
      </c>
    </row>
    <row r="183" spans="1:27" x14ac:dyDescent="0.2">
      <c r="A183">
        <v>22279</v>
      </c>
      <c r="B183">
        <v>57</v>
      </c>
      <c r="C183">
        <f t="shared" si="26"/>
        <v>57</v>
      </c>
      <c r="D183" t="s">
        <v>26</v>
      </c>
      <c r="E183" t="str">
        <f t="shared" si="27"/>
        <v>Salaried</v>
      </c>
      <c r="F183">
        <v>6727.54</v>
      </c>
      <c r="G183">
        <f>ABS(Table1[[#This Row],[Monthly_Income]])</f>
        <v>6727.54</v>
      </c>
      <c r="H183">
        <v>23245.79</v>
      </c>
      <c r="I183" s="5">
        <f t="shared" si="28"/>
        <v>23245.79</v>
      </c>
      <c r="J183">
        <v>18</v>
      </c>
      <c r="K183">
        <v>18.07</v>
      </c>
      <c r="L183">
        <v>3</v>
      </c>
      <c r="M183">
        <f t="shared" si="29"/>
        <v>3</v>
      </c>
      <c r="N183">
        <v>5.6</v>
      </c>
      <c r="O183">
        <f t="shared" si="30"/>
        <v>5.6</v>
      </c>
      <c r="P183">
        <v>60</v>
      </c>
      <c r="Q183">
        <f t="shared" si="31"/>
        <v>60</v>
      </c>
      <c r="R183" t="s">
        <v>15</v>
      </c>
      <c r="S183" t="str">
        <f t="shared" si="32"/>
        <v xml:space="preserve">Performing </v>
      </c>
      <c r="T183" t="s">
        <v>19</v>
      </c>
      <c r="U183" s="3">
        <f t="shared" si="33"/>
        <v>0.19196211063446339</v>
      </c>
      <c r="V183" t="str">
        <f t="shared" si="34"/>
        <v>Healthy</v>
      </c>
      <c r="W183" t="str">
        <f t="shared" si="35"/>
        <v>High Risk</v>
      </c>
      <c r="X183" s="5" t="str">
        <f t="shared" si="36"/>
        <v>Medium</v>
      </c>
      <c r="Y183" s="5" t="str">
        <f t="shared" si="37"/>
        <v>High</v>
      </c>
      <c r="Z183" s="5" t="str">
        <f>IF(B183=120,"NULL",IF(AND(V183="High Stress", W183="High Risk", Y183="Low"),"High Risk : Reject", IF(AND(V183="Healthy", W183="Good",Y183&lt;&gt;"Low"), "Low Risk : Approve", "Medium Risk : Review")))</f>
        <v>Medium Risk : Review</v>
      </c>
      <c r="AA183" s="5" t="str">
        <f t="shared" si="38"/>
        <v>Medium</v>
      </c>
    </row>
    <row r="184" spans="1:27" x14ac:dyDescent="0.2">
      <c r="A184">
        <v>20915</v>
      </c>
      <c r="B184">
        <v>42</v>
      </c>
      <c r="C184">
        <f t="shared" si="26"/>
        <v>42</v>
      </c>
      <c r="D184" t="s">
        <v>21</v>
      </c>
      <c r="E184" t="str">
        <f t="shared" si="27"/>
        <v>Salaried</v>
      </c>
      <c r="F184">
        <v>6666.59</v>
      </c>
      <c r="G184">
        <f>ABS(Table1[[#This Row],[Monthly_Income]])</f>
        <v>6666.59</v>
      </c>
      <c r="H184">
        <v>23502.99</v>
      </c>
      <c r="I184" s="5">
        <f t="shared" si="28"/>
        <v>23502.99</v>
      </c>
      <c r="J184">
        <v>18</v>
      </c>
      <c r="K184">
        <v>10.99</v>
      </c>
      <c r="L184">
        <v>0</v>
      </c>
      <c r="M184">
        <f t="shared" si="29"/>
        <v>0</v>
      </c>
      <c r="N184">
        <v>5.5</v>
      </c>
      <c r="O184">
        <f t="shared" si="30"/>
        <v>5.5</v>
      </c>
      <c r="P184">
        <v>90</v>
      </c>
      <c r="Q184">
        <f t="shared" si="31"/>
        <v>90</v>
      </c>
      <c r="R184" t="s">
        <v>24</v>
      </c>
      <c r="S184" t="str">
        <f t="shared" si="32"/>
        <v>Non-Performing</v>
      </c>
      <c r="T184" t="s">
        <v>14</v>
      </c>
      <c r="U184" s="3">
        <f t="shared" si="33"/>
        <v>0.19586050239577757</v>
      </c>
      <c r="V184" t="str">
        <f t="shared" si="34"/>
        <v>Healthy</v>
      </c>
      <c r="W184" t="str">
        <f t="shared" si="35"/>
        <v>High Risk</v>
      </c>
      <c r="X184" s="5" t="str">
        <f t="shared" si="36"/>
        <v>Medium</v>
      </c>
      <c r="Y184" s="5" t="str">
        <f t="shared" si="37"/>
        <v>High</v>
      </c>
      <c r="Z184" s="5" t="str">
        <f>IF(B184=120,"NULL",IF(AND(V184="High Stress", W184="High Risk", Y184="Low"),"High Risk : Reject", IF(AND(V184="Healthy", W184="Good",Y184&lt;&gt;"Low"), "Low Risk : Approve", "Medium Risk : Review")))</f>
        <v>Medium Risk : Review</v>
      </c>
      <c r="AA184" s="5" t="str">
        <f t="shared" si="38"/>
        <v>Medium</v>
      </c>
    </row>
    <row r="185" spans="1:27" x14ac:dyDescent="0.2">
      <c r="A185">
        <v>20266</v>
      </c>
      <c r="B185">
        <v>54</v>
      </c>
      <c r="C185">
        <f t="shared" si="26"/>
        <v>54</v>
      </c>
      <c r="D185" t="s">
        <v>17</v>
      </c>
      <c r="E185" t="str">
        <f t="shared" si="27"/>
        <v>Contract</v>
      </c>
      <c r="F185">
        <v>5541.24</v>
      </c>
      <c r="G185">
        <f>ABS(Table1[[#This Row],[Monthly_Income]])</f>
        <v>5541.24</v>
      </c>
      <c r="H185">
        <v>19939.43</v>
      </c>
      <c r="I185" s="5">
        <f t="shared" si="28"/>
        <v>19939.43</v>
      </c>
      <c r="J185">
        <v>36</v>
      </c>
      <c r="K185">
        <v>55</v>
      </c>
      <c r="L185">
        <v>2</v>
      </c>
      <c r="M185">
        <f t="shared" si="29"/>
        <v>2</v>
      </c>
      <c r="N185">
        <v>1.8</v>
      </c>
      <c r="O185">
        <f t="shared" si="30"/>
        <v>1.8</v>
      </c>
      <c r="P185">
        <v>15</v>
      </c>
      <c r="Q185">
        <f t="shared" si="31"/>
        <v>15</v>
      </c>
      <c r="R185" t="s">
        <v>15</v>
      </c>
      <c r="S185" t="str">
        <f t="shared" si="32"/>
        <v xml:space="preserve">Performing </v>
      </c>
      <c r="T185" t="s">
        <v>16</v>
      </c>
      <c r="U185" s="3">
        <f t="shared" si="33"/>
        <v>9.9954713305244969E-2</v>
      </c>
      <c r="V185" t="str">
        <f t="shared" si="34"/>
        <v>Healthy</v>
      </c>
      <c r="W185" t="str">
        <f t="shared" si="35"/>
        <v>Good</v>
      </c>
      <c r="X185" s="5" t="str">
        <f t="shared" si="36"/>
        <v>Medium</v>
      </c>
      <c r="Y185" s="5" t="str">
        <f t="shared" si="37"/>
        <v>Low</v>
      </c>
      <c r="Z185" s="5" t="str">
        <f>IF(B185=120,"NULL",IF(AND(V185="High Stress", W185="High Risk", Y185="Low"),"High Risk : Reject", IF(AND(V185="Healthy", W185="Good",Y185&lt;&gt;"Low"), "Low Risk : Approve", "Medium Risk : Review")))</f>
        <v>Medium Risk : Review</v>
      </c>
      <c r="AA185" s="5" t="str">
        <f t="shared" si="38"/>
        <v>Medium</v>
      </c>
    </row>
    <row r="186" spans="1:27" x14ac:dyDescent="0.2">
      <c r="A186">
        <v>21994</v>
      </c>
      <c r="B186">
        <v>44</v>
      </c>
      <c r="C186">
        <f t="shared" si="26"/>
        <v>44</v>
      </c>
      <c r="D186" t="s">
        <v>21</v>
      </c>
      <c r="E186" t="str">
        <f t="shared" si="27"/>
        <v>Salaried</v>
      </c>
      <c r="F186">
        <v>3315.98</v>
      </c>
      <c r="G186">
        <f>ABS(Table1[[#This Row],[Monthly_Income]])</f>
        <v>3315.98</v>
      </c>
      <c r="H186">
        <v>30730.62</v>
      </c>
      <c r="I186" s="5">
        <f t="shared" si="28"/>
        <v>30730.62</v>
      </c>
      <c r="J186">
        <v>48</v>
      </c>
      <c r="K186">
        <v>23.07</v>
      </c>
      <c r="L186">
        <v>2</v>
      </c>
      <c r="M186">
        <f t="shared" si="29"/>
        <v>2</v>
      </c>
      <c r="N186">
        <v>6.1</v>
      </c>
      <c r="O186">
        <f t="shared" si="30"/>
        <v>6.1</v>
      </c>
      <c r="P186">
        <v>60</v>
      </c>
      <c r="Q186">
        <f t="shared" si="31"/>
        <v>60</v>
      </c>
      <c r="R186" t="s">
        <v>15</v>
      </c>
      <c r="S186" t="str">
        <f t="shared" si="32"/>
        <v xml:space="preserve">Performing </v>
      </c>
      <c r="T186" t="s">
        <v>25</v>
      </c>
      <c r="U186" s="3">
        <f t="shared" si="33"/>
        <v>0.19307150525636463</v>
      </c>
      <c r="V186" t="str">
        <f t="shared" si="34"/>
        <v>Healthy</v>
      </c>
      <c r="W186" t="str">
        <f t="shared" si="35"/>
        <v>High Risk</v>
      </c>
      <c r="X186" s="5" t="str">
        <f t="shared" si="36"/>
        <v>High</v>
      </c>
      <c r="Y186" s="5" t="str">
        <f t="shared" si="37"/>
        <v>High</v>
      </c>
      <c r="Z186" s="5" t="str">
        <f>IF(B186=120,"NULL",IF(AND(V186="High Stress", W186="High Risk", Y186="Low"),"High Risk : Reject", IF(AND(V186="Healthy", W186="Good",Y186&lt;&gt;"Low"), "Low Risk : Approve", "Medium Risk : Review")))</f>
        <v>Medium Risk : Review</v>
      </c>
      <c r="AA186" s="5" t="str">
        <f t="shared" si="38"/>
        <v>Medium</v>
      </c>
    </row>
    <row r="187" spans="1:27" x14ac:dyDescent="0.2">
      <c r="A187">
        <v>20270</v>
      </c>
      <c r="B187">
        <v>26</v>
      </c>
      <c r="C187">
        <f t="shared" si="26"/>
        <v>26</v>
      </c>
      <c r="D187" t="s">
        <v>23</v>
      </c>
      <c r="E187" t="str">
        <f t="shared" si="27"/>
        <v>Self-Employed</v>
      </c>
      <c r="F187">
        <v>3243.66</v>
      </c>
      <c r="G187">
        <f>ABS(Table1[[#This Row],[Monthly_Income]])</f>
        <v>3243.66</v>
      </c>
      <c r="H187">
        <v>27060.720000000001</v>
      </c>
      <c r="I187" s="5">
        <f t="shared" si="28"/>
        <v>27060.720000000001</v>
      </c>
      <c r="J187">
        <v>18</v>
      </c>
      <c r="K187">
        <v>15.34</v>
      </c>
      <c r="L187">
        <v>0</v>
      </c>
      <c r="M187">
        <f t="shared" si="29"/>
        <v>0</v>
      </c>
      <c r="N187">
        <v>9.1999999999999993</v>
      </c>
      <c r="O187">
        <f t="shared" si="30"/>
        <v>9.1999999999999993</v>
      </c>
      <c r="P187">
        <v>90</v>
      </c>
      <c r="Q187">
        <f t="shared" si="31"/>
        <v>90</v>
      </c>
      <c r="R187" t="s">
        <v>15</v>
      </c>
      <c r="S187" t="str">
        <f t="shared" si="32"/>
        <v xml:space="preserve">Performing </v>
      </c>
      <c r="T187" t="s">
        <v>25</v>
      </c>
      <c r="U187" s="3">
        <f t="shared" si="33"/>
        <v>0.46348055385994014</v>
      </c>
      <c r="V187" t="str">
        <f t="shared" si="34"/>
        <v>High Stress</v>
      </c>
      <c r="W187" t="str">
        <f t="shared" si="35"/>
        <v>High Risk</v>
      </c>
      <c r="X187" s="5" t="str">
        <f t="shared" si="36"/>
        <v>Medium</v>
      </c>
      <c r="Y187" s="5" t="str">
        <f t="shared" si="37"/>
        <v>Medium</v>
      </c>
      <c r="Z187" s="5" t="str">
        <f>IF(B187=120,"NULL",IF(AND(V187="High Stress", W187="High Risk", Y187="Low"),"High Risk : Reject", IF(AND(V187="Healthy", W187="Good",Y187&lt;&gt;"Low"), "Low Risk : Approve", "Medium Risk : Review")))</f>
        <v>Medium Risk : Review</v>
      </c>
      <c r="AA187" s="5" t="str">
        <f t="shared" si="38"/>
        <v>Medium</v>
      </c>
    </row>
    <row r="188" spans="1:27" x14ac:dyDescent="0.2">
      <c r="A188">
        <v>24012</v>
      </c>
      <c r="B188">
        <v>40</v>
      </c>
      <c r="C188">
        <f t="shared" si="26"/>
        <v>40</v>
      </c>
      <c r="D188" t="s">
        <v>26</v>
      </c>
      <c r="E188" t="str">
        <f t="shared" si="27"/>
        <v>Salaried</v>
      </c>
      <c r="F188">
        <v>7138.98</v>
      </c>
      <c r="G188">
        <f>ABS(Table1[[#This Row],[Monthly_Income]])</f>
        <v>7138.98</v>
      </c>
      <c r="H188">
        <v>31249.08</v>
      </c>
      <c r="I188" s="5">
        <f t="shared" si="28"/>
        <v>31249.08</v>
      </c>
      <c r="J188">
        <v>6</v>
      </c>
      <c r="K188">
        <v>20.57</v>
      </c>
      <c r="L188">
        <v>4</v>
      </c>
      <c r="M188">
        <f t="shared" si="29"/>
        <v>4</v>
      </c>
      <c r="N188">
        <v>6.8</v>
      </c>
      <c r="O188">
        <f t="shared" si="30"/>
        <v>6.8</v>
      </c>
      <c r="P188">
        <v>15</v>
      </c>
      <c r="Q188">
        <f t="shared" si="31"/>
        <v>15</v>
      </c>
      <c r="R188" t="s">
        <v>24</v>
      </c>
      <c r="S188" t="str">
        <f t="shared" si="32"/>
        <v>Non-Performing</v>
      </c>
      <c r="T188" t="s">
        <v>16</v>
      </c>
      <c r="U188" s="3">
        <f t="shared" si="33"/>
        <v>0.72954119496062475</v>
      </c>
      <c r="V188" t="str">
        <f t="shared" si="34"/>
        <v>High Stress</v>
      </c>
      <c r="W188" t="str">
        <f t="shared" si="35"/>
        <v>Good</v>
      </c>
      <c r="X188" s="5" t="str">
        <f t="shared" si="36"/>
        <v>High</v>
      </c>
      <c r="Y188" s="5" t="str">
        <f t="shared" si="37"/>
        <v>High</v>
      </c>
      <c r="Z188" s="5" t="str">
        <f>IF(B188=120,"NULL",IF(AND(V188="High Stress", W188="High Risk", Y188="Low"),"High Risk : Reject", IF(AND(V188="Healthy", W188="Good",Y188&lt;&gt;"Low"), "Low Risk : Approve", "Medium Risk : Review")))</f>
        <v>Medium Risk : Review</v>
      </c>
      <c r="AA188" s="5" t="str">
        <f t="shared" si="38"/>
        <v>Medium</v>
      </c>
    </row>
    <row r="189" spans="1:27" x14ac:dyDescent="0.2">
      <c r="A189">
        <v>22050</v>
      </c>
      <c r="B189">
        <v>61</v>
      </c>
      <c r="C189">
        <f t="shared" si="26"/>
        <v>61</v>
      </c>
      <c r="D189" t="s">
        <v>12</v>
      </c>
      <c r="E189" t="str">
        <f t="shared" si="27"/>
        <v>Self-Employed</v>
      </c>
      <c r="F189">
        <v>3522.31</v>
      </c>
      <c r="G189">
        <f>ABS(Table1[[#This Row],[Monthly_Income]])</f>
        <v>3522.31</v>
      </c>
      <c r="H189">
        <v>11906.09</v>
      </c>
      <c r="I189" s="5">
        <f t="shared" si="28"/>
        <v>11906.09</v>
      </c>
      <c r="J189">
        <v>18</v>
      </c>
      <c r="K189">
        <v>20.04</v>
      </c>
      <c r="L189">
        <v>1</v>
      </c>
      <c r="M189">
        <f t="shared" si="29"/>
        <v>1</v>
      </c>
      <c r="N189">
        <v>9.6</v>
      </c>
      <c r="O189">
        <f t="shared" si="30"/>
        <v>9.6</v>
      </c>
      <c r="P189">
        <v>120</v>
      </c>
      <c r="Q189">
        <f t="shared" si="31"/>
        <v>120</v>
      </c>
      <c r="R189" t="s">
        <v>20</v>
      </c>
      <c r="S189" t="str">
        <f t="shared" si="32"/>
        <v>Written Off</v>
      </c>
      <c r="T189" t="s">
        <v>19</v>
      </c>
      <c r="U189" s="3">
        <f t="shared" si="33"/>
        <v>0.18778853776199267</v>
      </c>
      <c r="V189" t="str">
        <f t="shared" si="34"/>
        <v>Healthy</v>
      </c>
      <c r="W189" t="str">
        <f t="shared" si="35"/>
        <v>High Risk</v>
      </c>
      <c r="X189" s="5" t="str">
        <f t="shared" si="36"/>
        <v>Medium</v>
      </c>
      <c r="Y189" s="5" t="str">
        <f t="shared" si="37"/>
        <v>Medium</v>
      </c>
      <c r="Z189" s="5" t="str">
        <f>IF(B189=120,"NULL",IF(AND(V189="High Stress", W189="High Risk", Y189="Low"),"High Risk : Reject", IF(AND(V189="Healthy", W189="Good",Y189&lt;&gt;"Low"), "Low Risk : Approve", "Medium Risk : Review")))</f>
        <v>Medium Risk : Review</v>
      </c>
      <c r="AA189" s="5" t="str">
        <f t="shared" si="38"/>
        <v>Medium</v>
      </c>
    </row>
    <row r="190" spans="1:27" x14ac:dyDescent="0.2">
      <c r="A190">
        <v>25408</v>
      </c>
      <c r="B190">
        <v>23</v>
      </c>
      <c r="C190">
        <f t="shared" si="26"/>
        <v>23</v>
      </c>
      <c r="D190" t="s">
        <v>12</v>
      </c>
      <c r="E190" t="str">
        <f t="shared" si="27"/>
        <v>Self-Employed</v>
      </c>
      <c r="F190">
        <v>3759.95</v>
      </c>
      <c r="G190">
        <f>ABS(Table1[[#This Row],[Monthly_Income]])</f>
        <v>3759.95</v>
      </c>
      <c r="H190">
        <v>8178.99</v>
      </c>
      <c r="I190" s="5">
        <f t="shared" si="28"/>
        <v>8178.99</v>
      </c>
      <c r="J190">
        <v>24</v>
      </c>
      <c r="K190">
        <v>19.579999999999998</v>
      </c>
      <c r="M190" t="str">
        <f t="shared" si="29"/>
        <v>NULL</v>
      </c>
      <c r="N190">
        <v>4.5</v>
      </c>
      <c r="O190">
        <f t="shared" si="30"/>
        <v>4.5</v>
      </c>
      <c r="Q190" t="str">
        <f t="shared" si="31"/>
        <v>NULL</v>
      </c>
      <c r="R190" t="s">
        <v>18</v>
      </c>
      <c r="S190" t="str">
        <f t="shared" si="32"/>
        <v>Non-Performing</v>
      </c>
      <c r="T190" t="s">
        <v>19</v>
      </c>
      <c r="U190" s="3">
        <f t="shared" si="33"/>
        <v>9.0637176026276953E-2</v>
      </c>
      <c r="V190" t="str">
        <f t="shared" si="34"/>
        <v>Healthy</v>
      </c>
      <c r="W190" t="str">
        <f t="shared" si="35"/>
        <v>NULL</v>
      </c>
      <c r="X190" s="5" t="str">
        <f t="shared" si="36"/>
        <v>Small</v>
      </c>
      <c r="Y190" s="5" t="str">
        <f t="shared" si="37"/>
        <v>Medium</v>
      </c>
      <c r="Z190" s="5" t="str">
        <f>IF(B190=120,"NULL",IF(AND(V190="High Stress", W190="High Risk", Y190="Low"),"High Risk : Reject", IF(AND(V190="Healthy", W190="Good",Y190&lt;&gt;"Low"), "Low Risk : Approve", "Medium Risk : Review")))</f>
        <v>Medium Risk : Review</v>
      </c>
      <c r="AA190" s="5" t="str">
        <f t="shared" si="38"/>
        <v>Medium</v>
      </c>
    </row>
    <row r="191" spans="1:27" x14ac:dyDescent="0.2">
      <c r="A191">
        <v>25007</v>
      </c>
      <c r="B191">
        <v>47</v>
      </c>
      <c r="C191">
        <f t="shared" si="26"/>
        <v>47</v>
      </c>
      <c r="D191" t="s">
        <v>27</v>
      </c>
      <c r="E191" t="str">
        <f t="shared" si="27"/>
        <v>Unemployed</v>
      </c>
      <c r="F191">
        <v>5789.54</v>
      </c>
      <c r="G191">
        <f>ABS(Table1[[#This Row],[Monthly_Income]])</f>
        <v>5789.54</v>
      </c>
      <c r="H191">
        <v>16580.48</v>
      </c>
      <c r="I191" s="5">
        <f t="shared" si="28"/>
        <v>16580.48</v>
      </c>
      <c r="J191">
        <v>12</v>
      </c>
      <c r="K191">
        <v>15.27</v>
      </c>
      <c r="M191" t="str">
        <f t="shared" si="29"/>
        <v>NULL</v>
      </c>
      <c r="N191">
        <v>3.6</v>
      </c>
      <c r="O191">
        <f t="shared" si="30"/>
        <v>3.6</v>
      </c>
      <c r="P191">
        <v>0</v>
      </c>
      <c r="Q191">
        <f t="shared" si="31"/>
        <v>0</v>
      </c>
      <c r="R191" t="s">
        <v>13</v>
      </c>
      <c r="S191" t="str">
        <f t="shared" si="32"/>
        <v>Performing</v>
      </c>
      <c r="T191" t="s">
        <v>16</v>
      </c>
      <c r="U191" s="3">
        <f t="shared" si="33"/>
        <v>0.23865569054996885</v>
      </c>
      <c r="V191" t="str">
        <f t="shared" si="34"/>
        <v>Healthy</v>
      </c>
      <c r="W191" t="str">
        <f t="shared" si="35"/>
        <v>Good</v>
      </c>
      <c r="X191" s="5" t="str">
        <f t="shared" si="36"/>
        <v>Medium</v>
      </c>
      <c r="Y191" s="5" t="str">
        <f t="shared" si="37"/>
        <v>Low</v>
      </c>
      <c r="Z191" s="5" t="str">
        <f>IF(B191=120,"NULL",IF(AND(V191="High Stress", W191="High Risk", Y191="Low"),"High Risk : Reject", IF(AND(V191="Healthy", W191="Good",Y191&lt;&gt;"Low"), "Low Risk : Approve", "Medium Risk : Review")))</f>
        <v>Medium Risk : Review</v>
      </c>
      <c r="AA191" s="5" t="str">
        <f t="shared" si="38"/>
        <v>Medium</v>
      </c>
    </row>
    <row r="192" spans="1:27" x14ac:dyDescent="0.2">
      <c r="A192">
        <v>24657</v>
      </c>
      <c r="B192">
        <v>26</v>
      </c>
      <c r="C192">
        <f t="shared" si="26"/>
        <v>26</v>
      </c>
      <c r="D192" t="s">
        <v>26</v>
      </c>
      <c r="E192" t="str">
        <f t="shared" si="27"/>
        <v>Salaried</v>
      </c>
      <c r="F192">
        <v>9671.33</v>
      </c>
      <c r="G192">
        <f>ABS(Table1[[#This Row],[Monthly_Income]])</f>
        <v>9671.33</v>
      </c>
      <c r="H192">
        <v>18629.29</v>
      </c>
      <c r="I192" s="5">
        <f t="shared" si="28"/>
        <v>18629.29</v>
      </c>
      <c r="J192">
        <v>6</v>
      </c>
      <c r="K192">
        <v>19.3</v>
      </c>
      <c r="L192">
        <v>2</v>
      </c>
      <c r="M192">
        <f t="shared" si="29"/>
        <v>2</v>
      </c>
      <c r="N192">
        <v>4.2</v>
      </c>
      <c r="O192">
        <f t="shared" si="30"/>
        <v>4.2</v>
      </c>
      <c r="Q192" t="str">
        <f t="shared" si="31"/>
        <v>NULL</v>
      </c>
      <c r="R192" t="s">
        <v>15</v>
      </c>
      <c r="S192" t="str">
        <f t="shared" si="32"/>
        <v xml:space="preserve">Performing </v>
      </c>
      <c r="T192" t="s">
        <v>19</v>
      </c>
      <c r="U192" s="3">
        <f t="shared" si="33"/>
        <v>0.32103978115385029</v>
      </c>
      <c r="V192" t="str">
        <f t="shared" si="34"/>
        <v>Stretched</v>
      </c>
      <c r="W192" t="str">
        <f t="shared" si="35"/>
        <v>NULL</v>
      </c>
      <c r="X192" s="5" t="str">
        <f t="shared" si="36"/>
        <v>Medium</v>
      </c>
      <c r="Y192" s="5" t="str">
        <f t="shared" si="37"/>
        <v>High</v>
      </c>
      <c r="Z192" s="5" t="str">
        <f>IF(B192=120,"NULL",IF(AND(V192="High Stress", W192="High Risk", Y192="Low"),"High Risk : Reject", IF(AND(V192="Healthy", W192="Good",Y192&lt;&gt;"Low"), "Low Risk : Approve", "Medium Risk : Review")))</f>
        <v>Medium Risk : Review</v>
      </c>
      <c r="AA192" s="5" t="str">
        <f t="shared" si="38"/>
        <v>High</v>
      </c>
    </row>
    <row r="193" spans="1:27" x14ac:dyDescent="0.2">
      <c r="A193">
        <v>23738</v>
      </c>
      <c r="B193">
        <v>32</v>
      </c>
      <c r="C193">
        <f t="shared" si="26"/>
        <v>32</v>
      </c>
      <c r="D193" t="s">
        <v>12</v>
      </c>
      <c r="E193" t="str">
        <f t="shared" si="27"/>
        <v>Self-Employed</v>
      </c>
      <c r="F193">
        <v>6261.62</v>
      </c>
      <c r="G193">
        <f>ABS(Table1[[#This Row],[Monthly_Income]])</f>
        <v>6261.62</v>
      </c>
      <c r="H193">
        <v>14496.52</v>
      </c>
      <c r="I193" s="5">
        <f t="shared" si="28"/>
        <v>14496.52</v>
      </c>
      <c r="J193">
        <v>18</v>
      </c>
      <c r="K193">
        <v>22.73</v>
      </c>
      <c r="L193">
        <v>3</v>
      </c>
      <c r="M193">
        <f t="shared" si="29"/>
        <v>3</v>
      </c>
      <c r="N193">
        <v>8.9</v>
      </c>
      <c r="O193">
        <f t="shared" si="30"/>
        <v>8.9</v>
      </c>
      <c r="P193">
        <v>90</v>
      </c>
      <c r="Q193">
        <f t="shared" si="31"/>
        <v>90</v>
      </c>
      <c r="R193" t="s">
        <v>15</v>
      </c>
      <c r="S193" t="str">
        <f t="shared" si="32"/>
        <v xml:space="preserve">Performing </v>
      </c>
      <c r="T193" t="s">
        <v>22</v>
      </c>
      <c r="U193" s="3">
        <f t="shared" si="33"/>
        <v>0.12861882743159472</v>
      </c>
      <c r="V193" t="str">
        <f t="shared" si="34"/>
        <v>Healthy</v>
      </c>
      <c r="W193" t="str">
        <f t="shared" si="35"/>
        <v>High Risk</v>
      </c>
      <c r="X193" s="5" t="str">
        <f t="shared" si="36"/>
        <v>Medium</v>
      </c>
      <c r="Y193" s="5" t="str">
        <f t="shared" si="37"/>
        <v>Medium</v>
      </c>
      <c r="Z193" s="5" t="str">
        <f>IF(B193=120,"NULL",IF(AND(V193="High Stress", W193="High Risk", Y193="Low"),"High Risk : Reject", IF(AND(V193="Healthy", W193="Good",Y193&lt;&gt;"Low"), "Low Risk : Approve", "Medium Risk : Review")))</f>
        <v>Medium Risk : Review</v>
      </c>
      <c r="AA193" s="5" t="str">
        <f t="shared" si="38"/>
        <v>Medium</v>
      </c>
    </row>
    <row r="194" spans="1:27" x14ac:dyDescent="0.2">
      <c r="A194">
        <v>23570</v>
      </c>
      <c r="B194">
        <v>59</v>
      </c>
      <c r="C194">
        <f t="shared" ref="C194:C257" si="39">IF(B194=120,"NULL",B194)</f>
        <v>59</v>
      </c>
      <c r="D194" t="s">
        <v>27</v>
      </c>
      <c r="E194" t="str">
        <f t="shared" ref="E194:E257" si="40">TRIM(IF(D194="Self employed","Self-Employed",D194))</f>
        <v>Unemployed</v>
      </c>
      <c r="F194">
        <v>7038.34</v>
      </c>
      <c r="G194">
        <f>ABS(Table1[[#This Row],[Monthly_Income]])</f>
        <v>7038.34</v>
      </c>
      <c r="H194">
        <v>22242.34</v>
      </c>
      <c r="I194" s="5">
        <f t="shared" ref="I194:I257" si="41">IF(H194="","NULL",ABS(H194))</f>
        <v>22242.34</v>
      </c>
      <c r="J194">
        <v>24</v>
      </c>
      <c r="K194">
        <v>20.91</v>
      </c>
      <c r="L194">
        <v>3</v>
      </c>
      <c r="M194">
        <f t="shared" ref="M194:M257" si="42">IF(L194="","NULL",L194)</f>
        <v>3</v>
      </c>
      <c r="N194">
        <v>12.3</v>
      </c>
      <c r="O194">
        <f t="shared" ref="O194:O257" si="43">IF(N194="","NULL",ABS(N194))</f>
        <v>12.3</v>
      </c>
      <c r="P194">
        <v>90</v>
      </c>
      <c r="Q194">
        <f t="shared" ref="Q194:Q257" si="44">IF(P194="","NULL",P194)</f>
        <v>90</v>
      </c>
      <c r="R194" t="s">
        <v>20</v>
      </c>
      <c r="S194" t="str">
        <f t="shared" ref="S194:S257" si="45">IF(R194="Non performing","Non-Performing",R194)</f>
        <v>Written Off</v>
      </c>
      <c r="T194" t="s">
        <v>16</v>
      </c>
      <c r="U194" s="3">
        <f t="shared" ref="U194:U257" si="46">IFERROR(I194/(G194*J194),"NULL")</f>
        <v>0.13167368536709886</v>
      </c>
      <c r="V194" t="str">
        <f t="shared" ref="V194:V257" si="47">IF(U194="NULL","NULL",IF(U194&lt;=0.3,"Healthy",IF(U194&lt;=0.45,"Stretched","High Stress")))</f>
        <v>Healthy</v>
      </c>
      <c r="W194" t="str">
        <f t="shared" ref="W194:W257" si="48">IF(Q194="NULL","NULL",IF(Q194&lt;30,"Good",IF(Q194&lt;60,"At Risk","High Risk")))</f>
        <v>High Risk</v>
      </c>
      <c r="X194" s="5" t="str">
        <f t="shared" ref="X194:X257" si="49">IF(I194&lt;10000,"Small",IF(I194&lt;=30000,"Medium","High"))</f>
        <v>Medium</v>
      </c>
      <c r="Y194" s="5" t="str">
        <f t="shared" ref="Y194:Y257" si="50">IF(E194="Salaried","High",IF(E194="Self-Employed","Medium","Low"))</f>
        <v>Low</v>
      </c>
      <c r="Z194" s="5" t="str">
        <f>IF(B194=120,"NULL",IF(AND(V194="High Stress", W194="High Risk", Y194="Low"),"High Risk : Reject", IF(AND(V194="Healthy", W194="Good",Y194&lt;&gt;"Low"), "Low Risk : Approve", "Medium Risk : Review")))</f>
        <v>Medium Risk : Review</v>
      </c>
      <c r="AA194" s="5" t="str">
        <f t="shared" ref="AA194:AA257" si="51">IF(G194="NULL","NULL",IF(G194&gt;8000,"High",IF(G194&gt;2000,"Medium","Low")))</f>
        <v>Medium</v>
      </c>
    </row>
    <row r="195" spans="1:27" x14ac:dyDescent="0.2">
      <c r="A195">
        <v>21007</v>
      </c>
      <c r="B195">
        <v>54</v>
      </c>
      <c r="C195">
        <f t="shared" si="39"/>
        <v>54</v>
      </c>
      <c r="D195" t="s">
        <v>17</v>
      </c>
      <c r="E195" t="str">
        <f t="shared" si="40"/>
        <v>Contract</v>
      </c>
      <c r="F195">
        <v>2205.62</v>
      </c>
      <c r="G195">
        <f>ABS(Table1[[#This Row],[Monthly_Income]])</f>
        <v>2205.62</v>
      </c>
      <c r="H195">
        <v>9662.2800000000007</v>
      </c>
      <c r="I195" s="5">
        <f t="shared" si="41"/>
        <v>9662.2800000000007</v>
      </c>
      <c r="J195">
        <v>48</v>
      </c>
      <c r="K195">
        <v>18.739999999999998</v>
      </c>
      <c r="L195">
        <v>3</v>
      </c>
      <c r="M195">
        <f t="shared" si="42"/>
        <v>3</v>
      </c>
      <c r="N195">
        <v>12.4</v>
      </c>
      <c r="O195">
        <f t="shared" si="43"/>
        <v>12.4</v>
      </c>
      <c r="P195">
        <v>30</v>
      </c>
      <c r="Q195">
        <f t="shared" si="44"/>
        <v>30</v>
      </c>
      <c r="R195" t="s">
        <v>20</v>
      </c>
      <c r="S195" t="str">
        <f t="shared" si="45"/>
        <v>Written Off</v>
      </c>
      <c r="T195" t="s">
        <v>25</v>
      </c>
      <c r="U195" s="3">
        <f t="shared" si="46"/>
        <v>9.1265721203108427E-2</v>
      </c>
      <c r="V195" t="str">
        <f t="shared" si="47"/>
        <v>Healthy</v>
      </c>
      <c r="W195" t="str">
        <f t="shared" si="48"/>
        <v>At Risk</v>
      </c>
      <c r="X195" s="5" t="str">
        <f t="shared" si="49"/>
        <v>Small</v>
      </c>
      <c r="Y195" s="5" t="str">
        <f t="shared" si="50"/>
        <v>Low</v>
      </c>
      <c r="Z195" s="5" t="str">
        <f>IF(B195=120,"NULL",IF(AND(V195="High Stress", W195="High Risk", Y195="Low"),"High Risk : Reject", IF(AND(V195="Healthy", W195="Good",Y195&lt;&gt;"Low"), "Low Risk : Approve", "Medium Risk : Review")))</f>
        <v>Medium Risk : Review</v>
      </c>
      <c r="AA195" s="5" t="str">
        <f t="shared" si="51"/>
        <v>Medium</v>
      </c>
    </row>
    <row r="196" spans="1:27" x14ac:dyDescent="0.2">
      <c r="A196">
        <v>21186</v>
      </c>
      <c r="B196">
        <v>120</v>
      </c>
      <c r="C196" t="str">
        <f t="shared" si="39"/>
        <v>NULL</v>
      </c>
      <c r="D196" t="s">
        <v>21</v>
      </c>
      <c r="E196" t="str">
        <f t="shared" si="40"/>
        <v>Salaried</v>
      </c>
      <c r="F196">
        <v>5992.96</v>
      </c>
      <c r="G196">
        <f>ABS(Table1[[#This Row],[Monthly_Income]])</f>
        <v>5992.96</v>
      </c>
      <c r="H196">
        <v>21467.82</v>
      </c>
      <c r="I196" s="5">
        <f t="shared" si="41"/>
        <v>21467.82</v>
      </c>
      <c r="J196">
        <v>6</v>
      </c>
      <c r="K196">
        <v>21.63</v>
      </c>
      <c r="L196">
        <v>1</v>
      </c>
      <c r="M196">
        <f t="shared" si="42"/>
        <v>1</v>
      </c>
      <c r="N196">
        <v>14.8</v>
      </c>
      <c r="O196">
        <f t="shared" si="43"/>
        <v>14.8</v>
      </c>
      <c r="P196">
        <v>15</v>
      </c>
      <c r="Q196">
        <f t="shared" si="44"/>
        <v>15</v>
      </c>
      <c r="R196" t="s">
        <v>20</v>
      </c>
      <c r="S196" t="str">
        <f t="shared" si="45"/>
        <v>Written Off</v>
      </c>
      <c r="T196" t="s">
        <v>22</v>
      </c>
      <c r="U196" s="3">
        <f t="shared" si="46"/>
        <v>0.59702884718069194</v>
      </c>
      <c r="V196" t="str">
        <f t="shared" si="47"/>
        <v>High Stress</v>
      </c>
      <c r="W196" t="str">
        <f t="shared" si="48"/>
        <v>Good</v>
      </c>
      <c r="X196" s="5" t="str">
        <f t="shared" si="49"/>
        <v>Medium</v>
      </c>
      <c r="Y196" s="5" t="str">
        <f t="shared" si="50"/>
        <v>High</v>
      </c>
      <c r="Z196" s="5" t="str">
        <f>IF(B196=120,"NULL",IF(AND(V196="High Stress", W196="High Risk", Y196="Low"),"High Risk : Reject", IF(AND(V196="Healthy", W196="Good",Y196&lt;&gt;"Low"), "Low Risk : Approve", "Medium Risk : Review")))</f>
        <v>NULL</v>
      </c>
      <c r="AA196" s="5" t="str">
        <f t="shared" si="51"/>
        <v>Medium</v>
      </c>
    </row>
    <row r="197" spans="1:27" x14ac:dyDescent="0.2">
      <c r="A197">
        <v>23411</v>
      </c>
      <c r="B197">
        <v>41</v>
      </c>
      <c r="C197">
        <f t="shared" si="39"/>
        <v>41</v>
      </c>
      <c r="D197" t="s">
        <v>17</v>
      </c>
      <c r="E197" t="str">
        <f t="shared" si="40"/>
        <v>Contract</v>
      </c>
      <c r="F197">
        <v>463.97</v>
      </c>
      <c r="G197">
        <f>ABS(Table1[[#This Row],[Monthly_Income]])</f>
        <v>463.97</v>
      </c>
      <c r="H197">
        <v>22829.01</v>
      </c>
      <c r="I197" s="5">
        <f t="shared" si="41"/>
        <v>22829.01</v>
      </c>
      <c r="J197">
        <v>12</v>
      </c>
      <c r="K197">
        <v>21.58</v>
      </c>
      <c r="L197">
        <v>3</v>
      </c>
      <c r="M197">
        <f t="shared" si="42"/>
        <v>3</v>
      </c>
      <c r="N197">
        <v>-3.9</v>
      </c>
      <c r="O197">
        <f t="shared" si="43"/>
        <v>3.9</v>
      </c>
      <c r="P197">
        <v>0</v>
      </c>
      <c r="Q197">
        <f t="shared" si="44"/>
        <v>0</v>
      </c>
      <c r="R197" t="s">
        <v>15</v>
      </c>
      <c r="S197" t="str">
        <f t="shared" si="45"/>
        <v xml:space="preserve">Performing </v>
      </c>
      <c r="T197" t="s">
        <v>16</v>
      </c>
      <c r="U197" s="3">
        <f t="shared" si="46"/>
        <v>4.1003028213031012</v>
      </c>
      <c r="V197" t="str">
        <f t="shared" si="47"/>
        <v>High Stress</v>
      </c>
      <c r="W197" t="str">
        <f t="shared" si="48"/>
        <v>Good</v>
      </c>
      <c r="X197" s="5" t="str">
        <f t="shared" si="49"/>
        <v>Medium</v>
      </c>
      <c r="Y197" s="5" t="str">
        <f t="shared" si="50"/>
        <v>Low</v>
      </c>
      <c r="Z197" s="5" t="str">
        <f>IF(B197=120,"NULL",IF(AND(V197="High Stress", W197="High Risk", Y197="Low"),"High Risk : Reject", IF(AND(V197="Healthy", W197="Good",Y197&lt;&gt;"Low"), "Low Risk : Approve", "Medium Risk : Review")))</f>
        <v>Medium Risk : Review</v>
      </c>
      <c r="AA197" s="5" t="str">
        <f t="shared" si="51"/>
        <v>Low</v>
      </c>
    </row>
    <row r="198" spans="1:27" x14ac:dyDescent="0.2">
      <c r="A198">
        <v>22625</v>
      </c>
      <c r="B198">
        <v>24</v>
      </c>
      <c r="C198">
        <f t="shared" si="39"/>
        <v>24</v>
      </c>
      <c r="D198" t="s">
        <v>21</v>
      </c>
      <c r="E198" t="str">
        <f t="shared" si="40"/>
        <v>Salaried</v>
      </c>
      <c r="F198">
        <v>3285.13</v>
      </c>
      <c r="G198">
        <f>ABS(Table1[[#This Row],[Monthly_Income]])</f>
        <v>3285.13</v>
      </c>
      <c r="H198">
        <v>29528.66</v>
      </c>
      <c r="I198" s="5">
        <f t="shared" si="41"/>
        <v>29528.66</v>
      </c>
      <c r="J198">
        <v>48</v>
      </c>
      <c r="K198">
        <v>24.47</v>
      </c>
      <c r="L198">
        <v>2</v>
      </c>
      <c r="M198">
        <f t="shared" si="42"/>
        <v>2</v>
      </c>
      <c r="N198">
        <v>13.8</v>
      </c>
      <c r="O198">
        <f t="shared" si="43"/>
        <v>13.8</v>
      </c>
      <c r="P198">
        <v>90</v>
      </c>
      <c r="Q198">
        <f t="shared" si="44"/>
        <v>90</v>
      </c>
      <c r="R198" t="s">
        <v>15</v>
      </c>
      <c r="S198" t="str">
        <f t="shared" si="45"/>
        <v xml:space="preserve">Performing </v>
      </c>
      <c r="T198" t="s">
        <v>14</v>
      </c>
      <c r="U198" s="3">
        <f t="shared" si="46"/>
        <v>0.18726212255425712</v>
      </c>
      <c r="V198" t="str">
        <f t="shared" si="47"/>
        <v>Healthy</v>
      </c>
      <c r="W198" t="str">
        <f t="shared" si="48"/>
        <v>High Risk</v>
      </c>
      <c r="X198" s="5" t="str">
        <f t="shared" si="49"/>
        <v>Medium</v>
      </c>
      <c r="Y198" s="5" t="str">
        <f t="shared" si="50"/>
        <v>High</v>
      </c>
      <c r="Z198" s="5" t="str">
        <f>IF(B198=120,"NULL",IF(AND(V198="High Stress", W198="High Risk", Y198="Low"),"High Risk : Reject", IF(AND(V198="Healthy", W198="Good",Y198&lt;&gt;"Low"), "Low Risk : Approve", "Medium Risk : Review")))</f>
        <v>Medium Risk : Review</v>
      </c>
      <c r="AA198" s="5" t="str">
        <f t="shared" si="51"/>
        <v>Medium</v>
      </c>
    </row>
    <row r="199" spans="1:27" x14ac:dyDescent="0.2">
      <c r="A199">
        <v>25947</v>
      </c>
      <c r="B199">
        <v>25</v>
      </c>
      <c r="C199">
        <f t="shared" si="39"/>
        <v>25</v>
      </c>
      <c r="D199" t="s">
        <v>23</v>
      </c>
      <c r="E199" t="str">
        <f t="shared" si="40"/>
        <v>Self-Employed</v>
      </c>
      <c r="F199">
        <v>2105.96</v>
      </c>
      <c r="G199">
        <f>ABS(Table1[[#This Row],[Monthly_Income]])</f>
        <v>2105.96</v>
      </c>
      <c r="H199">
        <v>21842.080000000002</v>
      </c>
      <c r="I199" s="5">
        <f t="shared" si="41"/>
        <v>21842.080000000002</v>
      </c>
      <c r="J199">
        <v>36</v>
      </c>
      <c r="K199">
        <v>27.95</v>
      </c>
      <c r="L199">
        <v>2</v>
      </c>
      <c r="M199">
        <f t="shared" si="42"/>
        <v>2</v>
      </c>
      <c r="N199">
        <v>5</v>
      </c>
      <c r="O199">
        <f t="shared" si="43"/>
        <v>5</v>
      </c>
      <c r="P199">
        <v>120</v>
      </c>
      <c r="Q199">
        <f t="shared" si="44"/>
        <v>120</v>
      </c>
      <c r="R199" t="s">
        <v>24</v>
      </c>
      <c r="S199" t="str">
        <f t="shared" si="45"/>
        <v>Non-Performing</v>
      </c>
      <c r="T199" t="s">
        <v>19</v>
      </c>
      <c r="U199" s="3">
        <f t="shared" si="46"/>
        <v>0.28809875042472055</v>
      </c>
      <c r="V199" t="str">
        <f t="shared" si="47"/>
        <v>Healthy</v>
      </c>
      <c r="W199" t="str">
        <f t="shared" si="48"/>
        <v>High Risk</v>
      </c>
      <c r="X199" s="5" t="str">
        <f t="shared" si="49"/>
        <v>Medium</v>
      </c>
      <c r="Y199" s="5" t="str">
        <f t="shared" si="50"/>
        <v>Medium</v>
      </c>
      <c r="Z199" s="5" t="str">
        <f>IF(B199=120,"NULL",IF(AND(V199="High Stress", W199="High Risk", Y199="Low"),"High Risk : Reject", IF(AND(V199="Healthy", W199="Good",Y199&lt;&gt;"Low"), "Low Risk : Approve", "Medium Risk : Review")))</f>
        <v>Medium Risk : Review</v>
      </c>
      <c r="AA199" s="5" t="str">
        <f t="shared" si="51"/>
        <v>Medium</v>
      </c>
    </row>
    <row r="200" spans="1:27" x14ac:dyDescent="0.2">
      <c r="A200">
        <v>22047</v>
      </c>
      <c r="B200">
        <v>27</v>
      </c>
      <c r="C200">
        <f t="shared" si="39"/>
        <v>27</v>
      </c>
      <c r="D200" t="s">
        <v>23</v>
      </c>
      <c r="E200" t="str">
        <f t="shared" si="40"/>
        <v>Self-Employed</v>
      </c>
      <c r="F200">
        <v>4571.7700000000004</v>
      </c>
      <c r="G200">
        <f>ABS(Table1[[#This Row],[Monthly_Income]])</f>
        <v>4571.7700000000004</v>
      </c>
      <c r="H200">
        <v>15403.42</v>
      </c>
      <c r="I200" s="5">
        <f t="shared" si="41"/>
        <v>15403.42</v>
      </c>
      <c r="J200">
        <v>60</v>
      </c>
      <c r="K200">
        <v>25.69</v>
      </c>
      <c r="L200">
        <v>4</v>
      </c>
      <c r="M200">
        <f t="shared" si="42"/>
        <v>4</v>
      </c>
      <c r="N200">
        <v>10.5</v>
      </c>
      <c r="O200">
        <f t="shared" si="43"/>
        <v>10.5</v>
      </c>
      <c r="P200">
        <v>60</v>
      </c>
      <c r="Q200">
        <f t="shared" si="44"/>
        <v>60</v>
      </c>
      <c r="R200" t="s">
        <v>24</v>
      </c>
      <c r="S200" t="str">
        <f t="shared" si="45"/>
        <v>Non-Performing</v>
      </c>
      <c r="T200" t="s">
        <v>16</v>
      </c>
      <c r="U200" s="3">
        <f t="shared" si="46"/>
        <v>5.6154108073386604E-2</v>
      </c>
      <c r="V200" t="str">
        <f t="shared" si="47"/>
        <v>Healthy</v>
      </c>
      <c r="W200" t="str">
        <f t="shared" si="48"/>
        <v>High Risk</v>
      </c>
      <c r="X200" s="5" t="str">
        <f t="shared" si="49"/>
        <v>Medium</v>
      </c>
      <c r="Y200" s="5" t="str">
        <f t="shared" si="50"/>
        <v>Medium</v>
      </c>
      <c r="Z200" s="5" t="str">
        <f>IF(B200=120,"NULL",IF(AND(V200="High Stress", W200="High Risk", Y200="Low"),"High Risk : Reject", IF(AND(V200="Healthy", W200="Good",Y200&lt;&gt;"Low"), "Low Risk : Approve", "Medium Risk : Review")))</f>
        <v>Medium Risk : Review</v>
      </c>
      <c r="AA200" s="5" t="str">
        <f t="shared" si="51"/>
        <v>Medium</v>
      </c>
    </row>
    <row r="201" spans="1:27" x14ac:dyDescent="0.2">
      <c r="A201">
        <v>25557</v>
      </c>
      <c r="B201">
        <v>44</v>
      </c>
      <c r="C201">
        <f t="shared" si="39"/>
        <v>44</v>
      </c>
      <c r="D201" t="s">
        <v>12</v>
      </c>
      <c r="E201" t="str">
        <f t="shared" si="40"/>
        <v>Self-Employed</v>
      </c>
      <c r="F201">
        <v>5766.57</v>
      </c>
      <c r="G201">
        <f>ABS(Table1[[#This Row],[Monthly_Income]])</f>
        <v>5766.57</v>
      </c>
      <c r="H201">
        <v>17223.11</v>
      </c>
      <c r="I201" s="5">
        <f t="shared" si="41"/>
        <v>17223.11</v>
      </c>
      <c r="J201">
        <v>18</v>
      </c>
      <c r="K201">
        <v>21.23</v>
      </c>
      <c r="L201">
        <v>0</v>
      </c>
      <c r="M201">
        <f t="shared" si="42"/>
        <v>0</v>
      </c>
      <c r="N201">
        <v>4.4000000000000004</v>
      </c>
      <c r="O201">
        <f t="shared" si="43"/>
        <v>4.4000000000000004</v>
      </c>
      <c r="P201">
        <v>0</v>
      </c>
      <c r="Q201">
        <f t="shared" si="44"/>
        <v>0</v>
      </c>
      <c r="R201" t="s">
        <v>24</v>
      </c>
      <c r="S201" t="str">
        <f t="shared" si="45"/>
        <v>Non-Performing</v>
      </c>
      <c r="T201" t="s">
        <v>16</v>
      </c>
      <c r="U201" s="3">
        <f t="shared" si="46"/>
        <v>0.16592869668528162</v>
      </c>
      <c r="V201" t="str">
        <f t="shared" si="47"/>
        <v>Healthy</v>
      </c>
      <c r="W201" t="str">
        <f t="shared" si="48"/>
        <v>Good</v>
      </c>
      <c r="X201" s="5" t="str">
        <f t="shared" si="49"/>
        <v>Medium</v>
      </c>
      <c r="Y201" s="5" t="str">
        <f t="shared" si="50"/>
        <v>Medium</v>
      </c>
      <c r="Z201" s="5" t="str">
        <f>IF(B201=120,"NULL",IF(AND(V201="High Stress", W201="High Risk", Y201="Low"),"High Risk : Reject", IF(AND(V201="Healthy", W201="Good",Y201&lt;&gt;"Low"), "Low Risk : Approve", "Medium Risk : Review")))</f>
        <v>Low Risk : Approve</v>
      </c>
      <c r="AA201" s="5" t="str">
        <f t="shared" si="51"/>
        <v>Medium</v>
      </c>
    </row>
    <row r="202" spans="1:27" x14ac:dyDescent="0.2">
      <c r="A202">
        <v>23579</v>
      </c>
      <c r="B202">
        <v>36</v>
      </c>
      <c r="C202">
        <f t="shared" si="39"/>
        <v>36</v>
      </c>
      <c r="D202" t="s">
        <v>27</v>
      </c>
      <c r="E202" t="str">
        <f t="shared" si="40"/>
        <v>Unemployed</v>
      </c>
      <c r="F202">
        <v>6382.13</v>
      </c>
      <c r="G202">
        <f>ABS(Table1[[#This Row],[Monthly_Income]])</f>
        <v>6382.13</v>
      </c>
      <c r="H202">
        <v>39732.9</v>
      </c>
      <c r="I202" s="5">
        <f t="shared" si="41"/>
        <v>39732.9</v>
      </c>
      <c r="J202">
        <v>48</v>
      </c>
      <c r="K202">
        <v>21.38</v>
      </c>
      <c r="L202">
        <v>3</v>
      </c>
      <c r="M202">
        <f t="shared" si="42"/>
        <v>3</v>
      </c>
      <c r="N202">
        <v>13.4</v>
      </c>
      <c r="O202">
        <f t="shared" si="43"/>
        <v>13.4</v>
      </c>
      <c r="P202">
        <v>0</v>
      </c>
      <c r="Q202">
        <f t="shared" si="44"/>
        <v>0</v>
      </c>
      <c r="R202" t="s">
        <v>13</v>
      </c>
      <c r="S202" t="str">
        <f t="shared" si="45"/>
        <v>Performing</v>
      </c>
      <c r="T202" t="s">
        <v>22</v>
      </c>
      <c r="U202" s="3">
        <f t="shared" si="46"/>
        <v>0.12970101674519321</v>
      </c>
      <c r="V202" t="str">
        <f t="shared" si="47"/>
        <v>Healthy</v>
      </c>
      <c r="W202" t="str">
        <f t="shared" si="48"/>
        <v>Good</v>
      </c>
      <c r="X202" s="5" t="str">
        <f t="shared" si="49"/>
        <v>High</v>
      </c>
      <c r="Y202" s="5" t="str">
        <f t="shared" si="50"/>
        <v>Low</v>
      </c>
      <c r="Z202" s="5" t="str">
        <f>IF(B202=120,"NULL",IF(AND(V202="High Stress", W202="High Risk", Y202="Low"),"High Risk : Reject", IF(AND(V202="Healthy", W202="Good",Y202&lt;&gt;"Low"), "Low Risk : Approve", "Medium Risk : Review")))</f>
        <v>Medium Risk : Review</v>
      </c>
      <c r="AA202" s="5" t="str">
        <f t="shared" si="51"/>
        <v>Medium</v>
      </c>
    </row>
    <row r="203" spans="1:27" x14ac:dyDescent="0.2">
      <c r="A203">
        <v>24253</v>
      </c>
      <c r="B203">
        <v>50</v>
      </c>
      <c r="C203">
        <f t="shared" si="39"/>
        <v>50</v>
      </c>
      <c r="D203" t="s">
        <v>17</v>
      </c>
      <c r="E203" t="str">
        <f t="shared" si="40"/>
        <v>Contract</v>
      </c>
      <c r="F203">
        <v>1221.29</v>
      </c>
      <c r="G203">
        <f>ABS(Table1[[#This Row],[Monthly_Income]])</f>
        <v>1221.29</v>
      </c>
      <c r="H203">
        <v>34560.42</v>
      </c>
      <c r="I203" s="5">
        <f t="shared" si="41"/>
        <v>34560.42</v>
      </c>
      <c r="J203">
        <v>36</v>
      </c>
      <c r="K203">
        <v>24.33</v>
      </c>
      <c r="L203">
        <v>2</v>
      </c>
      <c r="M203">
        <f t="shared" si="42"/>
        <v>2</v>
      </c>
      <c r="N203">
        <v>7.1</v>
      </c>
      <c r="O203">
        <f t="shared" si="43"/>
        <v>7.1</v>
      </c>
      <c r="P203">
        <v>30</v>
      </c>
      <c r="Q203">
        <f t="shared" si="44"/>
        <v>30</v>
      </c>
      <c r="R203" t="s">
        <v>20</v>
      </c>
      <c r="S203" t="str">
        <f t="shared" si="45"/>
        <v>Written Off</v>
      </c>
      <c r="T203" t="s">
        <v>22</v>
      </c>
      <c r="U203" s="3">
        <f t="shared" si="46"/>
        <v>0.78606364308777321</v>
      </c>
      <c r="V203" t="str">
        <f t="shared" si="47"/>
        <v>High Stress</v>
      </c>
      <c r="W203" t="str">
        <f t="shared" si="48"/>
        <v>At Risk</v>
      </c>
      <c r="X203" s="5" t="str">
        <f t="shared" si="49"/>
        <v>High</v>
      </c>
      <c r="Y203" s="5" t="str">
        <f t="shared" si="50"/>
        <v>Low</v>
      </c>
      <c r="Z203" s="5" t="str">
        <f>IF(B203=120,"NULL",IF(AND(V203="High Stress", W203="High Risk", Y203="Low"),"High Risk : Reject", IF(AND(V203="Healthy", W203="Good",Y203&lt;&gt;"Low"), "Low Risk : Approve", "Medium Risk : Review")))</f>
        <v>Medium Risk : Review</v>
      </c>
      <c r="AA203" s="5" t="str">
        <f t="shared" si="51"/>
        <v>Low</v>
      </c>
    </row>
    <row r="204" spans="1:27" x14ac:dyDescent="0.2">
      <c r="A204">
        <v>22661</v>
      </c>
      <c r="B204">
        <v>57</v>
      </c>
      <c r="C204">
        <f t="shared" si="39"/>
        <v>57</v>
      </c>
      <c r="D204" t="s">
        <v>23</v>
      </c>
      <c r="E204" t="str">
        <f t="shared" si="40"/>
        <v>Self-Employed</v>
      </c>
      <c r="F204">
        <v>7782.48</v>
      </c>
      <c r="G204">
        <f>ABS(Table1[[#This Row],[Monthly_Income]])</f>
        <v>7782.48</v>
      </c>
      <c r="H204"/>
      <c r="I204" s="5" t="str">
        <f t="shared" si="41"/>
        <v>NULL</v>
      </c>
      <c r="J204">
        <v>18</v>
      </c>
      <c r="K204">
        <v>21.26</v>
      </c>
      <c r="L204">
        <v>2</v>
      </c>
      <c r="M204">
        <f t="shared" si="42"/>
        <v>2</v>
      </c>
      <c r="N204">
        <v>9.1</v>
      </c>
      <c r="O204">
        <f t="shared" si="43"/>
        <v>9.1</v>
      </c>
      <c r="P204">
        <v>0</v>
      </c>
      <c r="Q204">
        <f t="shared" si="44"/>
        <v>0</v>
      </c>
      <c r="R204" t="s">
        <v>20</v>
      </c>
      <c r="S204" t="str">
        <f t="shared" si="45"/>
        <v>Written Off</v>
      </c>
      <c r="T204" t="s">
        <v>25</v>
      </c>
      <c r="U204" s="3" t="str">
        <f t="shared" si="46"/>
        <v>NULL</v>
      </c>
      <c r="V204" t="str">
        <f t="shared" si="47"/>
        <v>NULL</v>
      </c>
      <c r="W204" t="str">
        <f t="shared" si="48"/>
        <v>Good</v>
      </c>
      <c r="X204" s="5" t="str">
        <f t="shared" si="49"/>
        <v>High</v>
      </c>
      <c r="Y204" s="5" t="str">
        <f t="shared" si="50"/>
        <v>Medium</v>
      </c>
      <c r="Z204" s="5" t="str">
        <f>IF(B204=120,"NULL",IF(AND(V204="High Stress", W204="High Risk", Y204="Low"),"High Risk : Reject", IF(AND(V204="Healthy", W204="Good",Y204&lt;&gt;"Low"), "Low Risk : Approve", "Medium Risk : Review")))</f>
        <v>Medium Risk : Review</v>
      </c>
      <c r="AA204" s="5" t="str">
        <f t="shared" si="51"/>
        <v>Medium</v>
      </c>
    </row>
    <row r="205" spans="1:27" x14ac:dyDescent="0.2">
      <c r="A205">
        <v>25887</v>
      </c>
      <c r="B205">
        <v>28</v>
      </c>
      <c r="C205">
        <f t="shared" si="39"/>
        <v>28</v>
      </c>
      <c r="D205" t="s">
        <v>17</v>
      </c>
      <c r="E205" t="str">
        <f t="shared" si="40"/>
        <v>Contract</v>
      </c>
      <c r="F205">
        <v>3868.69</v>
      </c>
      <c r="G205">
        <f>ABS(Table1[[#This Row],[Monthly_Income]])</f>
        <v>3868.69</v>
      </c>
      <c r="H205">
        <v>10365.92</v>
      </c>
      <c r="I205" s="5">
        <f t="shared" si="41"/>
        <v>10365.92</v>
      </c>
      <c r="J205">
        <v>36</v>
      </c>
      <c r="K205">
        <v>10.81</v>
      </c>
      <c r="L205">
        <v>2</v>
      </c>
      <c r="M205">
        <f t="shared" si="42"/>
        <v>2</v>
      </c>
      <c r="N205">
        <v>6</v>
      </c>
      <c r="O205">
        <f t="shared" si="43"/>
        <v>6</v>
      </c>
      <c r="P205">
        <v>90</v>
      </c>
      <c r="Q205">
        <f t="shared" si="44"/>
        <v>90</v>
      </c>
      <c r="R205" t="s">
        <v>13</v>
      </c>
      <c r="S205" t="str">
        <f t="shared" si="45"/>
        <v>Performing</v>
      </c>
      <c r="T205" t="s">
        <v>22</v>
      </c>
      <c r="U205" s="3">
        <f t="shared" si="46"/>
        <v>7.4428869261228534E-2</v>
      </c>
      <c r="V205" t="str">
        <f t="shared" si="47"/>
        <v>Healthy</v>
      </c>
      <c r="W205" t="str">
        <f t="shared" si="48"/>
        <v>High Risk</v>
      </c>
      <c r="X205" s="5" t="str">
        <f t="shared" si="49"/>
        <v>Medium</v>
      </c>
      <c r="Y205" s="5" t="str">
        <f t="shared" si="50"/>
        <v>Low</v>
      </c>
      <c r="Z205" s="5" t="str">
        <f>IF(B205=120,"NULL",IF(AND(V205="High Stress", W205="High Risk", Y205="Low"),"High Risk : Reject", IF(AND(V205="Healthy", W205="Good",Y205&lt;&gt;"Low"), "Low Risk : Approve", "Medium Risk : Review")))</f>
        <v>Medium Risk : Review</v>
      </c>
      <c r="AA205" s="5" t="str">
        <f t="shared" si="51"/>
        <v>Medium</v>
      </c>
    </row>
    <row r="206" spans="1:27" x14ac:dyDescent="0.2">
      <c r="A206">
        <v>23371</v>
      </c>
      <c r="B206">
        <v>59</v>
      </c>
      <c r="C206">
        <f t="shared" si="39"/>
        <v>59</v>
      </c>
      <c r="D206" t="s">
        <v>12</v>
      </c>
      <c r="E206" t="str">
        <f t="shared" si="40"/>
        <v>Self-Employed</v>
      </c>
      <c r="F206">
        <v>4558.28</v>
      </c>
      <c r="G206">
        <f>ABS(Table1[[#This Row],[Monthly_Income]])</f>
        <v>4558.28</v>
      </c>
      <c r="H206">
        <v>19710.009999999998</v>
      </c>
      <c r="I206" s="5">
        <f t="shared" si="41"/>
        <v>19710.009999999998</v>
      </c>
      <c r="J206">
        <v>36</v>
      </c>
      <c r="K206">
        <v>18.66</v>
      </c>
      <c r="M206" t="str">
        <f t="shared" si="42"/>
        <v>NULL</v>
      </c>
      <c r="N206">
        <v>6.4</v>
      </c>
      <c r="O206">
        <f t="shared" si="43"/>
        <v>6.4</v>
      </c>
      <c r="P206">
        <v>30</v>
      </c>
      <c r="Q206">
        <f t="shared" si="44"/>
        <v>30</v>
      </c>
      <c r="R206" t="s">
        <v>13</v>
      </c>
      <c r="S206" t="str">
        <f t="shared" si="45"/>
        <v>Performing</v>
      </c>
      <c r="T206" t="s">
        <v>19</v>
      </c>
      <c r="U206" s="3">
        <f t="shared" si="46"/>
        <v>0.12011115547482334</v>
      </c>
      <c r="V206" t="str">
        <f t="shared" si="47"/>
        <v>Healthy</v>
      </c>
      <c r="W206" t="str">
        <f t="shared" si="48"/>
        <v>At Risk</v>
      </c>
      <c r="X206" s="5" t="str">
        <f t="shared" si="49"/>
        <v>Medium</v>
      </c>
      <c r="Y206" s="5" t="str">
        <f t="shared" si="50"/>
        <v>Medium</v>
      </c>
      <c r="Z206" s="5" t="str">
        <f>IF(B206=120,"NULL",IF(AND(V206="High Stress", W206="High Risk", Y206="Low"),"High Risk : Reject", IF(AND(V206="Healthy", W206="Good",Y206&lt;&gt;"Low"), "Low Risk : Approve", "Medium Risk : Review")))</f>
        <v>Medium Risk : Review</v>
      </c>
      <c r="AA206" s="5" t="str">
        <f t="shared" si="51"/>
        <v>Medium</v>
      </c>
    </row>
    <row r="207" spans="1:27" x14ac:dyDescent="0.2">
      <c r="A207">
        <v>21373</v>
      </c>
      <c r="B207">
        <v>75</v>
      </c>
      <c r="C207">
        <f t="shared" si="39"/>
        <v>75</v>
      </c>
      <c r="D207" t="s">
        <v>27</v>
      </c>
      <c r="E207" t="str">
        <f t="shared" si="40"/>
        <v>Unemployed</v>
      </c>
      <c r="F207">
        <v>2499.42</v>
      </c>
      <c r="G207">
        <f>ABS(Table1[[#This Row],[Monthly_Income]])</f>
        <v>2499.42</v>
      </c>
      <c r="H207">
        <v>30769.51</v>
      </c>
      <c r="I207" s="5">
        <f t="shared" si="41"/>
        <v>30769.51</v>
      </c>
      <c r="J207">
        <v>36</v>
      </c>
      <c r="K207">
        <v>15.47</v>
      </c>
      <c r="L207">
        <v>0</v>
      </c>
      <c r="M207">
        <f t="shared" si="42"/>
        <v>0</v>
      </c>
      <c r="N207">
        <v>-1</v>
      </c>
      <c r="O207">
        <f t="shared" si="43"/>
        <v>1</v>
      </c>
      <c r="P207">
        <v>0</v>
      </c>
      <c r="Q207">
        <f t="shared" si="44"/>
        <v>0</v>
      </c>
      <c r="R207" t="s">
        <v>13</v>
      </c>
      <c r="S207" t="str">
        <f t="shared" si="45"/>
        <v>Performing</v>
      </c>
      <c r="T207" t="s">
        <v>22</v>
      </c>
      <c r="U207" s="3">
        <f t="shared" si="46"/>
        <v>0.34196277980936024</v>
      </c>
      <c r="V207" t="str">
        <f t="shared" si="47"/>
        <v>Stretched</v>
      </c>
      <c r="W207" t="str">
        <f t="shared" si="48"/>
        <v>Good</v>
      </c>
      <c r="X207" s="5" t="str">
        <f t="shared" si="49"/>
        <v>High</v>
      </c>
      <c r="Y207" s="5" t="str">
        <f t="shared" si="50"/>
        <v>Low</v>
      </c>
      <c r="Z207" s="5" t="str">
        <f>IF(B207=120,"NULL",IF(AND(V207="High Stress", W207="High Risk", Y207="Low"),"High Risk : Reject", IF(AND(V207="Healthy", W207="Good",Y207&lt;&gt;"Low"), "Low Risk : Approve", "Medium Risk : Review")))</f>
        <v>Medium Risk : Review</v>
      </c>
      <c r="AA207" s="5" t="str">
        <f t="shared" si="51"/>
        <v>Medium</v>
      </c>
    </row>
    <row r="208" spans="1:27" x14ac:dyDescent="0.2">
      <c r="A208">
        <v>22192</v>
      </c>
      <c r="B208">
        <v>64</v>
      </c>
      <c r="C208">
        <f t="shared" si="39"/>
        <v>64</v>
      </c>
      <c r="D208" t="s">
        <v>21</v>
      </c>
      <c r="E208" t="str">
        <f t="shared" si="40"/>
        <v>Salaried</v>
      </c>
      <c r="F208">
        <v>722.06</v>
      </c>
      <c r="G208">
        <f>ABS(Table1[[#This Row],[Monthly_Income]])</f>
        <v>722.06</v>
      </c>
      <c r="H208">
        <v>11348.98</v>
      </c>
      <c r="I208" s="5">
        <f t="shared" si="41"/>
        <v>11348.98</v>
      </c>
      <c r="J208">
        <v>36</v>
      </c>
      <c r="K208">
        <v>28.53</v>
      </c>
      <c r="L208">
        <v>3</v>
      </c>
      <c r="M208">
        <f t="shared" si="42"/>
        <v>3</v>
      </c>
      <c r="N208">
        <v>7.1</v>
      </c>
      <c r="O208">
        <f t="shared" si="43"/>
        <v>7.1</v>
      </c>
      <c r="P208">
        <v>15</v>
      </c>
      <c r="Q208">
        <f t="shared" si="44"/>
        <v>15</v>
      </c>
      <c r="R208" t="s">
        <v>24</v>
      </c>
      <c r="S208" t="str">
        <f t="shared" si="45"/>
        <v>Non-Performing</v>
      </c>
      <c r="T208" t="s">
        <v>16</v>
      </c>
      <c r="U208" s="3">
        <f t="shared" si="46"/>
        <v>0.4365972972390722</v>
      </c>
      <c r="V208" t="str">
        <f t="shared" si="47"/>
        <v>Stretched</v>
      </c>
      <c r="W208" t="str">
        <f t="shared" si="48"/>
        <v>Good</v>
      </c>
      <c r="X208" s="5" t="str">
        <f t="shared" si="49"/>
        <v>Medium</v>
      </c>
      <c r="Y208" s="5" t="str">
        <f t="shared" si="50"/>
        <v>High</v>
      </c>
      <c r="Z208" s="5" t="str">
        <f>IF(B208=120,"NULL",IF(AND(V208="High Stress", W208="High Risk", Y208="Low"),"High Risk : Reject", IF(AND(V208="Healthy", W208="Good",Y208&lt;&gt;"Low"), "Low Risk : Approve", "Medium Risk : Review")))</f>
        <v>Medium Risk : Review</v>
      </c>
      <c r="AA208" s="5" t="str">
        <f t="shared" si="51"/>
        <v>Low</v>
      </c>
    </row>
    <row r="209" spans="1:27" x14ac:dyDescent="0.2">
      <c r="A209">
        <v>21665</v>
      </c>
      <c r="B209">
        <v>27</v>
      </c>
      <c r="C209">
        <f t="shared" si="39"/>
        <v>27</v>
      </c>
      <c r="D209" t="s">
        <v>27</v>
      </c>
      <c r="E209" t="str">
        <f t="shared" si="40"/>
        <v>Unemployed</v>
      </c>
      <c r="F209">
        <v>6479.82</v>
      </c>
      <c r="G209">
        <f>ABS(Table1[[#This Row],[Monthly_Income]])</f>
        <v>6479.82</v>
      </c>
      <c r="H209">
        <v>15184.93</v>
      </c>
      <c r="I209" s="5">
        <f t="shared" si="41"/>
        <v>15184.93</v>
      </c>
      <c r="J209">
        <v>36</v>
      </c>
      <c r="K209">
        <v>23</v>
      </c>
      <c r="L209">
        <v>1</v>
      </c>
      <c r="M209">
        <f t="shared" si="42"/>
        <v>1</v>
      </c>
      <c r="N209">
        <v>8.5</v>
      </c>
      <c r="O209">
        <f t="shared" si="43"/>
        <v>8.5</v>
      </c>
      <c r="P209">
        <v>15</v>
      </c>
      <c r="Q209">
        <f t="shared" si="44"/>
        <v>15</v>
      </c>
      <c r="R209" t="s">
        <v>15</v>
      </c>
      <c r="S209" t="str">
        <f t="shared" si="45"/>
        <v xml:space="preserve">Performing </v>
      </c>
      <c r="T209" t="s">
        <v>19</v>
      </c>
      <c r="U209" s="3">
        <f t="shared" si="46"/>
        <v>6.5094958056105129E-2</v>
      </c>
      <c r="V209" t="str">
        <f t="shared" si="47"/>
        <v>Healthy</v>
      </c>
      <c r="W209" t="str">
        <f t="shared" si="48"/>
        <v>Good</v>
      </c>
      <c r="X209" s="5" t="str">
        <f t="shared" si="49"/>
        <v>Medium</v>
      </c>
      <c r="Y209" s="5" t="str">
        <f t="shared" si="50"/>
        <v>Low</v>
      </c>
      <c r="Z209" s="5" t="str">
        <f>IF(B209=120,"NULL",IF(AND(V209="High Stress", W209="High Risk", Y209="Low"),"High Risk : Reject", IF(AND(V209="Healthy", W209="Good",Y209&lt;&gt;"Low"), "Low Risk : Approve", "Medium Risk : Review")))</f>
        <v>Medium Risk : Review</v>
      </c>
      <c r="AA209" s="5" t="str">
        <f t="shared" si="51"/>
        <v>Medium</v>
      </c>
    </row>
    <row r="210" spans="1:27" x14ac:dyDescent="0.2">
      <c r="A210">
        <v>23283</v>
      </c>
      <c r="B210">
        <v>32</v>
      </c>
      <c r="C210">
        <f t="shared" si="39"/>
        <v>32</v>
      </c>
      <c r="D210" t="s">
        <v>26</v>
      </c>
      <c r="E210" t="str">
        <f t="shared" si="40"/>
        <v>Salaried</v>
      </c>
      <c r="F210">
        <v>4397.07</v>
      </c>
      <c r="G210">
        <f>ABS(Table1[[#This Row],[Monthly_Income]])</f>
        <v>4397.07</v>
      </c>
      <c r="H210">
        <v>23132.75</v>
      </c>
      <c r="I210" s="5">
        <f t="shared" si="41"/>
        <v>23132.75</v>
      </c>
      <c r="J210">
        <v>48</v>
      </c>
      <c r="K210">
        <v>18.77</v>
      </c>
      <c r="L210">
        <v>0</v>
      </c>
      <c r="M210">
        <f t="shared" si="42"/>
        <v>0</v>
      </c>
      <c r="N210">
        <v>1.8</v>
      </c>
      <c r="O210">
        <f t="shared" si="43"/>
        <v>1.8</v>
      </c>
      <c r="Q210" t="str">
        <f t="shared" si="44"/>
        <v>NULL</v>
      </c>
      <c r="R210" t="s">
        <v>15</v>
      </c>
      <c r="S210" t="str">
        <f t="shared" si="45"/>
        <v xml:space="preserve">Performing </v>
      </c>
      <c r="T210" t="s">
        <v>19</v>
      </c>
      <c r="U210" s="3">
        <f t="shared" si="46"/>
        <v>0.10960305195656805</v>
      </c>
      <c r="V210" t="str">
        <f t="shared" si="47"/>
        <v>Healthy</v>
      </c>
      <c r="W210" t="str">
        <f t="shared" si="48"/>
        <v>NULL</v>
      </c>
      <c r="X210" s="5" t="str">
        <f t="shared" si="49"/>
        <v>Medium</v>
      </c>
      <c r="Y210" s="5" t="str">
        <f t="shared" si="50"/>
        <v>High</v>
      </c>
      <c r="Z210" s="5" t="str">
        <f>IF(B210=120,"NULL",IF(AND(V210="High Stress", W210="High Risk", Y210="Low"),"High Risk : Reject", IF(AND(V210="Healthy", W210="Good",Y210&lt;&gt;"Low"), "Low Risk : Approve", "Medium Risk : Review")))</f>
        <v>Medium Risk : Review</v>
      </c>
      <c r="AA210" s="5" t="str">
        <f t="shared" si="51"/>
        <v>Medium</v>
      </c>
    </row>
    <row r="211" spans="1:27" x14ac:dyDescent="0.2">
      <c r="A211">
        <v>25352</v>
      </c>
      <c r="B211">
        <v>26</v>
      </c>
      <c r="C211">
        <f t="shared" si="39"/>
        <v>26</v>
      </c>
      <c r="D211" t="s">
        <v>23</v>
      </c>
      <c r="E211" t="str">
        <f t="shared" si="40"/>
        <v>Self-Employed</v>
      </c>
      <c r="F211">
        <v>5414.53</v>
      </c>
      <c r="G211">
        <f>ABS(Table1[[#This Row],[Monthly_Income]])</f>
        <v>5414.53</v>
      </c>
      <c r="H211">
        <v>17416.810000000001</v>
      </c>
      <c r="I211" s="5">
        <f t="shared" si="41"/>
        <v>17416.810000000001</v>
      </c>
      <c r="J211">
        <v>36</v>
      </c>
      <c r="K211">
        <v>19.18</v>
      </c>
      <c r="L211">
        <v>4</v>
      </c>
      <c r="M211">
        <f t="shared" si="42"/>
        <v>4</v>
      </c>
      <c r="N211">
        <v>3.9</v>
      </c>
      <c r="O211">
        <f t="shared" si="43"/>
        <v>3.9</v>
      </c>
      <c r="P211">
        <v>0</v>
      </c>
      <c r="Q211">
        <f t="shared" si="44"/>
        <v>0</v>
      </c>
      <c r="R211" t="s">
        <v>24</v>
      </c>
      <c r="S211" t="str">
        <f t="shared" si="45"/>
        <v>Non-Performing</v>
      </c>
      <c r="T211" t="s">
        <v>16</v>
      </c>
      <c r="U211" s="3">
        <f t="shared" si="46"/>
        <v>8.9352220373287772E-2</v>
      </c>
      <c r="V211" t="str">
        <f t="shared" si="47"/>
        <v>Healthy</v>
      </c>
      <c r="W211" t="str">
        <f t="shared" si="48"/>
        <v>Good</v>
      </c>
      <c r="X211" s="5" t="str">
        <f t="shared" si="49"/>
        <v>Medium</v>
      </c>
      <c r="Y211" s="5" t="str">
        <f t="shared" si="50"/>
        <v>Medium</v>
      </c>
      <c r="Z211" s="5" t="str">
        <f>IF(B211=120,"NULL",IF(AND(V211="High Stress", W211="High Risk", Y211="Low"),"High Risk : Reject", IF(AND(V211="Healthy", W211="Good",Y211&lt;&gt;"Low"), "Low Risk : Approve", "Medium Risk : Review")))</f>
        <v>Low Risk : Approve</v>
      </c>
      <c r="AA211" s="5" t="str">
        <f t="shared" si="51"/>
        <v>Medium</v>
      </c>
    </row>
    <row r="212" spans="1:27" x14ac:dyDescent="0.2">
      <c r="A212">
        <v>23761</v>
      </c>
      <c r="B212">
        <v>45</v>
      </c>
      <c r="C212">
        <f t="shared" si="39"/>
        <v>45</v>
      </c>
      <c r="D212" t="s">
        <v>23</v>
      </c>
      <c r="E212" t="str">
        <f t="shared" si="40"/>
        <v>Self-Employed</v>
      </c>
      <c r="F212">
        <v>-387.79</v>
      </c>
      <c r="G212">
        <f>ABS(Table1[[#This Row],[Monthly_Income]])</f>
        <v>387.79</v>
      </c>
      <c r="H212">
        <v>12683.11</v>
      </c>
      <c r="I212" s="5">
        <f t="shared" si="41"/>
        <v>12683.11</v>
      </c>
      <c r="J212">
        <v>12</v>
      </c>
      <c r="K212">
        <v>14.86</v>
      </c>
      <c r="L212">
        <v>2</v>
      </c>
      <c r="M212">
        <f t="shared" si="42"/>
        <v>2</v>
      </c>
      <c r="N212">
        <v>11.5</v>
      </c>
      <c r="O212">
        <f t="shared" si="43"/>
        <v>11.5</v>
      </c>
      <c r="P212">
        <v>0</v>
      </c>
      <c r="Q212">
        <f t="shared" si="44"/>
        <v>0</v>
      </c>
      <c r="R212" t="s">
        <v>18</v>
      </c>
      <c r="S212" t="str">
        <f t="shared" si="45"/>
        <v>Non-Performing</v>
      </c>
      <c r="T212" t="s">
        <v>19</v>
      </c>
      <c r="U212" s="3">
        <f t="shared" si="46"/>
        <v>2.725510800519181</v>
      </c>
      <c r="V212" t="str">
        <f t="shared" si="47"/>
        <v>High Stress</v>
      </c>
      <c r="W212" t="str">
        <f t="shared" si="48"/>
        <v>Good</v>
      </c>
      <c r="X212" s="5" t="str">
        <f t="shared" si="49"/>
        <v>Medium</v>
      </c>
      <c r="Y212" s="5" t="str">
        <f t="shared" si="50"/>
        <v>Medium</v>
      </c>
      <c r="Z212" s="5" t="str">
        <f>IF(B212=120,"NULL",IF(AND(V212="High Stress", W212="High Risk", Y212="Low"),"High Risk : Reject", IF(AND(V212="Healthy", W212="Good",Y212&lt;&gt;"Low"), "Low Risk : Approve", "Medium Risk : Review")))</f>
        <v>Medium Risk : Review</v>
      </c>
      <c r="AA212" s="5" t="str">
        <f t="shared" si="51"/>
        <v>Low</v>
      </c>
    </row>
    <row r="213" spans="1:27" x14ac:dyDescent="0.2">
      <c r="A213">
        <v>23521</v>
      </c>
      <c r="B213">
        <v>50</v>
      </c>
      <c r="C213">
        <f t="shared" si="39"/>
        <v>50</v>
      </c>
      <c r="D213" t="s">
        <v>17</v>
      </c>
      <c r="E213" t="str">
        <f t="shared" si="40"/>
        <v>Contract</v>
      </c>
      <c r="F213">
        <v>3199.08</v>
      </c>
      <c r="G213">
        <f>ABS(Table1[[#This Row],[Monthly_Income]])</f>
        <v>3199.08</v>
      </c>
      <c r="H213">
        <v>15105.95</v>
      </c>
      <c r="I213" s="5">
        <f t="shared" si="41"/>
        <v>15105.95</v>
      </c>
      <c r="J213">
        <v>18</v>
      </c>
      <c r="K213">
        <v>28.57</v>
      </c>
      <c r="L213">
        <v>0</v>
      </c>
      <c r="M213">
        <f t="shared" si="42"/>
        <v>0</v>
      </c>
      <c r="N213">
        <v>11.7</v>
      </c>
      <c r="O213">
        <f t="shared" si="43"/>
        <v>11.7</v>
      </c>
      <c r="P213">
        <v>15</v>
      </c>
      <c r="Q213">
        <f t="shared" si="44"/>
        <v>15</v>
      </c>
      <c r="R213" t="s">
        <v>24</v>
      </c>
      <c r="S213" t="str">
        <f t="shared" si="45"/>
        <v>Non-Performing</v>
      </c>
      <c r="T213" t="s">
        <v>16</v>
      </c>
      <c r="U213" s="3">
        <f t="shared" si="46"/>
        <v>0.26233149669418848</v>
      </c>
      <c r="V213" t="str">
        <f t="shared" si="47"/>
        <v>Healthy</v>
      </c>
      <c r="W213" t="str">
        <f t="shared" si="48"/>
        <v>Good</v>
      </c>
      <c r="X213" s="5" t="str">
        <f t="shared" si="49"/>
        <v>Medium</v>
      </c>
      <c r="Y213" s="5" t="str">
        <f t="shared" si="50"/>
        <v>Low</v>
      </c>
      <c r="Z213" s="5" t="str">
        <f>IF(B213=120,"NULL",IF(AND(V213="High Stress", W213="High Risk", Y213="Low"),"High Risk : Reject", IF(AND(V213="Healthy", W213="Good",Y213&lt;&gt;"Low"), "Low Risk : Approve", "Medium Risk : Review")))</f>
        <v>Medium Risk : Review</v>
      </c>
      <c r="AA213" s="5" t="str">
        <f t="shared" si="51"/>
        <v>Medium</v>
      </c>
    </row>
    <row r="214" spans="1:27" x14ac:dyDescent="0.2">
      <c r="A214">
        <v>22570</v>
      </c>
      <c r="B214">
        <v>31</v>
      </c>
      <c r="C214">
        <f t="shared" si="39"/>
        <v>31</v>
      </c>
      <c r="D214" t="s">
        <v>12</v>
      </c>
      <c r="E214" t="str">
        <f t="shared" si="40"/>
        <v>Self-Employed</v>
      </c>
      <c r="F214">
        <v>4072.03</v>
      </c>
      <c r="G214">
        <f>ABS(Table1[[#This Row],[Monthly_Income]])</f>
        <v>4072.03</v>
      </c>
      <c r="H214"/>
      <c r="I214" s="5" t="str">
        <f t="shared" si="41"/>
        <v>NULL</v>
      </c>
      <c r="J214">
        <v>18</v>
      </c>
      <c r="K214">
        <v>27.82</v>
      </c>
      <c r="L214">
        <v>0</v>
      </c>
      <c r="M214">
        <f t="shared" si="42"/>
        <v>0</v>
      </c>
      <c r="N214">
        <v>1.3</v>
      </c>
      <c r="O214">
        <f t="shared" si="43"/>
        <v>1.3</v>
      </c>
      <c r="P214">
        <v>0</v>
      </c>
      <c r="Q214">
        <f t="shared" si="44"/>
        <v>0</v>
      </c>
      <c r="R214" t="s">
        <v>18</v>
      </c>
      <c r="S214" t="str">
        <f t="shared" si="45"/>
        <v>Non-Performing</v>
      </c>
      <c r="T214" t="s">
        <v>16</v>
      </c>
      <c r="U214" s="3" t="str">
        <f t="shared" si="46"/>
        <v>NULL</v>
      </c>
      <c r="V214" t="str">
        <f t="shared" si="47"/>
        <v>NULL</v>
      </c>
      <c r="W214" t="str">
        <f t="shared" si="48"/>
        <v>Good</v>
      </c>
      <c r="X214" s="5" t="str">
        <f t="shared" si="49"/>
        <v>High</v>
      </c>
      <c r="Y214" s="5" t="str">
        <f t="shared" si="50"/>
        <v>Medium</v>
      </c>
      <c r="Z214" s="5" t="str">
        <f>IF(B214=120,"NULL",IF(AND(V214="High Stress", W214="High Risk", Y214="Low"),"High Risk : Reject", IF(AND(V214="Healthy", W214="Good",Y214&lt;&gt;"Low"), "Low Risk : Approve", "Medium Risk : Review")))</f>
        <v>Medium Risk : Review</v>
      </c>
      <c r="AA214" s="5" t="str">
        <f t="shared" si="51"/>
        <v>Medium</v>
      </c>
    </row>
    <row r="215" spans="1:27" x14ac:dyDescent="0.2">
      <c r="A215">
        <v>23887</v>
      </c>
      <c r="B215">
        <v>50</v>
      </c>
      <c r="C215">
        <f t="shared" si="39"/>
        <v>50</v>
      </c>
      <c r="D215" t="s">
        <v>12</v>
      </c>
      <c r="E215" t="str">
        <f t="shared" si="40"/>
        <v>Self-Employed</v>
      </c>
      <c r="F215">
        <v>3795.56</v>
      </c>
      <c r="G215">
        <f>ABS(Table1[[#This Row],[Monthly_Income]])</f>
        <v>3795.56</v>
      </c>
      <c r="H215">
        <v>25439.599999999999</v>
      </c>
      <c r="I215" s="5">
        <f t="shared" si="41"/>
        <v>25439.599999999999</v>
      </c>
      <c r="J215">
        <v>6</v>
      </c>
      <c r="K215">
        <v>14.85</v>
      </c>
      <c r="L215">
        <v>1</v>
      </c>
      <c r="M215">
        <f t="shared" si="42"/>
        <v>1</v>
      </c>
      <c r="N215">
        <v>5.5</v>
      </c>
      <c r="O215">
        <f t="shared" si="43"/>
        <v>5.5</v>
      </c>
      <c r="P215">
        <v>0</v>
      </c>
      <c r="Q215">
        <f t="shared" si="44"/>
        <v>0</v>
      </c>
      <c r="R215" t="s">
        <v>18</v>
      </c>
      <c r="S215" t="str">
        <f t="shared" si="45"/>
        <v>Non-Performing</v>
      </c>
      <c r="T215" t="s">
        <v>22</v>
      </c>
      <c r="U215" s="3">
        <f t="shared" si="46"/>
        <v>1.117077146279688</v>
      </c>
      <c r="V215" t="str">
        <f t="shared" si="47"/>
        <v>High Stress</v>
      </c>
      <c r="W215" t="str">
        <f t="shared" si="48"/>
        <v>Good</v>
      </c>
      <c r="X215" s="5" t="str">
        <f t="shared" si="49"/>
        <v>Medium</v>
      </c>
      <c r="Y215" s="5" t="str">
        <f t="shared" si="50"/>
        <v>Medium</v>
      </c>
      <c r="Z215" s="5" t="str">
        <f>IF(B215=120,"NULL",IF(AND(V215="High Stress", W215="High Risk", Y215="Low"),"High Risk : Reject", IF(AND(V215="Healthy", W215="Good",Y215&lt;&gt;"Low"), "Low Risk : Approve", "Medium Risk : Review")))</f>
        <v>Medium Risk : Review</v>
      </c>
      <c r="AA215" s="5" t="str">
        <f t="shared" si="51"/>
        <v>Medium</v>
      </c>
    </row>
    <row r="216" spans="1:27" x14ac:dyDescent="0.2">
      <c r="A216">
        <v>22489</v>
      </c>
      <c r="B216">
        <v>63</v>
      </c>
      <c r="C216">
        <f t="shared" si="39"/>
        <v>63</v>
      </c>
      <c r="D216" t="s">
        <v>12</v>
      </c>
      <c r="E216" t="str">
        <f t="shared" si="40"/>
        <v>Self-Employed</v>
      </c>
      <c r="F216">
        <v>7051.35</v>
      </c>
      <c r="G216">
        <f>ABS(Table1[[#This Row],[Monthly_Income]])</f>
        <v>7051.35</v>
      </c>
      <c r="H216">
        <v>15774.12</v>
      </c>
      <c r="I216" s="5">
        <f t="shared" si="41"/>
        <v>15774.12</v>
      </c>
      <c r="J216">
        <v>48</v>
      </c>
      <c r="K216">
        <v>21.67</v>
      </c>
      <c r="L216">
        <v>1</v>
      </c>
      <c r="M216">
        <f t="shared" si="42"/>
        <v>1</v>
      </c>
      <c r="N216">
        <v>12.8</v>
      </c>
      <c r="O216">
        <f t="shared" si="43"/>
        <v>12.8</v>
      </c>
      <c r="P216">
        <v>15</v>
      </c>
      <c r="Q216">
        <f t="shared" si="44"/>
        <v>15</v>
      </c>
      <c r="R216" t="s">
        <v>20</v>
      </c>
      <c r="S216" t="str">
        <f t="shared" si="45"/>
        <v>Written Off</v>
      </c>
      <c r="T216" t="s">
        <v>25</v>
      </c>
      <c r="U216" s="3">
        <f t="shared" si="46"/>
        <v>4.6604905443638447E-2</v>
      </c>
      <c r="V216" t="str">
        <f t="shared" si="47"/>
        <v>Healthy</v>
      </c>
      <c r="W216" t="str">
        <f t="shared" si="48"/>
        <v>Good</v>
      </c>
      <c r="X216" s="5" t="str">
        <f t="shared" si="49"/>
        <v>Medium</v>
      </c>
      <c r="Y216" s="5" t="str">
        <f t="shared" si="50"/>
        <v>Medium</v>
      </c>
      <c r="Z216" s="5" t="str">
        <f>IF(B216=120,"NULL",IF(AND(V216="High Stress", W216="High Risk", Y216="Low"),"High Risk : Reject", IF(AND(V216="Healthy", W216="Good",Y216&lt;&gt;"Low"), "Low Risk : Approve", "Medium Risk : Review")))</f>
        <v>Low Risk : Approve</v>
      </c>
      <c r="AA216" s="5" t="str">
        <f t="shared" si="51"/>
        <v>Medium</v>
      </c>
    </row>
    <row r="217" spans="1:27" x14ac:dyDescent="0.2">
      <c r="A217">
        <v>25091</v>
      </c>
      <c r="B217">
        <v>57</v>
      </c>
      <c r="C217">
        <f t="shared" si="39"/>
        <v>57</v>
      </c>
      <c r="D217" t="s">
        <v>26</v>
      </c>
      <c r="E217" t="str">
        <f t="shared" si="40"/>
        <v>Salaried</v>
      </c>
      <c r="F217">
        <v>1076.75</v>
      </c>
      <c r="G217">
        <f>ABS(Table1[[#This Row],[Monthly_Income]])</f>
        <v>1076.75</v>
      </c>
      <c r="H217">
        <v>20362.72</v>
      </c>
      <c r="I217" s="5">
        <f t="shared" si="41"/>
        <v>20362.72</v>
      </c>
      <c r="J217">
        <v>6</v>
      </c>
      <c r="K217">
        <v>22.7</v>
      </c>
      <c r="L217">
        <v>3</v>
      </c>
      <c r="M217">
        <f t="shared" si="42"/>
        <v>3</v>
      </c>
      <c r="N217">
        <v>9.3000000000000007</v>
      </c>
      <c r="O217">
        <f t="shared" si="43"/>
        <v>9.3000000000000007</v>
      </c>
      <c r="P217">
        <v>60</v>
      </c>
      <c r="Q217">
        <f t="shared" si="44"/>
        <v>60</v>
      </c>
      <c r="R217" t="s">
        <v>24</v>
      </c>
      <c r="S217" t="str">
        <f t="shared" si="45"/>
        <v>Non-Performing</v>
      </c>
      <c r="T217" t="s">
        <v>16</v>
      </c>
      <c r="U217" s="3">
        <f t="shared" si="46"/>
        <v>3.1518798854577823</v>
      </c>
      <c r="V217" t="str">
        <f t="shared" si="47"/>
        <v>High Stress</v>
      </c>
      <c r="W217" t="str">
        <f t="shared" si="48"/>
        <v>High Risk</v>
      </c>
      <c r="X217" s="5" t="str">
        <f t="shared" si="49"/>
        <v>Medium</v>
      </c>
      <c r="Y217" s="5" t="str">
        <f t="shared" si="50"/>
        <v>High</v>
      </c>
      <c r="Z217" s="5" t="str">
        <f>IF(B217=120,"NULL",IF(AND(V217="High Stress", W217="High Risk", Y217="Low"),"High Risk : Reject", IF(AND(V217="Healthy", W217="Good",Y217&lt;&gt;"Low"), "Low Risk : Approve", "Medium Risk : Review")))</f>
        <v>Medium Risk : Review</v>
      </c>
      <c r="AA217" s="5" t="str">
        <f t="shared" si="51"/>
        <v>Low</v>
      </c>
    </row>
    <row r="218" spans="1:27" x14ac:dyDescent="0.2">
      <c r="A218">
        <v>20177</v>
      </c>
      <c r="B218">
        <v>46</v>
      </c>
      <c r="C218">
        <f t="shared" si="39"/>
        <v>46</v>
      </c>
      <c r="D218" t="s">
        <v>27</v>
      </c>
      <c r="E218" t="str">
        <f t="shared" si="40"/>
        <v>Unemployed</v>
      </c>
      <c r="F218">
        <v>640.36</v>
      </c>
      <c r="G218">
        <f>ABS(Table1[[#This Row],[Monthly_Income]])</f>
        <v>640.36</v>
      </c>
      <c r="H218">
        <v>12893.69</v>
      </c>
      <c r="I218" s="5">
        <f t="shared" si="41"/>
        <v>12893.69</v>
      </c>
      <c r="J218">
        <v>6</v>
      </c>
      <c r="K218">
        <v>17.600000000000001</v>
      </c>
      <c r="L218">
        <v>4</v>
      </c>
      <c r="M218">
        <f t="shared" si="42"/>
        <v>4</v>
      </c>
      <c r="O218" t="str">
        <f t="shared" si="43"/>
        <v>NULL</v>
      </c>
      <c r="P218">
        <v>0</v>
      </c>
      <c r="Q218">
        <f t="shared" si="44"/>
        <v>0</v>
      </c>
      <c r="R218" t="s">
        <v>24</v>
      </c>
      <c r="S218" t="str">
        <f t="shared" si="45"/>
        <v>Non-Performing</v>
      </c>
      <c r="T218" t="s">
        <v>22</v>
      </c>
      <c r="U218" s="3">
        <f t="shared" si="46"/>
        <v>3.3558441085222896</v>
      </c>
      <c r="V218" t="str">
        <f t="shared" si="47"/>
        <v>High Stress</v>
      </c>
      <c r="W218" t="str">
        <f t="shared" si="48"/>
        <v>Good</v>
      </c>
      <c r="X218" s="5" t="str">
        <f t="shared" si="49"/>
        <v>Medium</v>
      </c>
      <c r="Y218" s="5" t="str">
        <f t="shared" si="50"/>
        <v>Low</v>
      </c>
      <c r="Z218" s="5" t="str">
        <f>IF(B218=120,"NULL",IF(AND(V218="High Stress", W218="High Risk", Y218="Low"),"High Risk : Reject", IF(AND(V218="Healthy", W218="Good",Y218&lt;&gt;"Low"), "Low Risk : Approve", "Medium Risk : Review")))</f>
        <v>Medium Risk : Review</v>
      </c>
      <c r="AA218" s="5" t="str">
        <f t="shared" si="51"/>
        <v>Low</v>
      </c>
    </row>
    <row r="219" spans="1:27" x14ac:dyDescent="0.2">
      <c r="A219">
        <v>25548</v>
      </c>
      <c r="B219">
        <v>31</v>
      </c>
      <c r="C219">
        <f t="shared" si="39"/>
        <v>31</v>
      </c>
      <c r="D219" t="s">
        <v>17</v>
      </c>
      <c r="E219" t="str">
        <f t="shared" si="40"/>
        <v>Contract</v>
      </c>
      <c r="F219">
        <v>3537.56</v>
      </c>
      <c r="G219">
        <f>ABS(Table1[[#This Row],[Monthly_Income]])</f>
        <v>3537.56</v>
      </c>
      <c r="H219">
        <v>15775.36</v>
      </c>
      <c r="I219" s="5">
        <f t="shared" si="41"/>
        <v>15775.36</v>
      </c>
      <c r="J219">
        <v>12</v>
      </c>
      <c r="K219">
        <v>23.41</v>
      </c>
      <c r="L219">
        <v>2</v>
      </c>
      <c r="M219">
        <f t="shared" si="42"/>
        <v>2</v>
      </c>
      <c r="N219">
        <v>11.4</v>
      </c>
      <c r="O219">
        <f t="shared" si="43"/>
        <v>11.4</v>
      </c>
      <c r="P219">
        <v>120</v>
      </c>
      <c r="Q219">
        <f t="shared" si="44"/>
        <v>120</v>
      </c>
      <c r="R219" t="s">
        <v>15</v>
      </c>
      <c r="S219" t="str">
        <f t="shared" si="45"/>
        <v xml:space="preserve">Performing </v>
      </c>
      <c r="T219" t="s">
        <v>14</v>
      </c>
      <c r="U219" s="3">
        <f t="shared" si="46"/>
        <v>0.37161584067360931</v>
      </c>
      <c r="V219" t="str">
        <f t="shared" si="47"/>
        <v>Stretched</v>
      </c>
      <c r="W219" t="str">
        <f t="shared" si="48"/>
        <v>High Risk</v>
      </c>
      <c r="X219" s="5" t="str">
        <f t="shared" si="49"/>
        <v>Medium</v>
      </c>
      <c r="Y219" s="5" t="str">
        <f t="shared" si="50"/>
        <v>Low</v>
      </c>
      <c r="Z219" s="5" t="str">
        <f>IF(B219=120,"NULL",IF(AND(V219="High Stress", W219="High Risk", Y219="Low"),"High Risk : Reject", IF(AND(V219="Healthy", W219="Good",Y219&lt;&gt;"Low"), "Low Risk : Approve", "Medium Risk : Review")))</f>
        <v>Medium Risk : Review</v>
      </c>
      <c r="AA219" s="5" t="str">
        <f t="shared" si="51"/>
        <v>Medium</v>
      </c>
    </row>
    <row r="220" spans="1:27" x14ac:dyDescent="0.2">
      <c r="A220">
        <v>25014</v>
      </c>
      <c r="B220">
        <v>43</v>
      </c>
      <c r="C220">
        <f t="shared" si="39"/>
        <v>43</v>
      </c>
      <c r="D220" t="s">
        <v>17</v>
      </c>
      <c r="E220" t="str">
        <f t="shared" si="40"/>
        <v>Contract</v>
      </c>
      <c r="F220">
        <v>4455.34</v>
      </c>
      <c r="G220">
        <f>ABS(Table1[[#This Row],[Monthly_Income]])</f>
        <v>4455.34</v>
      </c>
      <c r="H220">
        <v>8971.4</v>
      </c>
      <c r="I220" s="5">
        <f t="shared" si="41"/>
        <v>8971.4</v>
      </c>
      <c r="J220">
        <v>60</v>
      </c>
      <c r="K220">
        <v>16.850000000000001</v>
      </c>
      <c r="M220" t="str">
        <f t="shared" si="42"/>
        <v>NULL</v>
      </c>
      <c r="N220">
        <v>8.5</v>
      </c>
      <c r="O220">
        <f t="shared" si="43"/>
        <v>8.5</v>
      </c>
      <c r="P220">
        <v>0</v>
      </c>
      <c r="Q220">
        <f t="shared" si="44"/>
        <v>0</v>
      </c>
      <c r="R220" t="s">
        <v>24</v>
      </c>
      <c r="S220" t="str">
        <f t="shared" si="45"/>
        <v>Non-Performing</v>
      </c>
      <c r="T220" t="s">
        <v>25</v>
      </c>
      <c r="U220" s="3">
        <f t="shared" si="46"/>
        <v>3.3560476491880153E-2</v>
      </c>
      <c r="V220" t="str">
        <f t="shared" si="47"/>
        <v>Healthy</v>
      </c>
      <c r="W220" t="str">
        <f t="shared" si="48"/>
        <v>Good</v>
      </c>
      <c r="X220" s="5" t="str">
        <f t="shared" si="49"/>
        <v>Small</v>
      </c>
      <c r="Y220" s="5" t="str">
        <f t="shared" si="50"/>
        <v>Low</v>
      </c>
      <c r="Z220" s="5" t="str">
        <f>IF(B220=120,"NULL",IF(AND(V220="High Stress", W220="High Risk", Y220="Low"),"High Risk : Reject", IF(AND(V220="Healthy", W220="Good",Y220&lt;&gt;"Low"), "Low Risk : Approve", "Medium Risk : Review")))</f>
        <v>Medium Risk : Review</v>
      </c>
      <c r="AA220" s="5" t="str">
        <f t="shared" si="51"/>
        <v>Medium</v>
      </c>
    </row>
    <row r="221" spans="1:27" x14ac:dyDescent="0.2">
      <c r="A221">
        <v>22026</v>
      </c>
      <c r="B221">
        <v>37</v>
      </c>
      <c r="C221">
        <f t="shared" si="39"/>
        <v>37</v>
      </c>
      <c r="D221" t="s">
        <v>23</v>
      </c>
      <c r="E221" t="str">
        <f t="shared" si="40"/>
        <v>Self-Employed</v>
      </c>
      <c r="F221">
        <v>8214.8700000000008</v>
      </c>
      <c r="G221">
        <f>ABS(Table1[[#This Row],[Monthly_Income]])</f>
        <v>8214.8700000000008</v>
      </c>
      <c r="H221">
        <v>19321.830000000002</v>
      </c>
      <c r="I221" s="5">
        <f t="shared" si="41"/>
        <v>19321.830000000002</v>
      </c>
      <c r="J221">
        <v>6</v>
      </c>
      <c r="K221">
        <v>11.05</v>
      </c>
      <c r="L221">
        <v>1</v>
      </c>
      <c r="M221">
        <f t="shared" si="42"/>
        <v>1</v>
      </c>
      <c r="N221">
        <v>9.3000000000000007</v>
      </c>
      <c r="O221">
        <f t="shared" si="43"/>
        <v>9.3000000000000007</v>
      </c>
      <c r="P221">
        <v>90</v>
      </c>
      <c r="Q221">
        <f t="shared" si="44"/>
        <v>90</v>
      </c>
      <c r="R221" t="s">
        <v>15</v>
      </c>
      <c r="S221" t="str">
        <f t="shared" si="45"/>
        <v xml:space="preserve">Performing </v>
      </c>
      <c r="T221" t="s">
        <v>22</v>
      </c>
      <c r="U221" s="3">
        <f t="shared" si="46"/>
        <v>0.39200924664662984</v>
      </c>
      <c r="V221" t="str">
        <f t="shared" si="47"/>
        <v>Stretched</v>
      </c>
      <c r="W221" t="str">
        <f t="shared" si="48"/>
        <v>High Risk</v>
      </c>
      <c r="X221" s="5" t="str">
        <f t="shared" si="49"/>
        <v>Medium</v>
      </c>
      <c r="Y221" s="5" t="str">
        <f t="shared" si="50"/>
        <v>Medium</v>
      </c>
      <c r="Z221" s="5" t="str">
        <f>IF(B221=120,"NULL",IF(AND(V221="High Stress", W221="High Risk", Y221="Low"),"High Risk : Reject", IF(AND(V221="Healthy", W221="Good",Y221&lt;&gt;"Low"), "Low Risk : Approve", "Medium Risk : Review")))</f>
        <v>Medium Risk : Review</v>
      </c>
      <c r="AA221" s="5" t="str">
        <f t="shared" si="51"/>
        <v>High</v>
      </c>
    </row>
    <row r="222" spans="1:27" x14ac:dyDescent="0.2">
      <c r="A222">
        <v>20012</v>
      </c>
      <c r="B222">
        <v>37</v>
      </c>
      <c r="C222">
        <f t="shared" si="39"/>
        <v>37</v>
      </c>
      <c r="D222" t="s">
        <v>26</v>
      </c>
      <c r="E222" t="str">
        <f t="shared" si="40"/>
        <v>Salaried</v>
      </c>
      <c r="F222">
        <v>3278</v>
      </c>
      <c r="G222">
        <f>ABS(Table1[[#This Row],[Monthly_Income]])</f>
        <v>3278</v>
      </c>
      <c r="H222">
        <v>32258.81</v>
      </c>
      <c r="I222" s="5">
        <f t="shared" si="41"/>
        <v>32258.81</v>
      </c>
      <c r="J222">
        <v>36</v>
      </c>
      <c r="K222">
        <v>24.74</v>
      </c>
      <c r="L222">
        <v>0</v>
      </c>
      <c r="M222">
        <f t="shared" si="42"/>
        <v>0</v>
      </c>
      <c r="N222">
        <v>2.2000000000000002</v>
      </c>
      <c r="O222">
        <f t="shared" si="43"/>
        <v>2.2000000000000002</v>
      </c>
      <c r="P222">
        <v>0</v>
      </c>
      <c r="Q222">
        <f t="shared" si="44"/>
        <v>0</v>
      </c>
      <c r="R222" t="s">
        <v>15</v>
      </c>
      <c r="S222" t="str">
        <f t="shared" si="45"/>
        <v xml:space="preserve">Performing </v>
      </c>
      <c r="T222" t="s">
        <v>16</v>
      </c>
      <c r="U222" s="3">
        <f t="shared" si="46"/>
        <v>0.27336121279913228</v>
      </c>
      <c r="V222" t="str">
        <f t="shared" si="47"/>
        <v>Healthy</v>
      </c>
      <c r="W222" t="str">
        <f t="shared" si="48"/>
        <v>Good</v>
      </c>
      <c r="X222" s="5" t="str">
        <f t="shared" si="49"/>
        <v>High</v>
      </c>
      <c r="Y222" s="5" t="str">
        <f t="shared" si="50"/>
        <v>High</v>
      </c>
      <c r="Z222" s="5" t="str">
        <f>IF(B222=120,"NULL",IF(AND(V222="High Stress", W222="High Risk", Y222="Low"),"High Risk : Reject", IF(AND(V222="Healthy", W222="Good",Y222&lt;&gt;"Low"), "Low Risk : Approve", "Medium Risk : Review")))</f>
        <v>Low Risk : Approve</v>
      </c>
      <c r="AA222" s="5" t="str">
        <f t="shared" si="51"/>
        <v>Medium</v>
      </c>
    </row>
    <row r="223" spans="1:27" x14ac:dyDescent="0.2">
      <c r="A223">
        <v>23947</v>
      </c>
      <c r="B223">
        <v>55</v>
      </c>
      <c r="C223">
        <f t="shared" si="39"/>
        <v>55</v>
      </c>
      <c r="D223" t="s">
        <v>26</v>
      </c>
      <c r="E223" t="str">
        <f t="shared" si="40"/>
        <v>Salaried</v>
      </c>
      <c r="F223">
        <v>3170.14</v>
      </c>
      <c r="G223">
        <f>ABS(Table1[[#This Row],[Monthly_Income]])</f>
        <v>3170.14</v>
      </c>
      <c r="H223">
        <v>17790.12</v>
      </c>
      <c r="I223" s="5">
        <f t="shared" si="41"/>
        <v>17790.12</v>
      </c>
      <c r="J223">
        <v>36</v>
      </c>
      <c r="K223">
        <v>14.56</v>
      </c>
      <c r="L223">
        <v>1</v>
      </c>
      <c r="M223">
        <f t="shared" si="42"/>
        <v>1</v>
      </c>
      <c r="N223">
        <v>7.6</v>
      </c>
      <c r="O223">
        <f t="shared" si="43"/>
        <v>7.6</v>
      </c>
      <c r="P223">
        <v>0</v>
      </c>
      <c r="Q223">
        <f t="shared" si="44"/>
        <v>0</v>
      </c>
      <c r="R223" t="s">
        <v>13</v>
      </c>
      <c r="S223" t="str">
        <f t="shared" si="45"/>
        <v>Performing</v>
      </c>
      <c r="T223" t="s">
        <v>25</v>
      </c>
      <c r="U223" s="3">
        <f t="shared" si="46"/>
        <v>0.15588270549565633</v>
      </c>
      <c r="V223" t="str">
        <f t="shared" si="47"/>
        <v>Healthy</v>
      </c>
      <c r="W223" t="str">
        <f t="shared" si="48"/>
        <v>Good</v>
      </c>
      <c r="X223" s="5" t="str">
        <f t="shared" si="49"/>
        <v>Medium</v>
      </c>
      <c r="Y223" s="5" t="str">
        <f t="shared" si="50"/>
        <v>High</v>
      </c>
      <c r="Z223" s="5" t="str">
        <f>IF(B223=120,"NULL",IF(AND(V223="High Stress", W223="High Risk", Y223="Low"),"High Risk : Reject", IF(AND(V223="Healthy", W223="Good",Y223&lt;&gt;"Low"), "Low Risk : Approve", "Medium Risk : Review")))</f>
        <v>Low Risk : Approve</v>
      </c>
      <c r="AA223" s="5" t="str">
        <f t="shared" si="51"/>
        <v>Medium</v>
      </c>
    </row>
    <row r="224" spans="1:27" x14ac:dyDescent="0.2">
      <c r="A224">
        <v>23233</v>
      </c>
      <c r="B224">
        <v>37</v>
      </c>
      <c r="C224">
        <f t="shared" si="39"/>
        <v>37</v>
      </c>
      <c r="D224" t="s">
        <v>12</v>
      </c>
      <c r="E224" t="str">
        <f t="shared" si="40"/>
        <v>Self-Employed</v>
      </c>
      <c r="F224">
        <v>6517.67</v>
      </c>
      <c r="G224">
        <f>ABS(Table1[[#This Row],[Monthly_Income]])</f>
        <v>6517.67</v>
      </c>
      <c r="H224">
        <v>16534.990000000002</v>
      </c>
      <c r="I224" s="5">
        <f t="shared" si="41"/>
        <v>16534.990000000002</v>
      </c>
      <c r="J224">
        <v>24</v>
      </c>
      <c r="K224">
        <v>21.39</v>
      </c>
      <c r="L224">
        <v>0</v>
      </c>
      <c r="M224">
        <f t="shared" si="42"/>
        <v>0</v>
      </c>
      <c r="N224">
        <v>9.4</v>
      </c>
      <c r="O224">
        <f t="shared" si="43"/>
        <v>9.4</v>
      </c>
      <c r="P224">
        <v>60</v>
      </c>
      <c r="Q224">
        <f t="shared" si="44"/>
        <v>60</v>
      </c>
      <c r="R224" t="s">
        <v>15</v>
      </c>
      <c r="S224" t="str">
        <f t="shared" si="45"/>
        <v xml:space="preserve">Performing </v>
      </c>
      <c r="T224" t="s">
        <v>16</v>
      </c>
      <c r="U224" s="3">
        <f t="shared" si="46"/>
        <v>0.10570616749032502</v>
      </c>
      <c r="V224" t="str">
        <f t="shared" si="47"/>
        <v>Healthy</v>
      </c>
      <c r="W224" t="str">
        <f t="shared" si="48"/>
        <v>High Risk</v>
      </c>
      <c r="X224" s="5" t="str">
        <f t="shared" si="49"/>
        <v>Medium</v>
      </c>
      <c r="Y224" s="5" t="str">
        <f t="shared" si="50"/>
        <v>Medium</v>
      </c>
      <c r="Z224" s="5" t="str">
        <f>IF(B224=120,"NULL",IF(AND(V224="High Stress", W224="High Risk", Y224="Low"),"High Risk : Reject", IF(AND(V224="Healthy", W224="Good",Y224&lt;&gt;"Low"), "Low Risk : Approve", "Medium Risk : Review")))</f>
        <v>Medium Risk : Review</v>
      </c>
      <c r="AA224" s="5" t="str">
        <f t="shared" si="51"/>
        <v>Medium</v>
      </c>
    </row>
    <row r="225" spans="1:27" x14ac:dyDescent="0.2">
      <c r="A225">
        <v>20809</v>
      </c>
      <c r="B225">
        <v>33</v>
      </c>
      <c r="C225">
        <f t="shared" si="39"/>
        <v>33</v>
      </c>
      <c r="D225" t="s">
        <v>27</v>
      </c>
      <c r="E225" t="str">
        <f t="shared" si="40"/>
        <v>Unemployed</v>
      </c>
      <c r="F225">
        <v>4990.87</v>
      </c>
      <c r="G225">
        <f>ABS(Table1[[#This Row],[Monthly_Income]])</f>
        <v>4990.87</v>
      </c>
      <c r="H225">
        <v>41032.83</v>
      </c>
      <c r="I225" s="5">
        <f t="shared" si="41"/>
        <v>41032.83</v>
      </c>
      <c r="J225">
        <v>36</v>
      </c>
      <c r="K225">
        <v>23.96</v>
      </c>
      <c r="L225">
        <v>4</v>
      </c>
      <c r="M225">
        <f t="shared" si="42"/>
        <v>4</v>
      </c>
      <c r="N225">
        <v>5.7</v>
      </c>
      <c r="O225">
        <f t="shared" si="43"/>
        <v>5.7</v>
      </c>
      <c r="P225">
        <v>0</v>
      </c>
      <c r="Q225">
        <f t="shared" si="44"/>
        <v>0</v>
      </c>
      <c r="R225" t="s">
        <v>15</v>
      </c>
      <c r="S225" t="str">
        <f t="shared" si="45"/>
        <v xml:space="preserve">Performing </v>
      </c>
      <c r="T225" t="s">
        <v>14</v>
      </c>
      <c r="U225" s="3">
        <f t="shared" si="46"/>
        <v>0.22837718340356158</v>
      </c>
      <c r="V225" t="str">
        <f t="shared" si="47"/>
        <v>Healthy</v>
      </c>
      <c r="W225" t="str">
        <f t="shared" si="48"/>
        <v>Good</v>
      </c>
      <c r="X225" s="5" t="str">
        <f t="shared" si="49"/>
        <v>High</v>
      </c>
      <c r="Y225" s="5" t="str">
        <f t="shared" si="50"/>
        <v>Low</v>
      </c>
      <c r="Z225" s="5" t="str">
        <f>IF(B225=120,"NULL",IF(AND(V225="High Stress", W225="High Risk", Y225="Low"),"High Risk : Reject", IF(AND(V225="Healthy", W225="Good",Y225&lt;&gt;"Low"), "Low Risk : Approve", "Medium Risk : Review")))</f>
        <v>Medium Risk : Review</v>
      </c>
      <c r="AA225" s="5" t="str">
        <f t="shared" si="51"/>
        <v>Medium</v>
      </c>
    </row>
    <row r="226" spans="1:27" x14ac:dyDescent="0.2">
      <c r="A226">
        <v>21573</v>
      </c>
      <c r="B226">
        <v>24</v>
      </c>
      <c r="C226">
        <f t="shared" si="39"/>
        <v>24</v>
      </c>
      <c r="D226" t="s">
        <v>26</v>
      </c>
      <c r="E226" t="str">
        <f t="shared" si="40"/>
        <v>Salaried</v>
      </c>
      <c r="F226">
        <v>5889.05</v>
      </c>
      <c r="G226">
        <f>ABS(Table1[[#This Row],[Monthly_Income]])</f>
        <v>5889.05</v>
      </c>
      <c r="H226">
        <v>23681.09</v>
      </c>
      <c r="I226" s="5">
        <f t="shared" si="41"/>
        <v>23681.09</v>
      </c>
      <c r="J226">
        <v>60</v>
      </c>
      <c r="K226">
        <v>12.76</v>
      </c>
      <c r="L226">
        <v>1</v>
      </c>
      <c r="M226">
        <f t="shared" si="42"/>
        <v>1</v>
      </c>
      <c r="N226">
        <v>11.2</v>
      </c>
      <c r="O226">
        <f t="shared" si="43"/>
        <v>11.2</v>
      </c>
      <c r="P226">
        <v>0</v>
      </c>
      <c r="Q226">
        <f t="shared" si="44"/>
        <v>0</v>
      </c>
      <c r="R226" t="s">
        <v>20</v>
      </c>
      <c r="S226" t="str">
        <f t="shared" si="45"/>
        <v>Written Off</v>
      </c>
      <c r="T226" t="s">
        <v>14</v>
      </c>
      <c r="U226" s="3">
        <f t="shared" si="46"/>
        <v>6.7020119260888147E-2</v>
      </c>
      <c r="V226" t="str">
        <f t="shared" si="47"/>
        <v>Healthy</v>
      </c>
      <c r="W226" t="str">
        <f t="shared" si="48"/>
        <v>Good</v>
      </c>
      <c r="X226" s="5" t="str">
        <f t="shared" si="49"/>
        <v>Medium</v>
      </c>
      <c r="Y226" s="5" t="str">
        <f t="shared" si="50"/>
        <v>High</v>
      </c>
      <c r="Z226" s="5" t="str">
        <f>IF(B226=120,"NULL",IF(AND(V226="High Stress", W226="High Risk", Y226="Low"),"High Risk : Reject", IF(AND(V226="Healthy", W226="Good",Y226&lt;&gt;"Low"), "Low Risk : Approve", "Medium Risk : Review")))</f>
        <v>Low Risk : Approve</v>
      </c>
      <c r="AA226" s="5" t="str">
        <f t="shared" si="51"/>
        <v>Medium</v>
      </c>
    </row>
    <row r="227" spans="1:27" x14ac:dyDescent="0.2">
      <c r="A227">
        <v>24166</v>
      </c>
      <c r="B227">
        <v>47</v>
      </c>
      <c r="C227">
        <f t="shared" si="39"/>
        <v>47</v>
      </c>
      <c r="D227" t="s">
        <v>27</v>
      </c>
      <c r="E227" t="str">
        <f t="shared" si="40"/>
        <v>Unemployed</v>
      </c>
      <c r="F227">
        <v>5199.9799999999996</v>
      </c>
      <c r="G227">
        <f>ABS(Table1[[#This Row],[Monthly_Income]])</f>
        <v>5199.9799999999996</v>
      </c>
      <c r="H227">
        <v>32277.18</v>
      </c>
      <c r="I227" s="5">
        <f t="shared" si="41"/>
        <v>32277.18</v>
      </c>
      <c r="J227">
        <v>24</v>
      </c>
      <c r="K227">
        <v>55</v>
      </c>
      <c r="L227">
        <v>2</v>
      </c>
      <c r="M227">
        <f t="shared" si="42"/>
        <v>2</v>
      </c>
      <c r="N227">
        <v>9.5</v>
      </c>
      <c r="O227">
        <f t="shared" si="43"/>
        <v>9.5</v>
      </c>
      <c r="P227">
        <v>0</v>
      </c>
      <c r="Q227">
        <f t="shared" si="44"/>
        <v>0</v>
      </c>
      <c r="R227" t="s">
        <v>13</v>
      </c>
      <c r="S227" t="str">
        <f t="shared" si="45"/>
        <v>Performing</v>
      </c>
      <c r="T227" t="s">
        <v>14</v>
      </c>
      <c r="U227" s="3">
        <f t="shared" si="46"/>
        <v>0.25863224473940288</v>
      </c>
      <c r="V227" t="str">
        <f t="shared" si="47"/>
        <v>Healthy</v>
      </c>
      <c r="W227" t="str">
        <f t="shared" si="48"/>
        <v>Good</v>
      </c>
      <c r="X227" s="5" t="str">
        <f t="shared" si="49"/>
        <v>High</v>
      </c>
      <c r="Y227" s="5" t="str">
        <f t="shared" si="50"/>
        <v>Low</v>
      </c>
      <c r="Z227" s="5" t="str">
        <f>IF(B227=120,"NULL",IF(AND(V227="High Stress", W227="High Risk", Y227="Low"),"High Risk : Reject", IF(AND(V227="Healthy", W227="Good",Y227&lt;&gt;"Low"), "Low Risk : Approve", "Medium Risk : Review")))</f>
        <v>Medium Risk : Review</v>
      </c>
      <c r="AA227" s="5" t="str">
        <f t="shared" si="51"/>
        <v>Medium</v>
      </c>
    </row>
    <row r="228" spans="1:27" x14ac:dyDescent="0.2">
      <c r="A228">
        <v>21949</v>
      </c>
      <c r="B228">
        <v>49</v>
      </c>
      <c r="C228">
        <f t="shared" si="39"/>
        <v>49</v>
      </c>
      <c r="D228" t="s">
        <v>17</v>
      </c>
      <c r="E228" t="str">
        <f t="shared" si="40"/>
        <v>Contract</v>
      </c>
      <c r="F228">
        <v>7713.8</v>
      </c>
      <c r="G228">
        <f>ABS(Table1[[#This Row],[Monthly_Income]])</f>
        <v>7713.8</v>
      </c>
      <c r="H228">
        <v>-666.26</v>
      </c>
      <c r="I228" s="5">
        <f t="shared" si="41"/>
        <v>666.26</v>
      </c>
      <c r="J228">
        <v>18</v>
      </c>
      <c r="K228">
        <v>19.239999999999998</v>
      </c>
      <c r="L228">
        <v>2</v>
      </c>
      <c r="M228">
        <f t="shared" si="42"/>
        <v>2</v>
      </c>
      <c r="N228">
        <v>13.3</v>
      </c>
      <c r="O228">
        <f t="shared" si="43"/>
        <v>13.3</v>
      </c>
      <c r="P228">
        <v>15</v>
      </c>
      <c r="Q228">
        <f t="shared" si="44"/>
        <v>15</v>
      </c>
      <c r="R228" t="s">
        <v>13</v>
      </c>
      <c r="S228" t="str">
        <f t="shared" si="45"/>
        <v>Performing</v>
      </c>
      <c r="T228" t="s">
        <v>22</v>
      </c>
      <c r="U228" s="3">
        <f t="shared" si="46"/>
        <v>4.7984708502222572E-3</v>
      </c>
      <c r="V228" t="str">
        <f t="shared" si="47"/>
        <v>Healthy</v>
      </c>
      <c r="W228" t="str">
        <f t="shared" si="48"/>
        <v>Good</v>
      </c>
      <c r="X228" s="5" t="str">
        <f t="shared" si="49"/>
        <v>Small</v>
      </c>
      <c r="Y228" s="5" t="str">
        <f t="shared" si="50"/>
        <v>Low</v>
      </c>
      <c r="Z228" s="5" t="str">
        <f>IF(B228=120,"NULL",IF(AND(V228="High Stress", W228="High Risk", Y228="Low"),"High Risk : Reject", IF(AND(V228="Healthy", W228="Good",Y228&lt;&gt;"Low"), "Low Risk : Approve", "Medium Risk : Review")))</f>
        <v>Medium Risk : Review</v>
      </c>
      <c r="AA228" s="5" t="str">
        <f t="shared" si="51"/>
        <v>Medium</v>
      </c>
    </row>
    <row r="229" spans="1:27" x14ac:dyDescent="0.2">
      <c r="A229">
        <v>23902</v>
      </c>
      <c r="B229">
        <v>58</v>
      </c>
      <c r="C229">
        <f t="shared" si="39"/>
        <v>58</v>
      </c>
      <c r="D229" t="s">
        <v>17</v>
      </c>
      <c r="E229" t="str">
        <f t="shared" si="40"/>
        <v>Contract</v>
      </c>
      <c r="F229">
        <v>6959.02</v>
      </c>
      <c r="G229">
        <f>ABS(Table1[[#This Row],[Monthly_Income]])</f>
        <v>6959.02</v>
      </c>
      <c r="H229">
        <v>20507.73</v>
      </c>
      <c r="I229" s="5">
        <f t="shared" si="41"/>
        <v>20507.73</v>
      </c>
      <c r="J229">
        <v>24</v>
      </c>
      <c r="K229">
        <v>12.44</v>
      </c>
      <c r="L229">
        <v>0</v>
      </c>
      <c r="M229">
        <f t="shared" si="42"/>
        <v>0</v>
      </c>
      <c r="N229">
        <v>7.7</v>
      </c>
      <c r="O229">
        <f t="shared" si="43"/>
        <v>7.7</v>
      </c>
      <c r="Q229" t="str">
        <f t="shared" si="44"/>
        <v>NULL</v>
      </c>
      <c r="R229" t="s">
        <v>24</v>
      </c>
      <c r="S229" t="str">
        <f t="shared" si="45"/>
        <v>Non-Performing</v>
      </c>
      <c r="T229" t="s">
        <v>16</v>
      </c>
      <c r="U229" s="3">
        <f t="shared" si="46"/>
        <v>0.12278866133449824</v>
      </c>
      <c r="V229" t="str">
        <f t="shared" si="47"/>
        <v>Healthy</v>
      </c>
      <c r="W229" t="str">
        <f t="shared" si="48"/>
        <v>NULL</v>
      </c>
      <c r="X229" s="5" t="str">
        <f t="shared" si="49"/>
        <v>Medium</v>
      </c>
      <c r="Y229" s="5" t="str">
        <f t="shared" si="50"/>
        <v>Low</v>
      </c>
      <c r="Z229" s="5" t="str">
        <f>IF(B229=120,"NULL",IF(AND(V229="High Stress", W229="High Risk", Y229="Low"),"High Risk : Reject", IF(AND(V229="Healthy", W229="Good",Y229&lt;&gt;"Low"), "Low Risk : Approve", "Medium Risk : Review")))</f>
        <v>Medium Risk : Review</v>
      </c>
      <c r="AA229" s="5" t="str">
        <f t="shared" si="51"/>
        <v>Medium</v>
      </c>
    </row>
    <row r="230" spans="1:27" x14ac:dyDescent="0.2">
      <c r="A230">
        <v>20367</v>
      </c>
      <c r="B230">
        <v>46</v>
      </c>
      <c r="C230">
        <f t="shared" si="39"/>
        <v>46</v>
      </c>
      <c r="D230" t="s">
        <v>17</v>
      </c>
      <c r="E230" t="str">
        <f t="shared" si="40"/>
        <v>Contract</v>
      </c>
      <c r="F230">
        <v>4362.6000000000004</v>
      </c>
      <c r="G230">
        <f>ABS(Table1[[#This Row],[Monthly_Income]])</f>
        <v>4362.6000000000004</v>
      </c>
      <c r="H230">
        <v>24475.61</v>
      </c>
      <c r="I230" s="5">
        <f t="shared" si="41"/>
        <v>24475.61</v>
      </c>
      <c r="J230">
        <v>60</v>
      </c>
      <c r="K230">
        <v>23.48</v>
      </c>
      <c r="L230">
        <v>3</v>
      </c>
      <c r="M230">
        <f t="shared" si="42"/>
        <v>3</v>
      </c>
      <c r="N230">
        <v>1.8</v>
      </c>
      <c r="O230">
        <f t="shared" si="43"/>
        <v>1.8</v>
      </c>
      <c r="P230">
        <v>90</v>
      </c>
      <c r="Q230">
        <f t="shared" si="44"/>
        <v>90</v>
      </c>
      <c r="R230" t="s">
        <v>13</v>
      </c>
      <c r="S230" t="str">
        <f t="shared" si="45"/>
        <v>Performing</v>
      </c>
      <c r="T230" t="s">
        <v>22</v>
      </c>
      <c r="U230" s="3">
        <f t="shared" si="46"/>
        <v>9.3505440180931848E-2</v>
      </c>
      <c r="V230" t="str">
        <f t="shared" si="47"/>
        <v>Healthy</v>
      </c>
      <c r="W230" t="str">
        <f t="shared" si="48"/>
        <v>High Risk</v>
      </c>
      <c r="X230" s="5" t="str">
        <f t="shared" si="49"/>
        <v>Medium</v>
      </c>
      <c r="Y230" s="5" t="str">
        <f t="shared" si="50"/>
        <v>Low</v>
      </c>
      <c r="Z230" s="5" t="str">
        <f>IF(B230=120,"NULL",IF(AND(V230="High Stress", W230="High Risk", Y230="Low"),"High Risk : Reject", IF(AND(V230="Healthy", W230="Good",Y230&lt;&gt;"Low"), "Low Risk : Approve", "Medium Risk : Review")))</f>
        <v>Medium Risk : Review</v>
      </c>
      <c r="AA230" s="5" t="str">
        <f t="shared" si="51"/>
        <v>Medium</v>
      </c>
    </row>
    <row r="231" spans="1:27" x14ac:dyDescent="0.2">
      <c r="A231">
        <v>22485</v>
      </c>
      <c r="B231">
        <v>56</v>
      </c>
      <c r="C231">
        <f t="shared" si="39"/>
        <v>56</v>
      </c>
      <c r="D231" t="s">
        <v>21</v>
      </c>
      <c r="E231" t="str">
        <f t="shared" si="40"/>
        <v>Salaried</v>
      </c>
      <c r="F231">
        <v>7633.15</v>
      </c>
      <c r="G231">
        <f>ABS(Table1[[#This Row],[Monthly_Income]])</f>
        <v>7633.15</v>
      </c>
      <c r="H231">
        <v>25374.73</v>
      </c>
      <c r="I231" s="5">
        <f t="shared" si="41"/>
        <v>25374.73</v>
      </c>
      <c r="J231">
        <v>36</v>
      </c>
      <c r="K231">
        <v>24.51</v>
      </c>
      <c r="M231" t="str">
        <f t="shared" si="42"/>
        <v>NULL</v>
      </c>
      <c r="N231">
        <v>8.5</v>
      </c>
      <c r="O231">
        <f t="shared" si="43"/>
        <v>8.5</v>
      </c>
      <c r="P231">
        <v>30</v>
      </c>
      <c r="Q231">
        <f t="shared" si="44"/>
        <v>30</v>
      </c>
      <c r="R231" t="s">
        <v>15</v>
      </c>
      <c r="S231" t="str">
        <f t="shared" si="45"/>
        <v xml:space="preserve">Performing </v>
      </c>
      <c r="T231" t="s">
        <v>25</v>
      </c>
      <c r="U231" s="3">
        <f t="shared" si="46"/>
        <v>9.2341118818719814E-2</v>
      </c>
      <c r="V231" t="str">
        <f t="shared" si="47"/>
        <v>Healthy</v>
      </c>
      <c r="W231" t="str">
        <f t="shared" si="48"/>
        <v>At Risk</v>
      </c>
      <c r="X231" s="5" t="str">
        <f t="shared" si="49"/>
        <v>Medium</v>
      </c>
      <c r="Y231" s="5" t="str">
        <f t="shared" si="50"/>
        <v>High</v>
      </c>
      <c r="Z231" s="5" t="str">
        <f>IF(B231=120,"NULL",IF(AND(V231="High Stress", W231="High Risk", Y231="Low"),"High Risk : Reject", IF(AND(V231="Healthy", W231="Good",Y231&lt;&gt;"Low"), "Low Risk : Approve", "Medium Risk : Review")))</f>
        <v>Medium Risk : Review</v>
      </c>
      <c r="AA231" s="5" t="str">
        <f t="shared" si="51"/>
        <v>Medium</v>
      </c>
    </row>
    <row r="232" spans="1:27" x14ac:dyDescent="0.2">
      <c r="A232">
        <v>20648</v>
      </c>
      <c r="B232">
        <v>43</v>
      </c>
      <c r="C232">
        <f t="shared" si="39"/>
        <v>43</v>
      </c>
      <c r="D232" t="s">
        <v>12</v>
      </c>
      <c r="E232" t="str">
        <f t="shared" si="40"/>
        <v>Self-Employed</v>
      </c>
      <c r="F232">
        <v>3856.63</v>
      </c>
      <c r="G232">
        <f>ABS(Table1[[#This Row],[Monthly_Income]])</f>
        <v>3856.63</v>
      </c>
      <c r="H232">
        <v>7142.71</v>
      </c>
      <c r="I232" s="5">
        <f t="shared" si="41"/>
        <v>7142.71</v>
      </c>
      <c r="J232">
        <v>24</v>
      </c>
      <c r="K232">
        <v>23.45</v>
      </c>
      <c r="L232">
        <v>4</v>
      </c>
      <c r="M232">
        <f t="shared" si="42"/>
        <v>4</v>
      </c>
      <c r="N232">
        <v>5.6</v>
      </c>
      <c r="O232">
        <f t="shared" si="43"/>
        <v>5.6</v>
      </c>
      <c r="P232">
        <v>60</v>
      </c>
      <c r="Q232">
        <f t="shared" si="44"/>
        <v>60</v>
      </c>
      <c r="R232" t="s">
        <v>20</v>
      </c>
      <c r="S232" t="str">
        <f t="shared" si="45"/>
        <v>Written Off</v>
      </c>
      <c r="T232" t="s">
        <v>14</v>
      </c>
      <c r="U232" s="3">
        <f t="shared" si="46"/>
        <v>7.7169164961810352E-2</v>
      </c>
      <c r="V232" t="str">
        <f t="shared" si="47"/>
        <v>Healthy</v>
      </c>
      <c r="W232" t="str">
        <f t="shared" si="48"/>
        <v>High Risk</v>
      </c>
      <c r="X232" s="5" t="str">
        <f t="shared" si="49"/>
        <v>Small</v>
      </c>
      <c r="Y232" s="5" t="str">
        <f t="shared" si="50"/>
        <v>Medium</v>
      </c>
      <c r="Z232" s="5" t="str">
        <f>IF(B232=120,"NULL",IF(AND(V232="High Stress", W232="High Risk", Y232="Low"),"High Risk : Reject", IF(AND(V232="Healthy", W232="Good",Y232&lt;&gt;"Low"), "Low Risk : Approve", "Medium Risk : Review")))</f>
        <v>Medium Risk : Review</v>
      </c>
      <c r="AA232" s="5" t="str">
        <f t="shared" si="51"/>
        <v>Medium</v>
      </c>
    </row>
    <row r="233" spans="1:27" x14ac:dyDescent="0.2">
      <c r="A233">
        <v>21520</v>
      </c>
      <c r="B233">
        <v>29</v>
      </c>
      <c r="C233">
        <f t="shared" si="39"/>
        <v>29</v>
      </c>
      <c r="D233" t="s">
        <v>26</v>
      </c>
      <c r="E233" t="str">
        <f t="shared" si="40"/>
        <v>Salaried</v>
      </c>
      <c r="F233">
        <v>6285.36</v>
      </c>
      <c r="G233">
        <f>ABS(Table1[[#This Row],[Monthly_Income]])</f>
        <v>6285.36</v>
      </c>
      <c r="H233">
        <v>15765.95</v>
      </c>
      <c r="I233" s="5">
        <f t="shared" si="41"/>
        <v>15765.95</v>
      </c>
      <c r="J233">
        <v>36</v>
      </c>
      <c r="K233">
        <v>18.53</v>
      </c>
      <c r="L233">
        <v>0</v>
      </c>
      <c r="M233">
        <f t="shared" si="42"/>
        <v>0</v>
      </c>
      <c r="N233">
        <v>3.3</v>
      </c>
      <c r="O233">
        <f t="shared" si="43"/>
        <v>3.3</v>
      </c>
      <c r="P233">
        <v>30</v>
      </c>
      <c r="Q233">
        <f t="shared" si="44"/>
        <v>30</v>
      </c>
      <c r="R233" t="s">
        <v>20</v>
      </c>
      <c r="S233" t="str">
        <f t="shared" si="45"/>
        <v>Written Off</v>
      </c>
      <c r="T233" t="s">
        <v>16</v>
      </c>
      <c r="U233" s="3">
        <f t="shared" si="46"/>
        <v>6.9676686069780502E-2</v>
      </c>
      <c r="V233" t="str">
        <f t="shared" si="47"/>
        <v>Healthy</v>
      </c>
      <c r="W233" t="str">
        <f t="shared" si="48"/>
        <v>At Risk</v>
      </c>
      <c r="X233" s="5" t="str">
        <f t="shared" si="49"/>
        <v>Medium</v>
      </c>
      <c r="Y233" s="5" t="str">
        <f t="shared" si="50"/>
        <v>High</v>
      </c>
      <c r="Z233" s="5" t="str">
        <f>IF(B233=120,"NULL",IF(AND(V233="High Stress", W233="High Risk", Y233="Low"),"High Risk : Reject", IF(AND(V233="Healthy", W233="Good",Y233&lt;&gt;"Low"), "Low Risk : Approve", "Medium Risk : Review")))</f>
        <v>Medium Risk : Review</v>
      </c>
      <c r="AA233" s="5" t="str">
        <f t="shared" si="51"/>
        <v>Medium</v>
      </c>
    </row>
    <row r="234" spans="1:27" x14ac:dyDescent="0.2">
      <c r="A234">
        <v>25947</v>
      </c>
      <c r="B234">
        <v>22</v>
      </c>
      <c r="C234">
        <f t="shared" si="39"/>
        <v>22</v>
      </c>
      <c r="D234" t="s">
        <v>12</v>
      </c>
      <c r="E234" t="str">
        <f t="shared" si="40"/>
        <v>Self-Employed</v>
      </c>
      <c r="F234">
        <v>4991.92</v>
      </c>
      <c r="G234">
        <f>ABS(Table1[[#This Row],[Monthly_Income]])</f>
        <v>4991.92</v>
      </c>
      <c r="H234">
        <v>20615.169999999998</v>
      </c>
      <c r="I234" s="5">
        <f t="shared" si="41"/>
        <v>20615.169999999998</v>
      </c>
      <c r="J234">
        <v>48</v>
      </c>
      <c r="K234">
        <v>23.07</v>
      </c>
      <c r="L234">
        <v>0</v>
      </c>
      <c r="M234">
        <f t="shared" si="42"/>
        <v>0</v>
      </c>
      <c r="O234" t="str">
        <f t="shared" si="43"/>
        <v>NULL</v>
      </c>
      <c r="P234">
        <v>120</v>
      </c>
      <c r="Q234">
        <f t="shared" si="44"/>
        <v>120</v>
      </c>
      <c r="R234" t="s">
        <v>20</v>
      </c>
      <c r="S234" t="str">
        <f t="shared" si="45"/>
        <v>Written Off</v>
      </c>
      <c r="T234" t="s">
        <v>25</v>
      </c>
      <c r="U234" s="3">
        <f t="shared" si="46"/>
        <v>8.603557515611894E-2</v>
      </c>
      <c r="V234" t="str">
        <f t="shared" si="47"/>
        <v>Healthy</v>
      </c>
      <c r="W234" t="str">
        <f t="shared" si="48"/>
        <v>High Risk</v>
      </c>
      <c r="X234" s="5" t="str">
        <f t="shared" si="49"/>
        <v>Medium</v>
      </c>
      <c r="Y234" s="5" t="str">
        <f t="shared" si="50"/>
        <v>Medium</v>
      </c>
      <c r="Z234" s="5" t="str">
        <f>IF(B234=120,"NULL",IF(AND(V234="High Stress", W234="High Risk", Y234="Low"),"High Risk : Reject", IF(AND(V234="Healthy", W234="Good",Y234&lt;&gt;"Low"), "Low Risk : Approve", "Medium Risk : Review")))</f>
        <v>Medium Risk : Review</v>
      </c>
      <c r="AA234" s="5" t="str">
        <f t="shared" si="51"/>
        <v>Medium</v>
      </c>
    </row>
    <row r="235" spans="1:27" x14ac:dyDescent="0.2">
      <c r="A235">
        <v>20560</v>
      </c>
      <c r="B235">
        <v>52</v>
      </c>
      <c r="C235">
        <f t="shared" si="39"/>
        <v>52</v>
      </c>
      <c r="D235" t="s">
        <v>26</v>
      </c>
      <c r="E235" t="str">
        <f t="shared" si="40"/>
        <v>Salaried</v>
      </c>
      <c r="F235">
        <v>-69.17</v>
      </c>
      <c r="G235">
        <f>ABS(Table1[[#This Row],[Monthly_Income]])</f>
        <v>69.17</v>
      </c>
      <c r="H235">
        <v>9545.59</v>
      </c>
      <c r="I235" s="5">
        <f t="shared" si="41"/>
        <v>9545.59</v>
      </c>
      <c r="J235">
        <v>60</v>
      </c>
      <c r="K235">
        <v>20.32</v>
      </c>
      <c r="L235">
        <v>4</v>
      </c>
      <c r="M235">
        <f t="shared" si="42"/>
        <v>4</v>
      </c>
      <c r="N235">
        <v>6.8</v>
      </c>
      <c r="O235">
        <f t="shared" si="43"/>
        <v>6.8</v>
      </c>
      <c r="P235">
        <v>0</v>
      </c>
      <c r="Q235">
        <f t="shared" si="44"/>
        <v>0</v>
      </c>
      <c r="R235" t="s">
        <v>15</v>
      </c>
      <c r="S235" t="str">
        <f t="shared" si="45"/>
        <v xml:space="preserve">Performing </v>
      </c>
      <c r="T235" t="s">
        <v>16</v>
      </c>
      <c r="U235" s="3">
        <f t="shared" si="46"/>
        <v>2.3000313237916248</v>
      </c>
      <c r="V235" t="str">
        <f t="shared" si="47"/>
        <v>High Stress</v>
      </c>
      <c r="W235" t="str">
        <f t="shared" si="48"/>
        <v>Good</v>
      </c>
      <c r="X235" s="5" t="str">
        <f t="shared" si="49"/>
        <v>Small</v>
      </c>
      <c r="Y235" s="5" t="str">
        <f t="shared" si="50"/>
        <v>High</v>
      </c>
      <c r="Z235" s="5" t="str">
        <f>IF(B235=120,"NULL",IF(AND(V235="High Stress", W235="High Risk", Y235="Low"),"High Risk : Reject", IF(AND(V235="Healthy", W235="Good",Y235&lt;&gt;"Low"), "Low Risk : Approve", "Medium Risk : Review")))</f>
        <v>Medium Risk : Review</v>
      </c>
      <c r="AA235" s="5" t="str">
        <f t="shared" si="51"/>
        <v>Low</v>
      </c>
    </row>
    <row r="236" spans="1:27" x14ac:dyDescent="0.2">
      <c r="A236">
        <v>25759</v>
      </c>
      <c r="B236">
        <v>62</v>
      </c>
      <c r="C236">
        <f t="shared" si="39"/>
        <v>62</v>
      </c>
      <c r="D236" t="s">
        <v>21</v>
      </c>
      <c r="E236" t="str">
        <f t="shared" si="40"/>
        <v>Salaried</v>
      </c>
      <c r="F236">
        <v>5503.63</v>
      </c>
      <c r="G236">
        <f>ABS(Table1[[#This Row],[Monthly_Income]])</f>
        <v>5503.63</v>
      </c>
      <c r="H236">
        <v>10984.54</v>
      </c>
      <c r="I236" s="5">
        <f t="shared" si="41"/>
        <v>10984.54</v>
      </c>
      <c r="J236">
        <v>48</v>
      </c>
      <c r="K236">
        <v>13.35</v>
      </c>
      <c r="L236">
        <v>4</v>
      </c>
      <c r="M236">
        <f t="shared" si="42"/>
        <v>4</v>
      </c>
      <c r="N236">
        <v>11.6</v>
      </c>
      <c r="O236">
        <f t="shared" si="43"/>
        <v>11.6</v>
      </c>
      <c r="P236">
        <v>30</v>
      </c>
      <c r="Q236">
        <f t="shared" si="44"/>
        <v>30</v>
      </c>
      <c r="R236" t="s">
        <v>20</v>
      </c>
      <c r="S236" t="str">
        <f t="shared" si="45"/>
        <v>Written Off</v>
      </c>
      <c r="T236" t="s">
        <v>22</v>
      </c>
      <c r="U236" s="3">
        <f t="shared" si="46"/>
        <v>4.1580662823142794E-2</v>
      </c>
      <c r="V236" t="str">
        <f t="shared" si="47"/>
        <v>Healthy</v>
      </c>
      <c r="W236" t="str">
        <f t="shared" si="48"/>
        <v>At Risk</v>
      </c>
      <c r="X236" s="5" t="str">
        <f t="shared" si="49"/>
        <v>Medium</v>
      </c>
      <c r="Y236" s="5" t="str">
        <f t="shared" si="50"/>
        <v>High</v>
      </c>
      <c r="Z236" s="5" t="str">
        <f>IF(B236=120,"NULL",IF(AND(V236="High Stress", W236="High Risk", Y236="Low"),"High Risk : Reject", IF(AND(V236="Healthy", W236="Good",Y236&lt;&gt;"Low"), "Low Risk : Approve", "Medium Risk : Review")))</f>
        <v>Medium Risk : Review</v>
      </c>
      <c r="AA236" s="5" t="str">
        <f t="shared" si="51"/>
        <v>Medium</v>
      </c>
    </row>
    <row r="237" spans="1:27" x14ac:dyDescent="0.2">
      <c r="A237">
        <v>20959</v>
      </c>
      <c r="B237">
        <v>120</v>
      </c>
      <c r="C237" t="str">
        <f t="shared" si="39"/>
        <v>NULL</v>
      </c>
      <c r="D237" t="s">
        <v>21</v>
      </c>
      <c r="E237" t="str">
        <f t="shared" si="40"/>
        <v>Salaried</v>
      </c>
      <c r="F237">
        <v>3941.27</v>
      </c>
      <c r="G237">
        <f>ABS(Table1[[#This Row],[Monthly_Income]])</f>
        <v>3941.27</v>
      </c>
      <c r="H237">
        <v>28455.759999999998</v>
      </c>
      <c r="I237" s="5">
        <f t="shared" si="41"/>
        <v>28455.759999999998</v>
      </c>
      <c r="J237">
        <v>12</v>
      </c>
      <c r="K237">
        <v>11.95</v>
      </c>
      <c r="L237">
        <v>4</v>
      </c>
      <c r="M237">
        <f t="shared" si="42"/>
        <v>4</v>
      </c>
      <c r="N237">
        <v>10.3</v>
      </c>
      <c r="O237">
        <f t="shared" si="43"/>
        <v>10.3</v>
      </c>
      <c r="P237">
        <v>120</v>
      </c>
      <c r="Q237">
        <f t="shared" si="44"/>
        <v>120</v>
      </c>
      <c r="R237" t="s">
        <v>20</v>
      </c>
      <c r="S237" t="str">
        <f t="shared" si="45"/>
        <v>Written Off</v>
      </c>
      <c r="T237" t="s">
        <v>16</v>
      </c>
      <c r="U237" s="3">
        <f t="shared" si="46"/>
        <v>0.601662239159797</v>
      </c>
      <c r="V237" t="str">
        <f t="shared" si="47"/>
        <v>High Stress</v>
      </c>
      <c r="W237" t="str">
        <f t="shared" si="48"/>
        <v>High Risk</v>
      </c>
      <c r="X237" s="5" t="str">
        <f t="shared" si="49"/>
        <v>Medium</v>
      </c>
      <c r="Y237" s="5" t="str">
        <f t="shared" si="50"/>
        <v>High</v>
      </c>
      <c r="Z237" s="5" t="str">
        <f>IF(B237=120,"NULL",IF(AND(V237="High Stress", W237="High Risk", Y237="Low"),"High Risk : Reject", IF(AND(V237="Healthy", W237="Good",Y237&lt;&gt;"Low"), "Low Risk : Approve", "Medium Risk : Review")))</f>
        <v>NULL</v>
      </c>
      <c r="AA237" s="5" t="str">
        <f t="shared" si="51"/>
        <v>Medium</v>
      </c>
    </row>
    <row r="238" spans="1:27" x14ac:dyDescent="0.2">
      <c r="A238">
        <v>24558</v>
      </c>
      <c r="B238">
        <v>51</v>
      </c>
      <c r="C238">
        <f t="shared" si="39"/>
        <v>51</v>
      </c>
      <c r="D238" t="s">
        <v>21</v>
      </c>
      <c r="E238" t="str">
        <f t="shared" si="40"/>
        <v>Salaried</v>
      </c>
      <c r="F238">
        <v>6335.14</v>
      </c>
      <c r="G238">
        <f>ABS(Table1[[#This Row],[Monthly_Income]])</f>
        <v>6335.14</v>
      </c>
      <c r="H238">
        <v>19550.64</v>
      </c>
      <c r="I238" s="5">
        <f t="shared" si="41"/>
        <v>19550.64</v>
      </c>
      <c r="J238">
        <v>18</v>
      </c>
      <c r="K238">
        <v>13.64</v>
      </c>
      <c r="L238">
        <v>0</v>
      </c>
      <c r="M238">
        <f t="shared" si="42"/>
        <v>0</v>
      </c>
      <c r="N238">
        <v>1.7</v>
      </c>
      <c r="O238">
        <f t="shared" si="43"/>
        <v>1.7</v>
      </c>
      <c r="P238">
        <v>120</v>
      </c>
      <c r="Q238">
        <f t="shared" si="44"/>
        <v>120</v>
      </c>
      <c r="R238" t="s">
        <v>24</v>
      </c>
      <c r="S238" t="str">
        <f t="shared" si="45"/>
        <v>Non-Performing</v>
      </c>
      <c r="T238" t="s">
        <v>19</v>
      </c>
      <c r="U238" s="3">
        <f t="shared" si="46"/>
        <v>0.17144793432610275</v>
      </c>
      <c r="V238" t="str">
        <f t="shared" si="47"/>
        <v>Healthy</v>
      </c>
      <c r="W238" t="str">
        <f t="shared" si="48"/>
        <v>High Risk</v>
      </c>
      <c r="X238" s="5" t="str">
        <f t="shared" si="49"/>
        <v>Medium</v>
      </c>
      <c r="Y238" s="5" t="str">
        <f t="shared" si="50"/>
        <v>High</v>
      </c>
      <c r="Z238" s="5" t="str">
        <f>IF(B238=120,"NULL",IF(AND(V238="High Stress", W238="High Risk", Y238="Low"),"High Risk : Reject", IF(AND(V238="Healthy", W238="Good",Y238&lt;&gt;"Low"), "Low Risk : Approve", "Medium Risk : Review")))</f>
        <v>Medium Risk : Review</v>
      </c>
      <c r="AA238" s="5" t="str">
        <f t="shared" si="51"/>
        <v>Medium</v>
      </c>
    </row>
    <row r="239" spans="1:27" x14ac:dyDescent="0.2">
      <c r="A239">
        <v>25226</v>
      </c>
      <c r="B239">
        <v>49</v>
      </c>
      <c r="C239">
        <f t="shared" si="39"/>
        <v>49</v>
      </c>
      <c r="D239" t="s">
        <v>23</v>
      </c>
      <c r="E239" t="str">
        <f t="shared" si="40"/>
        <v>Self-Employed</v>
      </c>
      <c r="F239">
        <v>6922.45</v>
      </c>
      <c r="G239">
        <f>ABS(Table1[[#This Row],[Monthly_Income]])</f>
        <v>6922.45</v>
      </c>
      <c r="H239">
        <v>21115.09</v>
      </c>
      <c r="I239" s="5">
        <f t="shared" si="41"/>
        <v>21115.09</v>
      </c>
      <c r="J239">
        <v>6</v>
      </c>
      <c r="K239">
        <v>22.93</v>
      </c>
      <c r="L239">
        <v>1</v>
      </c>
      <c r="M239">
        <f t="shared" si="42"/>
        <v>1</v>
      </c>
      <c r="N239">
        <v>6.5</v>
      </c>
      <c r="O239">
        <f t="shared" si="43"/>
        <v>6.5</v>
      </c>
      <c r="P239">
        <v>60</v>
      </c>
      <c r="Q239">
        <f t="shared" si="44"/>
        <v>60</v>
      </c>
      <c r="R239" t="s">
        <v>24</v>
      </c>
      <c r="S239" t="str">
        <f t="shared" si="45"/>
        <v>Non-Performing</v>
      </c>
      <c r="T239" t="s">
        <v>16</v>
      </c>
      <c r="U239" s="3">
        <f t="shared" si="46"/>
        <v>0.5083722766746841</v>
      </c>
      <c r="V239" t="str">
        <f t="shared" si="47"/>
        <v>High Stress</v>
      </c>
      <c r="W239" t="str">
        <f t="shared" si="48"/>
        <v>High Risk</v>
      </c>
      <c r="X239" s="5" t="str">
        <f t="shared" si="49"/>
        <v>Medium</v>
      </c>
      <c r="Y239" s="5" t="str">
        <f t="shared" si="50"/>
        <v>Medium</v>
      </c>
      <c r="Z239" s="5" t="str">
        <f>IF(B239=120,"NULL",IF(AND(V239="High Stress", W239="High Risk", Y239="Low"),"High Risk : Reject", IF(AND(V239="Healthy", W239="Good",Y239&lt;&gt;"Low"), "Low Risk : Approve", "Medium Risk : Review")))</f>
        <v>Medium Risk : Review</v>
      </c>
      <c r="AA239" s="5" t="str">
        <f t="shared" si="51"/>
        <v>Medium</v>
      </c>
    </row>
    <row r="240" spans="1:27" x14ac:dyDescent="0.2">
      <c r="A240">
        <v>21102</v>
      </c>
      <c r="B240">
        <v>25</v>
      </c>
      <c r="C240">
        <f t="shared" si="39"/>
        <v>25</v>
      </c>
      <c r="D240" t="s">
        <v>27</v>
      </c>
      <c r="E240" t="str">
        <f t="shared" si="40"/>
        <v>Unemployed</v>
      </c>
      <c r="F240">
        <v>3081.89</v>
      </c>
      <c r="G240">
        <f>ABS(Table1[[#This Row],[Monthly_Income]])</f>
        <v>3081.89</v>
      </c>
      <c r="H240">
        <v>38182.370000000003</v>
      </c>
      <c r="I240" s="5">
        <f t="shared" si="41"/>
        <v>38182.370000000003</v>
      </c>
      <c r="J240">
        <v>12</v>
      </c>
      <c r="K240">
        <v>17.690000000000001</v>
      </c>
      <c r="L240">
        <v>3</v>
      </c>
      <c r="M240">
        <f t="shared" si="42"/>
        <v>3</v>
      </c>
      <c r="N240">
        <v>9.6999999999999993</v>
      </c>
      <c r="O240">
        <f t="shared" si="43"/>
        <v>9.6999999999999993</v>
      </c>
      <c r="P240">
        <v>60</v>
      </c>
      <c r="Q240">
        <f t="shared" si="44"/>
        <v>60</v>
      </c>
      <c r="R240" t="s">
        <v>15</v>
      </c>
      <c r="S240" t="str">
        <f t="shared" si="45"/>
        <v xml:space="preserve">Performing </v>
      </c>
      <c r="T240" t="s">
        <v>19</v>
      </c>
      <c r="U240" s="3">
        <f t="shared" si="46"/>
        <v>1.0324392391249093</v>
      </c>
      <c r="V240" t="str">
        <f t="shared" si="47"/>
        <v>High Stress</v>
      </c>
      <c r="W240" t="str">
        <f t="shared" si="48"/>
        <v>High Risk</v>
      </c>
      <c r="X240" s="5" t="str">
        <f t="shared" si="49"/>
        <v>High</v>
      </c>
      <c r="Y240" s="5" t="str">
        <f t="shared" si="50"/>
        <v>Low</v>
      </c>
      <c r="Z240" s="5" t="str">
        <f>IF(B240=120,"NULL",IF(AND(V240="High Stress", W240="High Risk", Y240="Low"),"High Risk : Reject", IF(AND(V240="Healthy", W240="Good",Y240&lt;&gt;"Low"), "Low Risk : Approve", "Medium Risk : Review")))</f>
        <v>High Risk : Reject</v>
      </c>
      <c r="AA240" s="5" t="str">
        <f t="shared" si="51"/>
        <v>Medium</v>
      </c>
    </row>
    <row r="241" spans="1:27" x14ac:dyDescent="0.2">
      <c r="A241">
        <v>23609</v>
      </c>
      <c r="B241">
        <v>56</v>
      </c>
      <c r="C241">
        <f t="shared" si="39"/>
        <v>56</v>
      </c>
      <c r="D241" t="s">
        <v>23</v>
      </c>
      <c r="E241" t="str">
        <f t="shared" si="40"/>
        <v>Self-Employed</v>
      </c>
      <c r="F241">
        <v>-556.48</v>
      </c>
      <c r="G241">
        <f>ABS(Table1[[#This Row],[Monthly_Income]])</f>
        <v>556.48</v>
      </c>
      <c r="H241">
        <v>32606.11</v>
      </c>
      <c r="I241" s="5">
        <f t="shared" si="41"/>
        <v>32606.11</v>
      </c>
      <c r="J241">
        <v>24</v>
      </c>
      <c r="K241">
        <v>25.56</v>
      </c>
      <c r="L241">
        <v>3</v>
      </c>
      <c r="M241">
        <f t="shared" si="42"/>
        <v>3</v>
      </c>
      <c r="N241">
        <v>8.3000000000000007</v>
      </c>
      <c r="O241">
        <f t="shared" si="43"/>
        <v>8.3000000000000007</v>
      </c>
      <c r="P241">
        <v>15</v>
      </c>
      <c r="Q241">
        <f t="shared" si="44"/>
        <v>15</v>
      </c>
      <c r="R241" t="s">
        <v>18</v>
      </c>
      <c r="S241" t="str">
        <f t="shared" si="45"/>
        <v>Non-Performing</v>
      </c>
      <c r="T241" t="s">
        <v>14</v>
      </c>
      <c r="U241" s="3">
        <f t="shared" si="46"/>
        <v>2.4413957674429749</v>
      </c>
      <c r="V241" t="str">
        <f t="shared" si="47"/>
        <v>High Stress</v>
      </c>
      <c r="W241" t="str">
        <f t="shared" si="48"/>
        <v>Good</v>
      </c>
      <c r="X241" s="5" t="str">
        <f t="shared" si="49"/>
        <v>High</v>
      </c>
      <c r="Y241" s="5" t="str">
        <f t="shared" si="50"/>
        <v>Medium</v>
      </c>
      <c r="Z241" s="5" t="str">
        <f>IF(B241=120,"NULL",IF(AND(V241="High Stress", W241="High Risk", Y241="Low"),"High Risk : Reject", IF(AND(V241="Healthy", W241="Good",Y241&lt;&gt;"Low"), "Low Risk : Approve", "Medium Risk : Review")))</f>
        <v>Medium Risk : Review</v>
      </c>
      <c r="AA241" s="5" t="str">
        <f t="shared" si="51"/>
        <v>Low</v>
      </c>
    </row>
    <row r="242" spans="1:27" x14ac:dyDescent="0.2">
      <c r="A242">
        <v>21092</v>
      </c>
      <c r="B242">
        <v>48</v>
      </c>
      <c r="C242">
        <f t="shared" si="39"/>
        <v>48</v>
      </c>
      <c r="D242" t="s">
        <v>21</v>
      </c>
      <c r="E242" t="str">
        <f t="shared" si="40"/>
        <v>Salaried</v>
      </c>
      <c r="F242">
        <v>5605.05</v>
      </c>
      <c r="G242">
        <f>ABS(Table1[[#This Row],[Monthly_Income]])</f>
        <v>5605.05</v>
      </c>
      <c r="H242">
        <v>24991.02</v>
      </c>
      <c r="I242" s="5">
        <f t="shared" si="41"/>
        <v>24991.02</v>
      </c>
      <c r="J242">
        <v>24</v>
      </c>
      <c r="K242">
        <v>16.989999999999998</v>
      </c>
      <c r="L242">
        <v>3</v>
      </c>
      <c r="M242">
        <f t="shared" si="42"/>
        <v>3</v>
      </c>
      <c r="N242">
        <v>11.1</v>
      </c>
      <c r="O242">
        <f t="shared" si="43"/>
        <v>11.1</v>
      </c>
      <c r="P242">
        <v>60</v>
      </c>
      <c r="Q242">
        <f t="shared" si="44"/>
        <v>60</v>
      </c>
      <c r="R242" t="s">
        <v>13</v>
      </c>
      <c r="S242" t="str">
        <f t="shared" si="45"/>
        <v>Performing</v>
      </c>
      <c r="T242" t="s">
        <v>14</v>
      </c>
      <c r="U242" s="3">
        <f t="shared" si="46"/>
        <v>0.18577755773811117</v>
      </c>
      <c r="V242" t="str">
        <f t="shared" si="47"/>
        <v>Healthy</v>
      </c>
      <c r="W242" t="str">
        <f t="shared" si="48"/>
        <v>High Risk</v>
      </c>
      <c r="X242" s="5" t="str">
        <f t="shared" si="49"/>
        <v>Medium</v>
      </c>
      <c r="Y242" s="5" t="str">
        <f t="shared" si="50"/>
        <v>High</v>
      </c>
      <c r="Z242" s="5" t="str">
        <f>IF(B242=120,"NULL",IF(AND(V242="High Stress", W242="High Risk", Y242="Low"),"High Risk : Reject", IF(AND(V242="Healthy", W242="Good",Y242&lt;&gt;"Low"), "Low Risk : Approve", "Medium Risk : Review")))</f>
        <v>Medium Risk : Review</v>
      </c>
      <c r="AA242" s="5" t="str">
        <f t="shared" si="51"/>
        <v>Medium</v>
      </c>
    </row>
    <row r="243" spans="1:27" x14ac:dyDescent="0.2">
      <c r="A243">
        <v>25537</v>
      </c>
      <c r="B243">
        <v>57</v>
      </c>
      <c r="C243">
        <f t="shared" si="39"/>
        <v>57</v>
      </c>
      <c r="D243" t="s">
        <v>26</v>
      </c>
      <c r="E243" t="str">
        <f t="shared" si="40"/>
        <v>Salaried</v>
      </c>
      <c r="F243">
        <v>4646.3500000000004</v>
      </c>
      <c r="G243">
        <f>ABS(Table1[[#This Row],[Monthly_Income]])</f>
        <v>4646.3500000000004</v>
      </c>
      <c r="H243">
        <v>24378.14</v>
      </c>
      <c r="I243" s="5">
        <f t="shared" si="41"/>
        <v>24378.14</v>
      </c>
      <c r="J243">
        <v>24</v>
      </c>
      <c r="K243">
        <v>11.49</v>
      </c>
      <c r="L243">
        <v>3</v>
      </c>
      <c r="M243">
        <f t="shared" si="42"/>
        <v>3</v>
      </c>
      <c r="O243" t="str">
        <f t="shared" si="43"/>
        <v>NULL</v>
      </c>
      <c r="Q243" t="str">
        <f t="shared" si="44"/>
        <v>NULL</v>
      </c>
      <c r="R243" t="s">
        <v>20</v>
      </c>
      <c r="S243" t="str">
        <f t="shared" si="45"/>
        <v>Written Off</v>
      </c>
      <c r="T243" t="s">
        <v>14</v>
      </c>
      <c r="U243" s="3">
        <f t="shared" si="46"/>
        <v>0.2186137147079607</v>
      </c>
      <c r="V243" t="str">
        <f t="shared" si="47"/>
        <v>Healthy</v>
      </c>
      <c r="W243" t="str">
        <f t="shared" si="48"/>
        <v>NULL</v>
      </c>
      <c r="X243" s="5" t="str">
        <f t="shared" si="49"/>
        <v>Medium</v>
      </c>
      <c r="Y243" s="5" t="str">
        <f t="shared" si="50"/>
        <v>High</v>
      </c>
      <c r="Z243" s="5" t="str">
        <f>IF(B243=120,"NULL",IF(AND(V243="High Stress", W243="High Risk", Y243="Low"),"High Risk : Reject", IF(AND(V243="Healthy", W243="Good",Y243&lt;&gt;"Low"), "Low Risk : Approve", "Medium Risk : Review")))</f>
        <v>Medium Risk : Review</v>
      </c>
      <c r="AA243" s="5" t="str">
        <f t="shared" si="51"/>
        <v>Medium</v>
      </c>
    </row>
    <row r="244" spans="1:27" x14ac:dyDescent="0.2">
      <c r="A244">
        <v>24428</v>
      </c>
      <c r="B244">
        <v>60</v>
      </c>
      <c r="C244">
        <f t="shared" si="39"/>
        <v>60</v>
      </c>
      <c r="D244" t="s">
        <v>21</v>
      </c>
      <c r="E244" t="str">
        <f t="shared" si="40"/>
        <v>Salaried</v>
      </c>
      <c r="F244">
        <v>3129.54</v>
      </c>
      <c r="G244">
        <f>ABS(Table1[[#This Row],[Monthly_Income]])</f>
        <v>3129.54</v>
      </c>
      <c r="H244">
        <v>26942.799999999999</v>
      </c>
      <c r="I244" s="5">
        <f t="shared" si="41"/>
        <v>26942.799999999999</v>
      </c>
      <c r="J244">
        <v>48</v>
      </c>
      <c r="K244">
        <v>25.67</v>
      </c>
      <c r="L244">
        <v>0</v>
      </c>
      <c r="M244">
        <f t="shared" si="42"/>
        <v>0</v>
      </c>
      <c r="N244">
        <v>6.6</v>
      </c>
      <c r="O244">
        <f t="shared" si="43"/>
        <v>6.6</v>
      </c>
      <c r="P244">
        <v>60</v>
      </c>
      <c r="Q244">
        <f t="shared" si="44"/>
        <v>60</v>
      </c>
      <c r="R244" t="s">
        <v>24</v>
      </c>
      <c r="S244" t="str">
        <f t="shared" si="45"/>
        <v>Non-Performing</v>
      </c>
      <c r="T244" t="s">
        <v>22</v>
      </c>
      <c r="U244" s="3">
        <f t="shared" si="46"/>
        <v>0.17935809522592247</v>
      </c>
      <c r="V244" t="str">
        <f t="shared" si="47"/>
        <v>Healthy</v>
      </c>
      <c r="W244" t="str">
        <f t="shared" si="48"/>
        <v>High Risk</v>
      </c>
      <c r="X244" s="5" t="str">
        <f t="shared" si="49"/>
        <v>Medium</v>
      </c>
      <c r="Y244" s="5" t="str">
        <f t="shared" si="50"/>
        <v>High</v>
      </c>
      <c r="Z244" s="5" t="str">
        <f>IF(B244=120,"NULL",IF(AND(V244="High Stress", W244="High Risk", Y244="Low"),"High Risk : Reject", IF(AND(V244="Healthy", W244="Good",Y244&lt;&gt;"Low"), "Low Risk : Approve", "Medium Risk : Review")))</f>
        <v>Medium Risk : Review</v>
      </c>
      <c r="AA244" s="5" t="str">
        <f t="shared" si="51"/>
        <v>Medium</v>
      </c>
    </row>
    <row r="245" spans="1:27" x14ac:dyDescent="0.2">
      <c r="A245">
        <v>24327</v>
      </c>
      <c r="B245">
        <v>47</v>
      </c>
      <c r="C245">
        <f t="shared" si="39"/>
        <v>47</v>
      </c>
      <c r="D245" t="s">
        <v>27</v>
      </c>
      <c r="E245" t="str">
        <f t="shared" si="40"/>
        <v>Unemployed</v>
      </c>
      <c r="F245">
        <v>5541.4</v>
      </c>
      <c r="G245">
        <f>ABS(Table1[[#This Row],[Monthly_Income]])</f>
        <v>5541.4</v>
      </c>
      <c r="H245">
        <v>-1037.04</v>
      </c>
      <c r="I245" s="5">
        <f t="shared" si="41"/>
        <v>1037.04</v>
      </c>
      <c r="J245">
        <v>60</v>
      </c>
      <c r="K245">
        <v>21.28</v>
      </c>
      <c r="L245">
        <v>3</v>
      </c>
      <c r="M245">
        <f t="shared" si="42"/>
        <v>3</v>
      </c>
      <c r="N245">
        <v>3</v>
      </c>
      <c r="O245">
        <f t="shared" si="43"/>
        <v>3</v>
      </c>
      <c r="Q245" t="str">
        <f t="shared" si="44"/>
        <v>NULL</v>
      </c>
      <c r="R245" t="s">
        <v>18</v>
      </c>
      <c r="S245" t="str">
        <f t="shared" si="45"/>
        <v>Non-Performing</v>
      </c>
      <c r="T245" t="s">
        <v>22</v>
      </c>
      <c r="U245" s="3">
        <f t="shared" si="46"/>
        <v>3.1190673836936512E-3</v>
      </c>
      <c r="V245" t="str">
        <f t="shared" si="47"/>
        <v>Healthy</v>
      </c>
      <c r="W245" t="str">
        <f t="shared" si="48"/>
        <v>NULL</v>
      </c>
      <c r="X245" s="5" t="str">
        <f t="shared" si="49"/>
        <v>Small</v>
      </c>
      <c r="Y245" s="5" t="str">
        <f t="shared" si="50"/>
        <v>Low</v>
      </c>
      <c r="Z245" s="5" t="str">
        <f>IF(B245=120,"NULL",IF(AND(V245="High Stress", W245="High Risk", Y245="Low"),"High Risk : Reject", IF(AND(V245="Healthy", W245="Good",Y245&lt;&gt;"Low"), "Low Risk : Approve", "Medium Risk : Review")))</f>
        <v>Medium Risk : Review</v>
      </c>
      <c r="AA245" s="5" t="str">
        <f t="shared" si="51"/>
        <v>Medium</v>
      </c>
    </row>
    <row r="246" spans="1:27" x14ac:dyDescent="0.2">
      <c r="A246">
        <v>24704</v>
      </c>
      <c r="B246">
        <v>30</v>
      </c>
      <c r="C246">
        <f t="shared" si="39"/>
        <v>30</v>
      </c>
      <c r="D246" t="s">
        <v>23</v>
      </c>
      <c r="E246" t="str">
        <f t="shared" si="40"/>
        <v>Self-Employed</v>
      </c>
      <c r="F246">
        <v>1557.87</v>
      </c>
      <c r="G246">
        <f>ABS(Table1[[#This Row],[Monthly_Income]])</f>
        <v>1557.87</v>
      </c>
      <c r="H246">
        <v>25219.46</v>
      </c>
      <c r="I246" s="5">
        <f t="shared" si="41"/>
        <v>25219.46</v>
      </c>
      <c r="J246">
        <v>18</v>
      </c>
      <c r="K246">
        <v>24.09</v>
      </c>
      <c r="L246">
        <v>2</v>
      </c>
      <c r="M246">
        <f t="shared" si="42"/>
        <v>2</v>
      </c>
      <c r="N246">
        <v>8.3000000000000007</v>
      </c>
      <c r="O246">
        <f t="shared" si="43"/>
        <v>8.3000000000000007</v>
      </c>
      <c r="P246">
        <v>90</v>
      </c>
      <c r="Q246">
        <f t="shared" si="44"/>
        <v>90</v>
      </c>
      <c r="R246" t="s">
        <v>15</v>
      </c>
      <c r="S246" t="str">
        <f t="shared" si="45"/>
        <v xml:space="preserve">Performing </v>
      </c>
      <c r="T246" t="s">
        <v>16</v>
      </c>
      <c r="U246" s="3">
        <f t="shared" si="46"/>
        <v>0.89935688543402936</v>
      </c>
      <c r="V246" t="str">
        <f t="shared" si="47"/>
        <v>High Stress</v>
      </c>
      <c r="W246" t="str">
        <f t="shared" si="48"/>
        <v>High Risk</v>
      </c>
      <c r="X246" s="5" t="str">
        <f t="shared" si="49"/>
        <v>Medium</v>
      </c>
      <c r="Y246" s="5" t="str">
        <f t="shared" si="50"/>
        <v>Medium</v>
      </c>
      <c r="Z246" s="5" t="str">
        <f>IF(B246=120,"NULL",IF(AND(V246="High Stress", W246="High Risk", Y246="Low"),"High Risk : Reject", IF(AND(V246="Healthy", W246="Good",Y246&lt;&gt;"Low"), "Low Risk : Approve", "Medium Risk : Review")))</f>
        <v>Medium Risk : Review</v>
      </c>
      <c r="AA246" s="5" t="str">
        <f t="shared" si="51"/>
        <v>Low</v>
      </c>
    </row>
    <row r="247" spans="1:27" x14ac:dyDescent="0.2">
      <c r="A247">
        <v>20764</v>
      </c>
      <c r="B247">
        <v>47</v>
      </c>
      <c r="C247">
        <f t="shared" si="39"/>
        <v>47</v>
      </c>
      <c r="D247" t="s">
        <v>27</v>
      </c>
      <c r="E247" t="str">
        <f t="shared" si="40"/>
        <v>Unemployed</v>
      </c>
      <c r="F247">
        <v>5461.9</v>
      </c>
      <c r="G247">
        <f>ABS(Table1[[#This Row],[Monthly_Income]])</f>
        <v>5461.9</v>
      </c>
      <c r="H247">
        <v>30450.42</v>
      </c>
      <c r="I247" s="5">
        <f t="shared" si="41"/>
        <v>30450.42</v>
      </c>
      <c r="J247">
        <v>36</v>
      </c>
      <c r="K247">
        <v>11.23</v>
      </c>
      <c r="L247">
        <v>3</v>
      </c>
      <c r="M247">
        <f t="shared" si="42"/>
        <v>3</v>
      </c>
      <c r="N247">
        <v>7.7</v>
      </c>
      <c r="O247">
        <f t="shared" si="43"/>
        <v>7.7</v>
      </c>
      <c r="P247">
        <v>120</v>
      </c>
      <c r="Q247">
        <f t="shared" si="44"/>
        <v>120</v>
      </c>
      <c r="R247" t="s">
        <v>20</v>
      </c>
      <c r="S247" t="str">
        <f t="shared" si="45"/>
        <v>Written Off</v>
      </c>
      <c r="T247" t="s">
        <v>19</v>
      </c>
      <c r="U247" s="3">
        <f t="shared" si="46"/>
        <v>0.15486277668943041</v>
      </c>
      <c r="V247" t="str">
        <f t="shared" si="47"/>
        <v>Healthy</v>
      </c>
      <c r="W247" t="str">
        <f t="shared" si="48"/>
        <v>High Risk</v>
      </c>
      <c r="X247" s="5" t="str">
        <f t="shared" si="49"/>
        <v>High</v>
      </c>
      <c r="Y247" s="5" t="str">
        <f t="shared" si="50"/>
        <v>Low</v>
      </c>
      <c r="Z247" s="5" t="str">
        <f>IF(B247=120,"NULL",IF(AND(V247="High Stress", W247="High Risk", Y247="Low"),"High Risk : Reject", IF(AND(V247="Healthy", W247="Good",Y247&lt;&gt;"Low"), "Low Risk : Approve", "Medium Risk : Review")))</f>
        <v>Medium Risk : Review</v>
      </c>
      <c r="AA247" s="5" t="str">
        <f t="shared" si="51"/>
        <v>Medium</v>
      </c>
    </row>
    <row r="248" spans="1:27" x14ac:dyDescent="0.2">
      <c r="A248">
        <v>23646</v>
      </c>
      <c r="B248">
        <v>50</v>
      </c>
      <c r="C248">
        <f t="shared" si="39"/>
        <v>50</v>
      </c>
      <c r="D248" t="s">
        <v>21</v>
      </c>
      <c r="E248" t="str">
        <f t="shared" si="40"/>
        <v>Salaried</v>
      </c>
      <c r="F248">
        <v>7730.94</v>
      </c>
      <c r="G248">
        <f>ABS(Table1[[#This Row],[Monthly_Income]])</f>
        <v>7730.94</v>
      </c>
      <c r="H248">
        <v>11983.61</v>
      </c>
      <c r="I248" s="5">
        <f t="shared" si="41"/>
        <v>11983.61</v>
      </c>
      <c r="J248">
        <v>60</v>
      </c>
      <c r="K248">
        <v>22.9</v>
      </c>
      <c r="L248">
        <v>0</v>
      </c>
      <c r="M248">
        <f t="shared" si="42"/>
        <v>0</v>
      </c>
      <c r="N248">
        <v>6.6</v>
      </c>
      <c r="O248">
        <f t="shared" si="43"/>
        <v>6.6</v>
      </c>
      <c r="Q248" t="str">
        <f t="shared" si="44"/>
        <v>NULL</v>
      </c>
      <c r="R248" t="s">
        <v>13</v>
      </c>
      <c r="S248" t="str">
        <f t="shared" si="45"/>
        <v>Performing</v>
      </c>
      <c r="T248" t="s">
        <v>16</v>
      </c>
      <c r="U248" s="3">
        <f t="shared" si="46"/>
        <v>2.5834741096598002E-2</v>
      </c>
      <c r="V248" t="str">
        <f t="shared" si="47"/>
        <v>Healthy</v>
      </c>
      <c r="W248" t="str">
        <f t="shared" si="48"/>
        <v>NULL</v>
      </c>
      <c r="X248" s="5" t="str">
        <f t="shared" si="49"/>
        <v>Medium</v>
      </c>
      <c r="Y248" s="5" t="str">
        <f t="shared" si="50"/>
        <v>High</v>
      </c>
      <c r="Z248" s="5" t="str">
        <f>IF(B248=120,"NULL",IF(AND(V248="High Stress", W248="High Risk", Y248="Low"),"High Risk : Reject", IF(AND(V248="Healthy", W248="Good",Y248&lt;&gt;"Low"), "Low Risk : Approve", "Medium Risk : Review")))</f>
        <v>Medium Risk : Review</v>
      </c>
      <c r="AA248" s="5" t="str">
        <f t="shared" si="51"/>
        <v>Medium</v>
      </c>
    </row>
    <row r="249" spans="1:27" x14ac:dyDescent="0.2">
      <c r="A249">
        <v>23935</v>
      </c>
      <c r="B249">
        <v>63</v>
      </c>
      <c r="C249">
        <f t="shared" si="39"/>
        <v>63</v>
      </c>
      <c r="D249" t="s">
        <v>12</v>
      </c>
      <c r="E249" t="str">
        <f t="shared" si="40"/>
        <v>Self-Employed</v>
      </c>
      <c r="F249">
        <v>112.72</v>
      </c>
      <c r="G249">
        <f>ABS(Table1[[#This Row],[Monthly_Income]])</f>
        <v>112.72</v>
      </c>
      <c r="H249">
        <v>17695.52</v>
      </c>
      <c r="I249" s="5">
        <f t="shared" si="41"/>
        <v>17695.52</v>
      </c>
      <c r="J249">
        <v>48</v>
      </c>
      <c r="K249">
        <v>23.3</v>
      </c>
      <c r="L249">
        <v>3</v>
      </c>
      <c r="M249">
        <f t="shared" si="42"/>
        <v>3</v>
      </c>
      <c r="N249">
        <v>10.6</v>
      </c>
      <c r="O249">
        <f t="shared" si="43"/>
        <v>10.6</v>
      </c>
      <c r="P249">
        <v>0</v>
      </c>
      <c r="Q249">
        <f t="shared" si="44"/>
        <v>0</v>
      </c>
      <c r="R249" t="s">
        <v>15</v>
      </c>
      <c r="S249" t="str">
        <f t="shared" si="45"/>
        <v xml:space="preserve">Performing </v>
      </c>
      <c r="T249" t="s">
        <v>22</v>
      </c>
      <c r="U249" s="3">
        <f t="shared" si="46"/>
        <v>3.2705524012301872</v>
      </c>
      <c r="V249" t="str">
        <f t="shared" si="47"/>
        <v>High Stress</v>
      </c>
      <c r="W249" t="str">
        <f t="shared" si="48"/>
        <v>Good</v>
      </c>
      <c r="X249" s="5" t="str">
        <f t="shared" si="49"/>
        <v>Medium</v>
      </c>
      <c r="Y249" s="5" t="str">
        <f t="shared" si="50"/>
        <v>Medium</v>
      </c>
      <c r="Z249" s="5" t="str">
        <f>IF(B249=120,"NULL",IF(AND(V249="High Stress", W249="High Risk", Y249="Low"),"High Risk : Reject", IF(AND(V249="Healthy", W249="Good",Y249&lt;&gt;"Low"), "Low Risk : Approve", "Medium Risk : Review")))</f>
        <v>Medium Risk : Review</v>
      </c>
      <c r="AA249" s="5" t="str">
        <f t="shared" si="51"/>
        <v>Low</v>
      </c>
    </row>
    <row r="250" spans="1:27" x14ac:dyDescent="0.2">
      <c r="A250">
        <v>23949</v>
      </c>
      <c r="B250">
        <v>40</v>
      </c>
      <c r="C250">
        <f t="shared" si="39"/>
        <v>40</v>
      </c>
      <c r="D250" t="s">
        <v>23</v>
      </c>
      <c r="E250" t="str">
        <f t="shared" si="40"/>
        <v>Self-Employed</v>
      </c>
      <c r="F250">
        <v>-1389.32</v>
      </c>
      <c r="G250">
        <f>ABS(Table1[[#This Row],[Monthly_Income]])</f>
        <v>1389.32</v>
      </c>
      <c r="H250">
        <v>30314.01</v>
      </c>
      <c r="I250" s="5">
        <f t="shared" si="41"/>
        <v>30314.01</v>
      </c>
      <c r="J250">
        <v>18</v>
      </c>
      <c r="K250">
        <v>18.37</v>
      </c>
      <c r="L250">
        <v>4</v>
      </c>
      <c r="M250">
        <f t="shared" si="42"/>
        <v>4</v>
      </c>
      <c r="N250">
        <v>7</v>
      </c>
      <c r="O250">
        <f t="shared" si="43"/>
        <v>7</v>
      </c>
      <c r="P250">
        <v>30</v>
      </c>
      <c r="Q250">
        <f t="shared" si="44"/>
        <v>30</v>
      </c>
      <c r="R250" t="s">
        <v>24</v>
      </c>
      <c r="S250" t="str">
        <f t="shared" si="45"/>
        <v>Non-Performing</v>
      </c>
      <c r="T250" t="s">
        <v>14</v>
      </c>
      <c r="U250" s="3">
        <f t="shared" si="46"/>
        <v>1.2121841380435512</v>
      </c>
      <c r="V250" t="str">
        <f t="shared" si="47"/>
        <v>High Stress</v>
      </c>
      <c r="W250" t="str">
        <f t="shared" si="48"/>
        <v>At Risk</v>
      </c>
      <c r="X250" s="5" t="str">
        <f t="shared" si="49"/>
        <v>High</v>
      </c>
      <c r="Y250" s="5" t="str">
        <f t="shared" si="50"/>
        <v>Medium</v>
      </c>
      <c r="Z250" s="5" t="str">
        <f>IF(B250=120,"NULL",IF(AND(V250="High Stress", W250="High Risk", Y250="Low"),"High Risk : Reject", IF(AND(V250="Healthy", W250="Good",Y250&lt;&gt;"Low"), "Low Risk : Approve", "Medium Risk : Review")))</f>
        <v>Medium Risk : Review</v>
      </c>
      <c r="AA250" s="5" t="str">
        <f t="shared" si="51"/>
        <v>Low</v>
      </c>
    </row>
    <row r="251" spans="1:27" x14ac:dyDescent="0.2">
      <c r="A251">
        <v>22476</v>
      </c>
      <c r="B251">
        <v>25</v>
      </c>
      <c r="C251">
        <f t="shared" si="39"/>
        <v>25</v>
      </c>
      <c r="D251" t="s">
        <v>23</v>
      </c>
      <c r="E251" t="str">
        <f t="shared" si="40"/>
        <v>Self-Employed</v>
      </c>
      <c r="F251">
        <v>6937.88</v>
      </c>
      <c r="G251">
        <f>ABS(Table1[[#This Row],[Monthly_Income]])</f>
        <v>6937.88</v>
      </c>
      <c r="H251">
        <v>13692.67</v>
      </c>
      <c r="I251" s="5">
        <f t="shared" si="41"/>
        <v>13692.67</v>
      </c>
      <c r="J251">
        <v>60</v>
      </c>
      <c r="K251">
        <v>14.04</v>
      </c>
      <c r="L251">
        <v>3</v>
      </c>
      <c r="M251">
        <f t="shared" si="42"/>
        <v>3</v>
      </c>
      <c r="N251">
        <v>12.3</v>
      </c>
      <c r="O251">
        <f t="shared" si="43"/>
        <v>12.3</v>
      </c>
      <c r="P251">
        <v>120</v>
      </c>
      <c r="Q251">
        <f t="shared" si="44"/>
        <v>120</v>
      </c>
      <c r="R251" t="s">
        <v>13</v>
      </c>
      <c r="S251" t="str">
        <f t="shared" si="45"/>
        <v>Performing</v>
      </c>
      <c r="T251" t="s">
        <v>19</v>
      </c>
      <c r="U251" s="3">
        <f t="shared" si="46"/>
        <v>3.2893501569163298E-2</v>
      </c>
      <c r="V251" t="str">
        <f t="shared" si="47"/>
        <v>Healthy</v>
      </c>
      <c r="W251" t="str">
        <f t="shared" si="48"/>
        <v>High Risk</v>
      </c>
      <c r="X251" s="5" t="str">
        <f t="shared" si="49"/>
        <v>Medium</v>
      </c>
      <c r="Y251" s="5" t="str">
        <f t="shared" si="50"/>
        <v>Medium</v>
      </c>
      <c r="Z251" s="5" t="str">
        <f>IF(B251=120,"NULL",IF(AND(V251="High Stress", W251="High Risk", Y251="Low"),"High Risk : Reject", IF(AND(V251="Healthy", W251="Good",Y251&lt;&gt;"Low"), "Low Risk : Approve", "Medium Risk : Review")))</f>
        <v>Medium Risk : Review</v>
      </c>
      <c r="AA251" s="5" t="str">
        <f t="shared" si="51"/>
        <v>Medium</v>
      </c>
    </row>
    <row r="252" spans="1:27" x14ac:dyDescent="0.2">
      <c r="A252">
        <v>25709</v>
      </c>
      <c r="B252">
        <v>58</v>
      </c>
      <c r="C252">
        <f t="shared" si="39"/>
        <v>58</v>
      </c>
      <c r="D252" t="s">
        <v>12</v>
      </c>
      <c r="E252" t="str">
        <f t="shared" si="40"/>
        <v>Self-Employed</v>
      </c>
      <c r="F252">
        <v>4383.3100000000004</v>
      </c>
      <c r="G252">
        <f>ABS(Table1[[#This Row],[Monthly_Income]])</f>
        <v>4383.3100000000004</v>
      </c>
      <c r="H252">
        <v>19049.810000000001</v>
      </c>
      <c r="I252" s="5">
        <f t="shared" si="41"/>
        <v>19049.810000000001</v>
      </c>
      <c r="J252">
        <v>24</v>
      </c>
      <c r="K252">
        <v>20.89</v>
      </c>
      <c r="M252" t="str">
        <f t="shared" si="42"/>
        <v>NULL</v>
      </c>
      <c r="N252">
        <v>14.1</v>
      </c>
      <c r="O252">
        <f t="shared" si="43"/>
        <v>14.1</v>
      </c>
      <c r="P252">
        <v>60</v>
      </c>
      <c r="Q252">
        <f t="shared" si="44"/>
        <v>60</v>
      </c>
      <c r="R252" t="s">
        <v>18</v>
      </c>
      <c r="S252" t="str">
        <f t="shared" si="45"/>
        <v>Non-Performing</v>
      </c>
      <c r="T252" t="s">
        <v>25</v>
      </c>
      <c r="U252" s="3">
        <f t="shared" si="46"/>
        <v>0.18108280804536603</v>
      </c>
      <c r="V252" t="str">
        <f t="shared" si="47"/>
        <v>Healthy</v>
      </c>
      <c r="W252" t="str">
        <f t="shared" si="48"/>
        <v>High Risk</v>
      </c>
      <c r="X252" s="5" t="str">
        <f t="shared" si="49"/>
        <v>Medium</v>
      </c>
      <c r="Y252" s="5" t="str">
        <f t="shared" si="50"/>
        <v>Medium</v>
      </c>
      <c r="Z252" s="5" t="str">
        <f>IF(B252=120,"NULL",IF(AND(V252="High Stress", W252="High Risk", Y252="Low"),"High Risk : Reject", IF(AND(V252="Healthy", W252="Good",Y252&lt;&gt;"Low"), "Low Risk : Approve", "Medium Risk : Review")))</f>
        <v>Medium Risk : Review</v>
      </c>
      <c r="AA252" s="5" t="str">
        <f t="shared" si="51"/>
        <v>Medium</v>
      </c>
    </row>
    <row r="253" spans="1:27" x14ac:dyDescent="0.2">
      <c r="A253">
        <v>23473</v>
      </c>
      <c r="B253">
        <v>49</v>
      </c>
      <c r="C253">
        <f t="shared" si="39"/>
        <v>49</v>
      </c>
      <c r="D253" t="s">
        <v>21</v>
      </c>
      <c r="E253" t="str">
        <f t="shared" si="40"/>
        <v>Salaried</v>
      </c>
      <c r="F253">
        <v>6127.52</v>
      </c>
      <c r="G253">
        <f>ABS(Table1[[#This Row],[Monthly_Income]])</f>
        <v>6127.52</v>
      </c>
      <c r="H253">
        <v>28266.25</v>
      </c>
      <c r="I253" s="5">
        <f t="shared" si="41"/>
        <v>28266.25</v>
      </c>
      <c r="J253">
        <v>60</v>
      </c>
      <c r="K253">
        <v>18.16</v>
      </c>
      <c r="L253">
        <v>3</v>
      </c>
      <c r="M253">
        <f t="shared" si="42"/>
        <v>3</v>
      </c>
      <c r="N253">
        <v>10.199999999999999</v>
      </c>
      <c r="O253">
        <f t="shared" si="43"/>
        <v>10.199999999999999</v>
      </c>
      <c r="P253">
        <v>0</v>
      </c>
      <c r="Q253">
        <f t="shared" si="44"/>
        <v>0</v>
      </c>
      <c r="R253" t="s">
        <v>20</v>
      </c>
      <c r="S253" t="str">
        <f t="shared" si="45"/>
        <v>Written Off</v>
      </c>
      <c r="T253" t="s">
        <v>19</v>
      </c>
      <c r="U253" s="3">
        <f t="shared" si="46"/>
        <v>7.6883333986125985E-2</v>
      </c>
      <c r="V253" t="str">
        <f t="shared" si="47"/>
        <v>Healthy</v>
      </c>
      <c r="W253" t="str">
        <f t="shared" si="48"/>
        <v>Good</v>
      </c>
      <c r="X253" s="5" t="str">
        <f t="shared" si="49"/>
        <v>Medium</v>
      </c>
      <c r="Y253" s="5" t="str">
        <f t="shared" si="50"/>
        <v>High</v>
      </c>
      <c r="Z253" s="5" t="str">
        <f>IF(B253=120,"NULL",IF(AND(V253="High Stress", W253="High Risk", Y253="Low"),"High Risk : Reject", IF(AND(V253="Healthy", W253="Good",Y253&lt;&gt;"Low"), "Low Risk : Approve", "Medium Risk : Review")))</f>
        <v>Low Risk : Approve</v>
      </c>
      <c r="AA253" s="5" t="str">
        <f t="shared" si="51"/>
        <v>Medium</v>
      </c>
    </row>
    <row r="254" spans="1:27" x14ac:dyDescent="0.2">
      <c r="A254">
        <v>21659</v>
      </c>
      <c r="B254">
        <v>62</v>
      </c>
      <c r="C254">
        <f t="shared" si="39"/>
        <v>62</v>
      </c>
      <c r="D254" t="s">
        <v>23</v>
      </c>
      <c r="E254" t="str">
        <f t="shared" si="40"/>
        <v>Self-Employed</v>
      </c>
      <c r="F254">
        <v>3823.25</v>
      </c>
      <c r="G254">
        <f>ABS(Table1[[#This Row],[Monthly_Income]])</f>
        <v>3823.25</v>
      </c>
      <c r="H254">
        <v>25277.23</v>
      </c>
      <c r="I254" s="5">
        <f t="shared" si="41"/>
        <v>25277.23</v>
      </c>
      <c r="J254">
        <v>48</v>
      </c>
      <c r="K254">
        <v>17.16</v>
      </c>
      <c r="L254">
        <v>0</v>
      </c>
      <c r="M254">
        <f t="shared" si="42"/>
        <v>0</v>
      </c>
      <c r="N254">
        <v>11.7</v>
      </c>
      <c r="O254">
        <f t="shared" si="43"/>
        <v>11.7</v>
      </c>
      <c r="P254">
        <v>0</v>
      </c>
      <c r="Q254">
        <f t="shared" si="44"/>
        <v>0</v>
      </c>
      <c r="R254" t="s">
        <v>13</v>
      </c>
      <c r="S254" t="str">
        <f t="shared" si="45"/>
        <v>Performing</v>
      </c>
      <c r="T254" t="s">
        <v>22</v>
      </c>
      <c r="U254" s="3">
        <f t="shared" si="46"/>
        <v>0.1377385623051941</v>
      </c>
      <c r="V254" t="str">
        <f t="shared" si="47"/>
        <v>Healthy</v>
      </c>
      <c r="W254" t="str">
        <f t="shared" si="48"/>
        <v>Good</v>
      </c>
      <c r="X254" s="5" t="str">
        <f t="shared" si="49"/>
        <v>Medium</v>
      </c>
      <c r="Y254" s="5" t="str">
        <f t="shared" si="50"/>
        <v>Medium</v>
      </c>
      <c r="Z254" s="5" t="str">
        <f>IF(B254=120,"NULL",IF(AND(V254="High Stress", W254="High Risk", Y254="Low"),"High Risk : Reject", IF(AND(V254="Healthy", W254="Good",Y254&lt;&gt;"Low"), "Low Risk : Approve", "Medium Risk : Review")))</f>
        <v>Low Risk : Approve</v>
      </c>
      <c r="AA254" s="5" t="str">
        <f t="shared" si="51"/>
        <v>Medium</v>
      </c>
    </row>
    <row r="255" spans="1:27" x14ac:dyDescent="0.2">
      <c r="A255">
        <v>23483</v>
      </c>
      <c r="B255">
        <v>36</v>
      </c>
      <c r="C255">
        <f t="shared" si="39"/>
        <v>36</v>
      </c>
      <c r="D255" t="s">
        <v>23</v>
      </c>
      <c r="E255" t="str">
        <f t="shared" si="40"/>
        <v>Self-Employed</v>
      </c>
      <c r="F255">
        <v>5894.1</v>
      </c>
      <c r="G255">
        <f>ABS(Table1[[#This Row],[Monthly_Income]])</f>
        <v>5894.1</v>
      </c>
      <c r="H255">
        <v>28514.84</v>
      </c>
      <c r="I255" s="5">
        <f t="shared" si="41"/>
        <v>28514.84</v>
      </c>
      <c r="J255">
        <v>24</v>
      </c>
      <c r="K255">
        <v>23.28</v>
      </c>
      <c r="L255">
        <v>0</v>
      </c>
      <c r="M255">
        <f t="shared" si="42"/>
        <v>0</v>
      </c>
      <c r="N255">
        <v>6.6</v>
      </c>
      <c r="O255">
        <f t="shared" si="43"/>
        <v>6.6</v>
      </c>
      <c r="P255">
        <v>0</v>
      </c>
      <c r="Q255">
        <f t="shared" si="44"/>
        <v>0</v>
      </c>
      <c r="R255" t="s">
        <v>13</v>
      </c>
      <c r="S255" t="str">
        <f t="shared" si="45"/>
        <v>Performing</v>
      </c>
      <c r="T255" t="s">
        <v>16</v>
      </c>
      <c r="U255" s="3">
        <f t="shared" si="46"/>
        <v>0.20157756626683176</v>
      </c>
      <c r="V255" t="str">
        <f t="shared" si="47"/>
        <v>Healthy</v>
      </c>
      <c r="W255" t="str">
        <f t="shared" si="48"/>
        <v>Good</v>
      </c>
      <c r="X255" s="5" t="str">
        <f t="shared" si="49"/>
        <v>Medium</v>
      </c>
      <c r="Y255" s="5" t="str">
        <f t="shared" si="50"/>
        <v>Medium</v>
      </c>
      <c r="Z255" s="5" t="str">
        <f>IF(B255=120,"NULL",IF(AND(V255="High Stress", W255="High Risk", Y255="Low"),"High Risk : Reject", IF(AND(V255="Healthy", W255="Good",Y255&lt;&gt;"Low"), "Low Risk : Approve", "Medium Risk : Review")))</f>
        <v>Low Risk : Approve</v>
      </c>
      <c r="AA255" s="5" t="str">
        <f t="shared" si="51"/>
        <v>Medium</v>
      </c>
    </row>
    <row r="256" spans="1:27" x14ac:dyDescent="0.2">
      <c r="A256">
        <v>23938</v>
      </c>
      <c r="B256">
        <v>49</v>
      </c>
      <c r="C256">
        <f t="shared" si="39"/>
        <v>49</v>
      </c>
      <c r="D256" t="s">
        <v>23</v>
      </c>
      <c r="E256" t="str">
        <f t="shared" si="40"/>
        <v>Self-Employed</v>
      </c>
      <c r="F256">
        <v>1758.31</v>
      </c>
      <c r="G256">
        <f>ABS(Table1[[#This Row],[Monthly_Income]])</f>
        <v>1758.31</v>
      </c>
      <c r="H256">
        <v>11249</v>
      </c>
      <c r="I256" s="5">
        <f t="shared" si="41"/>
        <v>11249</v>
      </c>
      <c r="J256">
        <v>18</v>
      </c>
      <c r="K256">
        <v>21.08</v>
      </c>
      <c r="L256">
        <v>4</v>
      </c>
      <c r="M256">
        <f t="shared" si="42"/>
        <v>4</v>
      </c>
      <c r="N256">
        <v>7.1</v>
      </c>
      <c r="O256">
        <f t="shared" si="43"/>
        <v>7.1</v>
      </c>
      <c r="P256">
        <v>90</v>
      </c>
      <c r="Q256">
        <f t="shared" si="44"/>
        <v>90</v>
      </c>
      <c r="R256" t="s">
        <v>20</v>
      </c>
      <c r="S256" t="str">
        <f t="shared" si="45"/>
        <v>Written Off</v>
      </c>
      <c r="T256" t="s">
        <v>25</v>
      </c>
      <c r="U256" s="3">
        <f t="shared" si="46"/>
        <v>0.35542335790869894</v>
      </c>
      <c r="V256" t="str">
        <f t="shared" si="47"/>
        <v>Stretched</v>
      </c>
      <c r="W256" t="str">
        <f t="shared" si="48"/>
        <v>High Risk</v>
      </c>
      <c r="X256" s="5" t="str">
        <f t="shared" si="49"/>
        <v>Medium</v>
      </c>
      <c r="Y256" s="5" t="str">
        <f t="shared" si="50"/>
        <v>Medium</v>
      </c>
      <c r="Z256" s="5" t="str">
        <f>IF(B256=120,"NULL",IF(AND(V256="High Stress", W256="High Risk", Y256="Low"),"High Risk : Reject", IF(AND(V256="Healthy", W256="Good",Y256&lt;&gt;"Low"), "Low Risk : Approve", "Medium Risk : Review")))</f>
        <v>Medium Risk : Review</v>
      </c>
      <c r="AA256" s="5" t="str">
        <f t="shared" si="51"/>
        <v>Low</v>
      </c>
    </row>
    <row r="257" spans="1:27" x14ac:dyDescent="0.2">
      <c r="A257">
        <v>20521</v>
      </c>
      <c r="B257">
        <v>36</v>
      </c>
      <c r="C257">
        <f t="shared" si="39"/>
        <v>36</v>
      </c>
      <c r="D257" t="s">
        <v>26</v>
      </c>
      <c r="E257" t="str">
        <f t="shared" si="40"/>
        <v>Salaried</v>
      </c>
      <c r="F257">
        <v>2490.16</v>
      </c>
      <c r="G257">
        <f>ABS(Table1[[#This Row],[Monthly_Income]])</f>
        <v>2490.16</v>
      </c>
      <c r="H257">
        <v>11755.75</v>
      </c>
      <c r="I257" s="5">
        <f t="shared" si="41"/>
        <v>11755.75</v>
      </c>
      <c r="J257">
        <v>60</v>
      </c>
      <c r="K257">
        <v>21.94</v>
      </c>
      <c r="L257">
        <v>4</v>
      </c>
      <c r="M257">
        <f t="shared" si="42"/>
        <v>4</v>
      </c>
      <c r="N257">
        <v>5.9</v>
      </c>
      <c r="O257">
        <f t="shared" si="43"/>
        <v>5.9</v>
      </c>
      <c r="P257">
        <v>30</v>
      </c>
      <c r="Q257">
        <f t="shared" si="44"/>
        <v>30</v>
      </c>
      <c r="R257" t="s">
        <v>24</v>
      </c>
      <c r="S257" t="str">
        <f t="shared" si="45"/>
        <v>Non-Performing</v>
      </c>
      <c r="T257" t="s">
        <v>19</v>
      </c>
      <c r="U257" s="3">
        <f t="shared" si="46"/>
        <v>7.8681356485794773E-2</v>
      </c>
      <c r="V257" t="str">
        <f t="shared" si="47"/>
        <v>Healthy</v>
      </c>
      <c r="W257" t="str">
        <f t="shared" si="48"/>
        <v>At Risk</v>
      </c>
      <c r="X257" s="5" t="str">
        <f t="shared" si="49"/>
        <v>Medium</v>
      </c>
      <c r="Y257" s="5" t="str">
        <f t="shared" si="50"/>
        <v>High</v>
      </c>
      <c r="Z257" s="5" t="str">
        <f>IF(B257=120,"NULL",IF(AND(V257="High Stress", W257="High Risk", Y257="Low"),"High Risk : Reject", IF(AND(V257="Healthy", W257="Good",Y257&lt;&gt;"Low"), "Low Risk : Approve", "Medium Risk : Review")))</f>
        <v>Medium Risk : Review</v>
      </c>
      <c r="AA257" s="5" t="str">
        <f t="shared" si="51"/>
        <v>Medium</v>
      </c>
    </row>
    <row r="258" spans="1:27" x14ac:dyDescent="0.2">
      <c r="A258">
        <v>21717</v>
      </c>
      <c r="B258">
        <v>120</v>
      </c>
      <c r="C258" t="str">
        <f t="shared" ref="C258:C321" si="52">IF(B258=120,"NULL",B258)</f>
        <v>NULL</v>
      </c>
      <c r="D258" t="s">
        <v>17</v>
      </c>
      <c r="E258" t="str">
        <f t="shared" ref="E258:E321" si="53">TRIM(IF(D258="Self employed","Self-Employed",D258))</f>
        <v>Contract</v>
      </c>
      <c r="F258">
        <v>2155.44</v>
      </c>
      <c r="G258">
        <f>ABS(Table1[[#This Row],[Monthly_Income]])</f>
        <v>2155.44</v>
      </c>
      <c r="H258">
        <v>17684.3</v>
      </c>
      <c r="I258" s="5">
        <f t="shared" ref="I258:I321" si="54">IF(H258="","NULL",ABS(H258))</f>
        <v>17684.3</v>
      </c>
      <c r="J258">
        <v>36</v>
      </c>
      <c r="K258">
        <v>18.07</v>
      </c>
      <c r="M258" t="str">
        <f t="shared" ref="M258:M321" si="55">IF(L258="","NULL",L258)</f>
        <v>NULL</v>
      </c>
      <c r="N258">
        <v>-1.2</v>
      </c>
      <c r="O258">
        <f t="shared" ref="O258:O321" si="56">IF(N258="","NULL",ABS(N258))</f>
        <v>1.2</v>
      </c>
      <c r="P258">
        <v>60</v>
      </c>
      <c r="Q258">
        <f t="shared" ref="Q258:Q321" si="57">IF(P258="","NULL",P258)</f>
        <v>60</v>
      </c>
      <c r="R258" t="s">
        <v>13</v>
      </c>
      <c r="S258" t="str">
        <f t="shared" ref="S258:S321" si="58">IF(R258="Non performing","Non-Performing",R258)</f>
        <v>Performing</v>
      </c>
      <c r="T258" t="s">
        <v>22</v>
      </c>
      <c r="U258" s="3">
        <f t="shared" ref="U258:U321" si="59">IFERROR(I258/(G258*J258),"NULL")</f>
        <v>0.22790268138085754</v>
      </c>
      <c r="V258" t="str">
        <f t="shared" ref="V258:V321" si="60">IF(U258="NULL","NULL",IF(U258&lt;=0.3,"Healthy",IF(U258&lt;=0.45,"Stretched","High Stress")))</f>
        <v>Healthy</v>
      </c>
      <c r="W258" t="str">
        <f t="shared" ref="W258:W321" si="61">IF(Q258="NULL","NULL",IF(Q258&lt;30,"Good",IF(Q258&lt;60,"At Risk","High Risk")))</f>
        <v>High Risk</v>
      </c>
      <c r="X258" s="5" t="str">
        <f t="shared" ref="X258:X321" si="62">IF(I258&lt;10000,"Small",IF(I258&lt;=30000,"Medium","High"))</f>
        <v>Medium</v>
      </c>
      <c r="Y258" s="5" t="str">
        <f t="shared" ref="Y258:Y321" si="63">IF(E258="Salaried","High",IF(E258="Self-Employed","Medium","Low"))</f>
        <v>Low</v>
      </c>
      <c r="Z258" s="5" t="str">
        <f>IF(B258=120,"NULL",IF(AND(V258="High Stress", W258="High Risk", Y258="Low"),"High Risk : Reject", IF(AND(V258="Healthy", W258="Good",Y258&lt;&gt;"Low"), "Low Risk : Approve", "Medium Risk : Review")))</f>
        <v>NULL</v>
      </c>
      <c r="AA258" s="5" t="str">
        <f t="shared" ref="AA258:AA321" si="64">IF(G258="NULL","NULL",IF(G258&gt;8000,"High",IF(G258&gt;2000,"Medium","Low")))</f>
        <v>Medium</v>
      </c>
    </row>
    <row r="259" spans="1:27" x14ac:dyDescent="0.2">
      <c r="A259">
        <v>21631</v>
      </c>
      <c r="B259">
        <v>45</v>
      </c>
      <c r="C259">
        <f t="shared" si="52"/>
        <v>45</v>
      </c>
      <c r="D259" t="s">
        <v>21</v>
      </c>
      <c r="E259" t="str">
        <f t="shared" si="53"/>
        <v>Salaried</v>
      </c>
      <c r="F259">
        <v>4845.33</v>
      </c>
      <c r="G259">
        <f>ABS(Table1[[#This Row],[Monthly_Income]])</f>
        <v>4845.33</v>
      </c>
      <c r="H259">
        <v>22174.76</v>
      </c>
      <c r="I259" s="5">
        <f t="shared" si="54"/>
        <v>22174.76</v>
      </c>
      <c r="J259">
        <v>36</v>
      </c>
      <c r="K259">
        <v>17.54</v>
      </c>
      <c r="M259" t="str">
        <f t="shared" si="55"/>
        <v>NULL</v>
      </c>
      <c r="N259">
        <v>-0.9</v>
      </c>
      <c r="O259">
        <f t="shared" si="56"/>
        <v>0.9</v>
      </c>
      <c r="P259">
        <v>90</v>
      </c>
      <c r="Q259">
        <f t="shared" si="57"/>
        <v>90</v>
      </c>
      <c r="R259" t="s">
        <v>13</v>
      </c>
      <c r="S259" t="str">
        <f t="shared" si="58"/>
        <v>Performing</v>
      </c>
      <c r="T259" t="s">
        <v>25</v>
      </c>
      <c r="U259" s="3">
        <f t="shared" si="59"/>
        <v>0.12712561488186677</v>
      </c>
      <c r="V259" t="str">
        <f t="shared" si="60"/>
        <v>Healthy</v>
      </c>
      <c r="W259" t="str">
        <f t="shared" si="61"/>
        <v>High Risk</v>
      </c>
      <c r="X259" s="5" t="str">
        <f t="shared" si="62"/>
        <v>Medium</v>
      </c>
      <c r="Y259" s="5" t="str">
        <f t="shared" si="63"/>
        <v>High</v>
      </c>
      <c r="Z259" s="5" t="str">
        <f>IF(B259=120,"NULL",IF(AND(V259="High Stress", W259="High Risk", Y259="Low"),"High Risk : Reject", IF(AND(V259="Healthy", W259="Good",Y259&lt;&gt;"Low"), "Low Risk : Approve", "Medium Risk : Review")))</f>
        <v>Medium Risk : Review</v>
      </c>
      <c r="AA259" s="5" t="str">
        <f t="shared" si="64"/>
        <v>Medium</v>
      </c>
    </row>
    <row r="260" spans="1:27" x14ac:dyDescent="0.2">
      <c r="A260">
        <v>21744</v>
      </c>
      <c r="B260">
        <v>50</v>
      </c>
      <c r="C260">
        <f t="shared" si="52"/>
        <v>50</v>
      </c>
      <c r="D260" t="s">
        <v>12</v>
      </c>
      <c r="E260" t="str">
        <f t="shared" si="53"/>
        <v>Self-Employed</v>
      </c>
      <c r="F260">
        <v>3385.02</v>
      </c>
      <c r="G260">
        <f>ABS(Table1[[#This Row],[Monthly_Income]])</f>
        <v>3385.02</v>
      </c>
      <c r="H260">
        <v>5290.47</v>
      </c>
      <c r="I260" s="5">
        <f t="shared" si="54"/>
        <v>5290.47</v>
      </c>
      <c r="J260">
        <v>6</v>
      </c>
      <c r="K260">
        <v>16.829999999999998</v>
      </c>
      <c r="L260">
        <v>2</v>
      </c>
      <c r="M260">
        <f t="shared" si="55"/>
        <v>2</v>
      </c>
      <c r="N260">
        <v>1.4</v>
      </c>
      <c r="O260">
        <f t="shared" si="56"/>
        <v>1.4</v>
      </c>
      <c r="P260">
        <v>15</v>
      </c>
      <c r="Q260">
        <f t="shared" si="57"/>
        <v>15</v>
      </c>
      <c r="R260" t="s">
        <v>18</v>
      </c>
      <c r="S260" t="str">
        <f t="shared" si="58"/>
        <v>Non-Performing</v>
      </c>
      <c r="T260" t="s">
        <v>19</v>
      </c>
      <c r="U260" s="3">
        <f t="shared" si="59"/>
        <v>0.26048442845241687</v>
      </c>
      <c r="V260" t="str">
        <f t="shared" si="60"/>
        <v>Healthy</v>
      </c>
      <c r="W260" t="str">
        <f t="shared" si="61"/>
        <v>Good</v>
      </c>
      <c r="X260" s="5" t="str">
        <f t="shared" si="62"/>
        <v>Small</v>
      </c>
      <c r="Y260" s="5" t="str">
        <f t="shared" si="63"/>
        <v>Medium</v>
      </c>
      <c r="Z260" s="5" t="str">
        <f>IF(B260=120,"NULL",IF(AND(V260="High Stress", W260="High Risk", Y260="Low"),"High Risk : Reject", IF(AND(V260="Healthy", W260="Good",Y260&lt;&gt;"Low"), "Low Risk : Approve", "Medium Risk : Review")))</f>
        <v>Low Risk : Approve</v>
      </c>
      <c r="AA260" s="5" t="str">
        <f t="shared" si="64"/>
        <v>Medium</v>
      </c>
    </row>
    <row r="261" spans="1:27" x14ac:dyDescent="0.2">
      <c r="A261">
        <v>22455</v>
      </c>
      <c r="B261">
        <v>22</v>
      </c>
      <c r="C261">
        <f t="shared" si="52"/>
        <v>22</v>
      </c>
      <c r="D261" t="s">
        <v>17</v>
      </c>
      <c r="E261" t="str">
        <f t="shared" si="53"/>
        <v>Contract</v>
      </c>
      <c r="F261">
        <v>3306.22</v>
      </c>
      <c r="G261">
        <f>ABS(Table1[[#This Row],[Monthly_Income]])</f>
        <v>3306.22</v>
      </c>
      <c r="H261">
        <v>23546.04</v>
      </c>
      <c r="I261" s="5">
        <f t="shared" si="54"/>
        <v>23546.04</v>
      </c>
      <c r="J261">
        <v>48</v>
      </c>
      <c r="K261">
        <v>30.72</v>
      </c>
      <c r="M261" t="str">
        <f t="shared" si="55"/>
        <v>NULL</v>
      </c>
      <c r="N261">
        <v>3.9</v>
      </c>
      <c r="O261">
        <f t="shared" si="56"/>
        <v>3.9</v>
      </c>
      <c r="P261">
        <v>15</v>
      </c>
      <c r="Q261">
        <f t="shared" si="57"/>
        <v>15</v>
      </c>
      <c r="R261" t="s">
        <v>15</v>
      </c>
      <c r="S261" t="str">
        <f t="shared" si="58"/>
        <v xml:space="preserve">Performing </v>
      </c>
      <c r="T261" t="s">
        <v>16</v>
      </c>
      <c r="U261" s="3">
        <f t="shared" si="59"/>
        <v>0.14836958823066826</v>
      </c>
      <c r="V261" t="str">
        <f t="shared" si="60"/>
        <v>Healthy</v>
      </c>
      <c r="W261" t="str">
        <f t="shared" si="61"/>
        <v>Good</v>
      </c>
      <c r="X261" s="5" t="str">
        <f t="shared" si="62"/>
        <v>Medium</v>
      </c>
      <c r="Y261" s="5" t="str">
        <f t="shared" si="63"/>
        <v>Low</v>
      </c>
      <c r="Z261" s="5" t="str">
        <f>IF(B261=120,"NULL",IF(AND(V261="High Stress", W261="High Risk", Y261="Low"),"High Risk : Reject", IF(AND(V261="Healthy", W261="Good",Y261&lt;&gt;"Low"), "Low Risk : Approve", "Medium Risk : Review")))</f>
        <v>Medium Risk : Review</v>
      </c>
      <c r="AA261" s="5" t="str">
        <f t="shared" si="64"/>
        <v>Medium</v>
      </c>
    </row>
    <row r="262" spans="1:27" x14ac:dyDescent="0.2">
      <c r="A262">
        <v>24281</v>
      </c>
      <c r="B262">
        <v>40</v>
      </c>
      <c r="C262">
        <f t="shared" si="52"/>
        <v>40</v>
      </c>
      <c r="D262" t="s">
        <v>12</v>
      </c>
      <c r="E262" t="str">
        <f t="shared" si="53"/>
        <v>Self-Employed</v>
      </c>
      <c r="F262">
        <v>2856.73</v>
      </c>
      <c r="G262">
        <f>ABS(Table1[[#This Row],[Monthly_Income]])</f>
        <v>2856.73</v>
      </c>
      <c r="H262">
        <v>25316.79</v>
      </c>
      <c r="I262" s="5">
        <f t="shared" si="54"/>
        <v>25316.79</v>
      </c>
      <c r="J262">
        <v>36</v>
      </c>
      <c r="K262">
        <v>16.18</v>
      </c>
      <c r="L262">
        <v>4</v>
      </c>
      <c r="M262">
        <f t="shared" si="55"/>
        <v>4</v>
      </c>
      <c r="N262">
        <v>7.8</v>
      </c>
      <c r="O262">
        <f t="shared" si="56"/>
        <v>7.8</v>
      </c>
      <c r="P262">
        <v>0</v>
      </c>
      <c r="Q262">
        <f t="shared" si="57"/>
        <v>0</v>
      </c>
      <c r="R262" t="s">
        <v>18</v>
      </c>
      <c r="S262" t="str">
        <f t="shared" si="58"/>
        <v>Non-Performing</v>
      </c>
      <c r="T262" t="s">
        <v>22</v>
      </c>
      <c r="U262" s="3">
        <f t="shared" si="59"/>
        <v>0.24617103004717517</v>
      </c>
      <c r="V262" t="str">
        <f t="shared" si="60"/>
        <v>Healthy</v>
      </c>
      <c r="W262" t="str">
        <f t="shared" si="61"/>
        <v>Good</v>
      </c>
      <c r="X262" s="5" t="str">
        <f t="shared" si="62"/>
        <v>Medium</v>
      </c>
      <c r="Y262" s="5" t="str">
        <f t="shared" si="63"/>
        <v>Medium</v>
      </c>
      <c r="Z262" s="5" t="str">
        <f>IF(B262=120,"NULL",IF(AND(V262="High Stress", W262="High Risk", Y262="Low"),"High Risk : Reject", IF(AND(V262="Healthy", W262="Good",Y262&lt;&gt;"Low"), "Low Risk : Approve", "Medium Risk : Review")))</f>
        <v>Low Risk : Approve</v>
      </c>
      <c r="AA262" s="5" t="str">
        <f t="shared" si="64"/>
        <v>Medium</v>
      </c>
    </row>
    <row r="263" spans="1:27" x14ac:dyDescent="0.2">
      <c r="A263">
        <v>21571</v>
      </c>
      <c r="B263">
        <v>62</v>
      </c>
      <c r="C263">
        <f t="shared" si="52"/>
        <v>62</v>
      </c>
      <c r="D263" t="s">
        <v>12</v>
      </c>
      <c r="E263" t="str">
        <f t="shared" si="53"/>
        <v>Self-Employed</v>
      </c>
      <c r="F263">
        <v>10900.96</v>
      </c>
      <c r="G263">
        <f>ABS(Table1[[#This Row],[Monthly_Income]])</f>
        <v>10900.96</v>
      </c>
      <c r="H263">
        <v>13827.9</v>
      </c>
      <c r="I263" s="5">
        <f t="shared" si="54"/>
        <v>13827.9</v>
      </c>
      <c r="J263">
        <v>24</v>
      </c>
      <c r="K263">
        <v>55</v>
      </c>
      <c r="L263">
        <v>4</v>
      </c>
      <c r="M263">
        <f t="shared" si="55"/>
        <v>4</v>
      </c>
      <c r="N263">
        <v>9.6999999999999993</v>
      </c>
      <c r="O263">
        <f t="shared" si="56"/>
        <v>9.6999999999999993</v>
      </c>
      <c r="P263">
        <v>15</v>
      </c>
      <c r="Q263">
        <f t="shared" si="57"/>
        <v>15</v>
      </c>
      <c r="R263" t="s">
        <v>18</v>
      </c>
      <c r="S263" t="str">
        <f t="shared" si="58"/>
        <v>Non-Performing</v>
      </c>
      <c r="T263" t="s">
        <v>16</v>
      </c>
      <c r="U263" s="3">
        <f t="shared" si="59"/>
        <v>5.2854289897403532E-2</v>
      </c>
      <c r="V263" t="str">
        <f t="shared" si="60"/>
        <v>Healthy</v>
      </c>
      <c r="W263" t="str">
        <f t="shared" si="61"/>
        <v>Good</v>
      </c>
      <c r="X263" s="5" t="str">
        <f t="shared" si="62"/>
        <v>Medium</v>
      </c>
      <c r="Y263" s="5" t="str">
        <f t="shared" si="63"/>
        <v>Medium</v>
      </c>
      <c r="Z263" s="5" t="str">
        <f>IF(B263=120,"NULL",IF(AND(V263="High Stress", W263="High Risk", Y263="Low"),"High Risk : Reject", IF(AND(V263="Healthy", W263="Good",Y263&lt;&gt;"Low"), "Low Risk : Approve", "Medium Risk : Review")))</f>
        <v>Low Risk : Approve</v>
      </c>
      <c r="AA263" s="5" t="str">
        <f t="shared" si="64"/>
        <v>High</v>
      </c>
    </row>
    <row r="264" spans="1:27" x14ac:dyDescent="0.2">
      <c r="A264">
        <v>21805</v>
      </c>
      <c r="B264">
        <v>120</v>
      </c>
      <c r="C264" t="str">
        <f t="shared" si="52"/>
        <v>NULL</v>
      </c>
      <c r="D264" t="s">
        <v>21</v>
      </c>
      <c r="E264" t="str">
        <f t="shared" si="53"/>
        <v>Salaried</v>
      </c>
      <c r="F264">
        <v>5914.15</v>
      </c>
      <c r="G264">
        <f>ABS(Table1[[#This Row],[Monthly_Income]])</f>
        <v>5914.15</v>
      </c>
      <c r="H264">
        <v>23421.58</v>
      </c>
      <c r="I264" s="5">
        <f t="shared" si="54"/>
        <v>23421.58</v>
      </c>
      <c r="J264">
        <v>48</v>
      </c>
      <c r="K264">
        <v>18.22</v>
      </c>
      <c r="M264" t="str">
        <f t="shared" si="55"/>
        <v>NULL</v>
      </c>
      <c r="N264">
        <v>7.1</v>
      </c>
      <c r="O264">
        <f t="shared" si="56"/>
        <v>7.1</v>
      </c>
      <c r="P264">
        <v>90</v>
      </c>
      <c r="Q264">
        <f t="shared" si="57"/>
        <v>90</v>
      </c>
      <c r="R264" t="s">
        <v>13</v>
      </c>
      <c r="S264" t="str">
        <f t="shared" si="58"/>
        <v>Performing</v>
      </c>
      <c r="T264" t="s">
        <v>19</v>
      </c>
      <c r="U264" s="3">
        <f t="shared" si="59"/>
        <v>8.2505445978430278E-2</v>
      </c>
      <c r="V264" t="str">
        <f t="shared" si="60"/>
        <v>Healthy</v>
      </c>
      <c r="W264" t="str">
        <f t="shared" si="61"/>
        <v>High Risk</v>
      </c>
      <c r="X264" s="5" t="str">
        <f t="shared" si="62"/>
        <v>Medium</v>
      </c>
      <c r="Y264" s="5" t="str">
        <f t="shared" si="63"/>
        <v>High</v>
      </c>
      <c r="Z264" s="5" t="str">
        <f>IF(B264=120,"NULL",IF(AND(V264="High Stress", W264="High Risk", Y264="Low"),"High Risk : Reject", IF(AND(V264="Healthy", W264="Good",Y264&lt;&gt;"Low"), "Low Risk : Approve", "Medium Risk : Review")))</f>
        <v>NULL</v>
      </c>
      <c r="AA264" s="5" t="str">
        <f t="shared" si="64"/>
        <v>Medium</v>
      </c>
    </row>
    <row r="265" spans="1:27" x14ac:dyDescent="0.2">
      <c r="A265">
        <v>20261</v>
      </c>
      <c r="B265">
        <v>53</v>
      </c>
      <c r="C265">
        <f t="shared" si="52"/>
        <v>53</v>
      </c>
      <c r="D265" t="s">
        <v>26</v>
      </c>
      <c r="E265" t="str">
        <f t="shared" si="53"/>
        <v>Salaried</v>
      </c>
      <c r="F265">
        <v>6595.43</v>
      </c>
      <c r="G265">
        <f>ABS(Table1[[#This Row],[Monthly_Income]])</f>
        <v>6595.43</v>
      </c>
      <c r="H265">
        <v>26358.2</v>
      </c>
      <c r="I265" s="5">
        <f t="shared" si="54"/>
        <v>26358.2</v>
      </c>
      <c r="J265">
        <v>12</v>
      </c>
      <c r="K265">
        <v>23.14</v>
      </c>
      <c r="L265">
        <v>1</v>
      </c>
      <c r="M265">
        <f t="shared" si="55"/>
        <v>1</v>
      </c>
      <c r="N265">
        <v>4.3</v>
      </c>
      <c r="O265">
        <f t="shared" si="56"/>
        <v>4.3</v>
      </c>
      <c r="P265">
        <v>0</v>
      </c>
      <c r="Q265">
        <f t="shared" si="57"/>
        <v>0</v>
      </c>
      <c r="R265" t="s">
        <v>13</v>
      </c>
      <c r="S265" t="str">
        <f t="shared" si="58"/>
        <v>Performing</v>
      </c>
      <c r="T265" t="s">
        <v>25</v>
      </c>
      <c r="U265" s="3">
        <f t="shared" si="59"/>
        <v>0.33303615786486501</v>
      </c>
      <c r="V265" t="str">
        <f t="shared" si="60"/>
        <v>Stretched</v>
      </c>
      <c r="W265" t="str">
        <f t="shared" si="61"/>
        <v>Good</v>
      </c>
      <c r="X265" s="5" t="str">
        <f t="shared" si="62"/>
        <v>Medium</v>
      </c>
      <c r="Y265" s="5" t="str">
        <f t="shared" si="63"/>
        <v>High</v>
      </c>
      <c r="Z265" s="5" t="str">
        <f>IF(B265=120,"NULL",IF(AND(V265="High Stress", W265="High Risk", Y265="Low"),"High Risk : Reject", IF(AND(V265="Healthy", W265="Good",Y265&lt;&gt;"Low"), "Low Risk : Approve", "Medium Risk : Review")))</f>
        <v>Medium Risk : Review</v>
      </c>
      <c r="AA265" s="5" t="str">
        <f t="shared" si="64"/>
        <v>Medium</v>
      </c>
    </row>
    <row r="266" spans="1:27" x14ac:dyDescent="0.2">
      <c r="A266">
        <v>24141</v>
      </c>
      <c r="B266">
        <v>39</v>
      </c>
      <c r="C266">
        <f t="shared" si="52"/>
        <v>39</v>
      </c>
      <c r="D266" t="s">
        <v>23</v>
      </c>
      <c r="E266" t="str">
        <f t="shared" si="53"/>
        <v>Self-Employed</v>
      </c>
      <c r="F266">
        <v>6758.83</v>
      </c>
      <c r="G266">
        <f>ABS(Table1[[#This Row],[Monthly_Income]])</f>
        <v>6758.83</v>
      </c>
      <c r="H266">
        <v>26542.78</v>
      </c>
      <c r="I266" s="5">
        <f t="shared" si="54"/>
        <v>26542.78</v>
      </c>
      <c r="J266">
        <v>24</v>
      </c>
      <c r="K266">
        <v>12.24</v>
      </c>
      <c r="L266">
        <v>0</v>
      </c>
      <c r="M266">
        <f t="shared" si="55"/>
        <v>0</v>
      </c>
      <c r="O266" t="str">
        <f t="shared" si="56"/>
        <v>NULL</v>
      </c>
      <c r="P266">
        <v>90</v>
      </c>
      <c r="Q266">
        <f t="shared" si="57"/>
        <v>90</v>
      </c>
      <c r="R266" t="s">
        <v>20</v>
      </c>
      <c r="S266" t="str">
        <f t="shared" si="58"/>
        <v>Written Off</v>
      </c>
      <c r="T266" t="s">
        <v>16</v>
      </c>
      <c r="U266" s="3">
        <f t="shared" si="59"/>
        <v>0.16363026835512459</v>
      </c>
      <c r="V266" t="str">
        <f t="shared" si="60"/>
        <v>Healthy</v>
      </c>
      <c r="W266" t="str">
        <f t="shared" si="61"/>
        <v>High Risk</v>
      </c>
      <c r="X266" s="5" t="str">
        <f t="shared" si="62"/>
        <v>Medium</v>
      </c>
      <c r="Y266" s="5" t="str">
        <f t="shared" si="63"/>
        <v>Medium</v>
      </c>
      <c r="Z266" s="5" t="str">
        <f>IF(B266=120,"NULL",IF(AND(V266="High Stress", W266="High Risk", Y266="Low"),"High Risk : Reject", IF(AND(V266="Healthy", W266="Good",Y266&lt;&gt;"Low"), "Low Risk : Approve", "Medium Risk : Review")))</f>
        <v>Medium Risk : Review</v>
      </c>
      <c r="AA266" s="5" t="str">
        <f t="shared" si="64"/>
        <v>Medium</v>
      </c>
    </row>
    <row r="267" spans="1:27" x14ac:dyDescent="0.2">
      <c r="A267">
        <v>25432</v>
      </c>
      <c r="B267">
        <v>24</v>
      </c>
      <c r="C267">
        <f t="shared" si="52"/>
        <v>24</v>
      </c>
      <c r="D267" t="s">
        <v>12</v>
      </c>
      <c r="E267" t="str">
        <f t="shared" si="53"/>
        <v>Self-Employed</v>
      </c>
      <c r="F267">
        <v>3915.76</v>
      </c>
      <c r="G267">
        <f>ABS(Table1[[#This Row],[Monthly_Income]])</f>
        <v>3915.76</v>
      </c>
      <c r="H267">
        <v>24630.92</v>
      </c>
      <c r="I267" s="5">
        <f t="shared" si="54"/>
        <v>24630.92</v>
      </c>
      <c r="J267">
        <v>6</v>
      </c>
      <c r="K267">
        <v>19.45</v>
      </c>
      <c r="L267">
        <v>1</v>
      </c>
      <c r="M267">
        <f t="shared" si="55"/>
        <v>1</v>
      </c>
      <c r="N267">
        <v>8.8000000000000007</v>
      </c>
      <c r="O267">
        <f t="shared" si="56"/>
        <v>8.8000000000000007</v>
      </c>
      <c r="Q267" t="str">
        <f t="shared" si="57"/>
        <v>NULL</v>
      </c>
      <c r="R267" t="s">
        <v>13</v>
      </c>
      <c r="S267" t="str">
        <f t="shared" si="58"/>
        <v>Performing</v>
      </c>
      <c r="T267" t="s">
        <v>25</v>
      </c>
      <c r="U267" s="3">
        <f t="shared" si="59"/>
        <v>1.0483669411131766</v>
      </c>
      <c r="V267" t="str">
        <f t="shared" si="60"/>
        <v>High Stress</v>
      </c>
      <c r="W267" t="str">
        <f t="shared" si="61"/>
        <v>NULL</v>
      </c>
      <c r="X267" s="5" t="str">
        <f t="shared" si="62"/>
        <v>Medium</v>
      </c>
      <c r="Y267" s="5" t="str">
        <f t="shared" si="63"/>
        <v>Medium</v>
      </c>
      <c r="Z267" s="5" t="str">
        <f>IF(B267=120,"NULL",IF(AND(V267="High Stress", W267="High Risk", Y267="Low"),"High Risk : Reject", IF(AND(V267="Healthy", W267="Good",Y267&lt;&gt;"Low"), "Low Risk : Approve", "Medium Risk : Review")))</f>
        <v>Medium Risk : Review</v>
      </c>
      <c r="AA267" s="5" t="str">
        <f t="shared" si="64"/>
        <v>Medium</v>
      </c>
    </row>
    <row r="268" spans="1:27" x14ac:dyDescent="0.2">
      <c r="A268">
        <v>21301</v>
      </c>
      <c r="B268">
        <v>53</v>
      </c>
      <c r="C268">
        <f t="shared" si="52"/>
        <v>53</v>
      </c>
      <c r="D268" t="s">
        <v>26</v>
      </c>
      <c r="E268" t="str">
        <f t="shared" si="53"/>
        <v>Salaried</v>
      </c>
      <c r="F268">
        <v>1744.85</v>
      </c>
      <c r="G268">
        <f>ABS(Table1[[#This Row],[Monthly_Income]])</f>
        <v>1744.85</v>
      </c>
      <c r="H268">
        <v>27308.22</v>
      </c>
      <c r="I268" s="5">
        <f t="shared" si="54"/>
        <v>27308.22</v>
      </c>
      <c r="J268">
        <v>36</v>
      </c>
      <c r="K268">
        <v>9.44</v>
      </c>
      <c r="L268">
        <v>0</v>
      </c>
      <c r="M268">
        <f t="shared" si="55"/>
        <v>0</v>
      </c>
      <c r="N268">
        <v>6.6</v>
      </c>
      <c r="O268">
        <f t="shared" si="56"/>
        <v>6.6</v>
      </c>
      <c r="P268">
        <v>120</v>
      </c>
      <c r="Q268">
        <f t="shared" si="57"/>
        <v>120</v>
      </c>
      <c r="R268" t="s">
        <v>13</v>
      </c>
      <c r="S268" t="str">
        <f t="shared" si="58"/>
        <v>Performing</v>
      </c>
      <c r="T268" t="s">
        <v>16</v>
      </c>
      <c r="U268" s="3">
        <f t="shared" si="59"/>
        <v>0.43474319664536593</v>
      </c>
      <c r="V268" t="str">
        <f t="shared" si="60"/>
        <v>Stretched</v>
      </c>
      <c r="W268" t="str">
        <f t="shared" si="61"/>
        <v>High Risk</v>
      </c>
      <c r="X268" s="5" t="str">
        <f t="shared" si="62"/>
        <v>Medium</v>
      </c>
      <c r="Y268" s="5" t="str">
        <f t="shared" si="63"/>
        <v>High</v>
      </c>
      <c r="Z268" s="5" t="str">
        <f>IF(B268=120,"NULL",IF(AND(V268="High Stress", W268="High Risk", Y268="Low"),"High Risk : Reject", IF(AND(V268="Healthy", W268="Good",Y268&lt;&gt;"Low"), "Low Risk : Approve", "Medium Risk : Review")))</f>
        <v>Medium Risk : Review</v>
      </c>
      <c r="AA268" s="5" t="str">
        <f t="shared" si="64"/>
        <v>Low</v>
      </c>
    </row>
    <row r="269" spans="1:27" x14ac:dyDescent="0.2">
      <c r="A269">
        <v>20812</v>
      </c>
      <c r="B269">
        <v>45</v>
      </c>
      <c r="C269">
        <f t="shared" si="52"/>
        <v>45</v>
      </c>
      <c r="D269" t="s">
        <v>17</v>
      </c>
      <c r="E269" t="str">
        <f t="shared" si="53"/>
        <v>Contract</v>
      </c>
      <c r="F269">
        <v>6849.95</v>
      </c>
      <c r="G269">
        <f>ABS(Table1[[#This Row],[Monthly_Income]])</f>
        <v>6849.95</v>
      </c>
      <c r="H269">
        <v>14772.87</v>
      </c>
      <c r="I269" s="5">
        <f t="shared" si="54"/>
        <v>14772.87</v>
      </c>
      <c r="J269">
        <v>6</v>
      </c>
      <c r="K269">
        <v>27.85</v>
      </c>
      <c r="L269">
        <v>1</v>
      </c>
      <c r="M269">
        <f t="shared" si="55"/>
        <v>1</v>
      </c>
      <c r="N269">
        <v>1.6</v>
      </c>
      <c r="O269">
        <f t="shared" si="56"/>
        <v>1.6</v>
      </c>
      <c r="Q269" t="str">
        <f t="shared" si="57"/>
        <v>NULL</v>
      </c>
      <c r="R269" t="s">
        <v>20</v>
      </c>
      <c r="S269" t="str">
        <f t="shared" si="58"/>
        <v>Written Off</v>
      </c>
      <c r="T269" t="s">
        <v>22</v>
      </c>
      <c r="U269" s="3">
        <f t="shared" si="59"/>
        <v>0.35943984992591194</v>
      </c>
      <c r="V269" t="str">
        <f t="shared" si="60"/>
        <v>Stretched</v>
      </c>
      <c r="W269" t="str">
        <f t="shared" si="61"/>
        <v>NULL</v>
      </c>
      <c r="X269" s="5" t="str">
        <f t="shared" si="62"/>
        <v>Medium</v>
      </c>
      <c r="Y269" s="5" t="str">
        <f t="shared" si="63"/>
        <v>Low</v>
      </c>
      <c r="Z269" s="5" t="str">
        <f>IF(B269=120,"NULL",IF(AND(V269="High Stress", W269="High Risk", Y269="Low"),"High Risk : Reject", IF(AND(V269="Healthy", W269="Good",Y269&lt;&gt;"Low"), "Low Risk : Approve", "Medium Risk : Review")))</f>
        <v>Medium Risk : Review</v>
      </c>
      <c r="AA269" s="5" t="str">
        <f t="shared" si="64"/>
        <v>Medium</v>
      </c>
    </row>
    <row r="270" spans="1:27" x14ac:dyDescent="0.2">
      <c r="A270">
        <v>22233</v>
      </c>
      <c r="B270">
        <v>56</v>
      </c>
      <c r="C270">
        <f t="shared" si="52"/>
        <v>56</v>
      </c>
      <c r="D270" t="s">
        <v>27</v>
      </c>
      <c r="E270" t="str">
        <f t="shared" si="53"/>
        <v>Unemployed</v>
      </c>
      <c r="F270">
        <v>2048.5</v>
      </c>
      <c r="G270">
        <f>ABS(Table1[[#This Row],[Monthly_Income]])</f>
        <v>2048.5</v>
      </c>
      <c r="H270">
        <v>2990.69</v>
      </c>
      <c r="I270" s="5">
        <f t="shared" si="54"/>
        <v>2990.69</v>
      </c>
      <c r="J270">
        <v>36</v>
      </c>
      <c r="K270">
        <v>19.07</v>
      </c>
      <c r="L270">
        <v>2</v>
      </c>
      <c r="M270">
        <f t="shared" si="55"/>
        <v>2</v>
      </c>
      <c r="N270">
        <v>5.0999999999999996</v>
      </c>
      <c r="O270">
        <f t="shared" si="56"/>
        <v>5.0999999999999996</v>
      </c>
      <c r="P270">
        <v>15</v>
      </c>
      <c r="Q270">
        <f t="shared" si="57"/>
        <v>15</v>
      </c>
      <c r="R270" t="s">
        <v>24</v>
      </c>
      <c r="S270" t="str">
        <f t="shared" si="58"/>
        <v>Non-Performing</v>
      </c>
      <c r="T270" t="s">
        <v>22</v>
      </c>
      <c r="U270" s="3">
        <f t="shared" si="59"/>
        <v>4.0553928348656197E-2</v>
      </c>
      <c r="V270" t="str">
        <f t="shared" si="60"/>
        <v>Healthy</v>
      </c>
      <c r="W270" t="str">
        <f t="shared" si="61"/>
        <v>Good</v>
      </c>
      <c r="X270" s="5" t="str">
        <f t="shared" si="62"/>
        <v>Small</v>
      </c>
      <c r="Y270" s="5" t="str">
        <f t="shared" si="63"/>
        <v>Low</v>
      </c>
      <c r="Z270" s="5" t="str">
        <f>IF(B270=120,"NULL",IF(AND(V270="High Stress", W270="High Risk", Y270="Low"),"High Risk : Reject", IF(AND(V270="Healthy", W270="Good",Y270&lt;&gt;"Low"), "Low Risk : Approve", "Medium Risk : Review")))</f>
        <v>Medium Risk : Review</v>
      </c>
      <c r="AA270" s="5" t="str">
        <f t="shared" si="64"/>
        <v>Medium</v>
      </c>
    </row>
    <row r="271" spans="1:27" x14ac:dyDescent="0.2">
      <c r="A271">
        <v>22710</v>
      </c>
      <c r="B271">
        <v>21</v>
      </c>
      <c r="C271">
        <f t="shared" si="52"/>
        <v>21</v>
      </c>
      <c r="D271" t="s">
        <v>17</v>
      </c>
      <c r="E271" t="str">
        <f t="shared" si="53"/>
        <v>Contract</v>
      </c>
      <c r="F271">
        <v>8689.41</v>
      </c>
      <c r="G271">
        <f>ABS(Table1[[#This Row],[Monthly_Income]])</f>
        <v>8689.41</v>
      </c>
      <c r="H271">
        <v>6280.87</v>
      </c>
      <c r="I271" s="5">
        <f t="shared" si="54"/>
        <v>6280.87</v>
      </c>
      <c r="J271">
        <v>12</v>
      </c>
      <c r="K271">
        <v>19.809999999999999</v>
      </c>
      <c r="L271">
        <v>3</v>
      </c>
      <c r="M271">
        <f t="shared" si="55"/>
        <v>3</v>
      </c>
      <c r="N271">
        <v>13.7</v>
      </c>
      <c r="O271">
        <f t="shared" si="56"/>
        <v>13.7</v>
      </c>
      <c r="P271">
        <v>90</v>
      </c>
      <c r="Q271">
        <f t="shared" si="57"/>
        <v>90</v>
      </c>
      <c r="R271" t="s">
        <v>15</v>
      </c>
      <c r="S271" t="str">
        <f t="shared" si="58"/>
        <v xml:space="preserve">Performing </v>
      </c>
      <c r="T271" t="s">
        <v>25</v>
      </c>
      <c r="U271" s="3">
        <f t="shared" si="59"/>
        <v>6.0234910463809778E-2</v>
      </c>
      <c r="V271" t="str">
        <f t="shared" si="60"/>
        <v>Healthy</v>
      </c>
      <c r="W271" t="str">
        <f t="shared" si="61"/>
        <v>High Risk</v>
      </c>
      <c r="X271" s="5" t="str">
        <f t="shared" si="62"/>
        <v>Small</v>
      </c>
      <c r="Y271" s="5" t="str">
        <f t="shared" si="63"/>
        <v>Low</v>
      </c>
      <c r="Z271" s="5" t="str">
        <f>IF(B271=120,"NULL",IF(AND(V271="High Stress", W271="High Risk", Y271="Low"),"High Risk : Reject", IF(AND(V271="Healthy", W271="Good",Y271&lt;&gt;"Low"), "Low Risk : Approve", "Medium Risk : Review")))</f>
        <v>Medium Risk : Review</v>
      </c>
      <c r="AA271" s="5" t="str">
        <f t="shared" si="64"/>
        <v>High</v>
      </c>
    </row>
    <row r="272" spans="1:27" x14ac:dyDescent="0.2">
      <c r="A272">
        <v>21971</v>
      </c>
      <c r="B272">
        <v>36</v>
      </c>
      <c r="C272">
        <f t="shared" si="52"/>
        <v>36</v>
      </c>
      <c r="D272" t="s">
        <v>12</v>
      </c>
      <c r="E272" t="str">
        <f t="shared" si="53"/>
        <v>Self-Employed</v>
      </c>
      <c r="F272">
        <v>3395.5</v>
      </c>
      <c r="G272">
        <f>ABS(Table1[[#This Row],[Monthly_Income]])</f>
        <v>3395.5</v>
      </c>
      <c r="H272">
        <v>13513.13</v>
      </c>
      <c r="I272" s="5">
        <f t="shared" si="54"/>
        <v>13513.13</v>
      </c>
      <c r="J272">
        <v>48</v>
      </c>
      <c r="K272">
        <v>17.71</v>
      </c>
      <c r="M272" t="str">
        <f t="shared" si="55"/>
        <v>NULL</v>
      </c>
      <c r="N272">
        <v>7.9</v>
      </c>
      <c r="O272">
        <f t="shared" si="56"/>
        <v>7.9</v>
      </c>
      <c r="P272">
        <v>30</v>
      </c>
      <c r="Q272">
        <f t="shared" si="57"/>
        <v>30</v>
      </c>
      <c r="R272" t="s">
        <v>24</v>
      </c>
      <c r="S272" t="str">
        <f t="shared" si="58"/>
        <v>Non-Performing</v>
      </c>
      <c r="T272" t="s">
        <v>25</v>
      </c>
      <c r="U272" s="3">
        <f t="shared" si="59"/>
        <v>8.2910776517940404E-2</v>
      </c>
      <c r="V272" t="str">
        <f t="shared" si="60"/>
        <v>Healthy</v>
      </c>
      <c r="W272" t="str">
        <f t="shared" si="61"/>
        <v>At Risk</v>
      </c>
      <c r="X272" s="5" t="str">
        <f t="shared" si="62"/>
        <v>Medium</v>
      </c>
      <c r="Y272" s="5" t="str">
        <f t="shared" si="63"/>
        <v>Medium</v>
      </c>
      <c r="Z272" s="5" t="str">
        <f>IF(B272=120,"NULL",IF(AND(V272="High Stress", W272="High Risk", Y272="Low"),"High Risk : Reject", IF(AND(V272="Healthy", W272="Good",Y272&lt;&gt;"Low"), "Low Risk : Approve", "Medium Risk : Review")))</f>
        <v>Medium Risk : Review</v>
      </c>
      <c r="AA272" s="5" t="str">
        <f t="shared" si="64"/>
        <v>Medium</v>
      </c>
    </row>
    <row r="273" spans="1:27" x14ac:dyDescent="0.2">
      <c r="A273">
        <v>20019</v>
      </c>
      <c r="B273">
        <v>45</v>
      </c>
      <c r="C273">
        <f t="shared" si="52"/>
        <v>45</v>
      </c>
      <c r="D273" t="s">
        <v>23</v>
      </c>
      <c r="E273" t="str">
        <f t="shared" si="53"/>
        <v>Self-Employed</v>
      </c>
      <c r="F273">
        <v>3144.95</v>
      </c>
      <c r="G273">
        <f>ABS(Table1[[#This Row],[Monthly_Income]])</f>
        <v>3144.95</v>
      </c>
      <c r="H273">
        <v>34008.6</v>
      </c>
      <c r="I273" s="5">
        <f t="shared" si="54"/>
        <v>34008.6</v>
      </c>
      <c r="J273">
        <v>48</v>
      </c>
      <c r="K273">
        <v>17.989999999999998</v>
      </c>
      <c r="L273">
        <v>1</v>
      </c>
      <c r="M273">
        <f t="shared" si="55"/>
        <v>1</v>
      </c>
      <c r="N273">
        <v>12.6</v>
      </c>
      <c r="O273">
        <f t="shared" si="56"/>
        <v>12.6</v>
      </c>
      <c r="P273">
        <v>0</v>
      </c>
      <c r="Q273">
        <f t="shared" si="57"/>
        <v>0</v>
      </c>
      <c r="R273" t="s">
        <v>15</v>
      </c>
      <c r="S273" t="str">
        <f t="shared" si="58"/>
        <v xml:space="preserve">Performing </v>
      </c>
      <c r="T273" t="s">
        <v>16</v>
      </c>
      <c r="U273" s="3">
        <f t="shared" si="59"/>
        <v>0.22528577560851526</v>
      </c>
      <c r="V273" t="str">
        <f t="shared" si="60"/>
        <v>Healthy</v>
      </c>
      <c r="W273" t="str">
        <f t="shared" si="61"/>
        <v>Good</v>
      </c>
      <c r="X273" s="5" t="str">
        <f t="shared" si="62"/>
        <v>High</v>
      </c>
      <c r="Y273" s="5" t="str">
        <f t="shared" si="63"/>
        <v>Medium</v>
      </c>
      <c r="Z273" s="5" t="str">
        <f>IF(B273=120,"NULL",IF(AND(V273="High Stress", W273="High Risk", Y273="Low"),"High Risk : Reject", IF(AND(V273="Healthy", W273="Good",Y273&lt;&gt;"Low"), "Low Risk : Approve", "Medium Risk : Review")))</f>
        <v>Low Risk : Approve</v>
      </c>
      <c r="AA273" s="5" t="str">
        <f t="shared" si="64"/>
        <v>Medium</v>
      </c>
    </row>
    <row r="274" spans="1:27" x14ac:dyDescent="0.2">
      <c r="A274">
        <v>23014</v>
      </c>
      <c r="B274">
        <v>55</v>
      </c>
      <c r="C274">
        <f t="shared" si="52"/>
        <v>55</v>
      </c>
      <c r="D274" t="s">
        <v>12</v>
      </c>
      <c r="E274" t="str">
        <f t="shared" si="53"/>
        <v>Self-Employed</v>
      </c>
      <c r="F274">
        <v>-1500</v>
      </c>
      <c r="G274">
        <f>ABS(Table1[[#This Row],[Monthly_Income]])</f>
        <v>1500</v>
      </c>
      <c r="H274">
        <v>14931.82</v>
      </c>
      <c r="I274" s="5">
        <f t="shared" si="54"/>
        <v>14931.82</v>
      </c>
      <c r="J274">
        <v>60</v>
      </c>
      <c r="K274">
        <v>14.6</v>
      </c>
      <c r="L274">
        <v>0</v>
      </c>
      <c r="M274">
        <f t="shared" si="55"/>
        <v>0</v>
      </c>
      <c r="N274">
        <v>5.2</v>
      </c>
      <c r="O274">
        <f t="shared" si="56"/>
        <v>5.2</v>
      </c>
      <c r="P274">
        <v>60</v>
      </c>
      <c r="Q274">
        <f t="shared" si="57"/>
        <v>60</v>
      </c>
      <c r="R274" t="s">
        <v>13</v>
      </c>
      <c r="S274" t="str">
        <f t="shared" si="58"/>
        <v>Performing</v>
      </c>
      <c r="T274" t="s">
        <v>16</v>
      </c>
      <c r="U274" s="3">
        <f t="shared" si="59"/>
        <v>0.16590911111111112</v>
      </c>
      <c r="V274" t="str">
        <f t="shared" si="60"/>
        <v>Healthy</v>
      </c>
      <c r="W274" t="str">
        <f t="shared" si="61"/>
        <v>High Risk</v>
      </c>
      <c r="X274" s="5" t="str">
        <f t="shared" si="62"/>
        <v>Medium</v>
      </c>
      <c r="Y274" s="5" t="str">
        <f t="shared" si="63"/>
        <v>Medium</v>
      </c>
      <c r="Z274" s="5" t="str">
        <f>IF(B274=120,"NULL",IF(AND(V274="High Stress", W274="High Risk", Y274="Low"),"High Risk : Reject", IF(AND(V274="Healthy", W274="Good",Y274&lt;&gt;"Low"), "Low Risk : Approve", "Medium Risk : Review")))</f>
        <v>Medium Risk : Review</v>
      </c>
      <c r="AA274" s="5" t="str">
        <f t="shared" si="64"/>
        <v>Low</v>
      </c>
    </row>
    <row r="275" spans="1:27" x14ac:dyDescent="0.2">
      <c r="A275">
        <v>23944</v>
      </c>
      <c r="B275">
        <v>31</v>
      </c>
      <c r="C275">
        <f t="shared" si="52"/>
        <v>31</v>
      </c>
      <c r="D275" t="s">
        <v>23</v>
      </c>
      <c r="E275" t="str">
        <f t="shared" si="53"/>
        <v>Self-Employed</v>
      </c>
      <c r="F275">
        <v>5189.29</v>
      </c>
      <c r="G275">
        <f>ABS(Table1[[#This Row],[Monthly_Income]])</f>
        <v>5189.29</v>
      </c>
      <c r="H275">
        <v>20736.77</v>
      </c>
      <c r="I275" s="5">
        <f t="shared" si="54"/>
        <v>20736.77</v>
      </c>
      <c r="J275">
        <v>18</v>
      </c>
      <c r="K275">
        <v>12.15</v>
      </c>
      <c r="L275">
        <v>0</v>
      </c>
      <c r="M275">
        <f t="shared" si="55"/>
        <v>0</v>
      </c>
      <c r="N275">
        <v>4.7</v>
      </c>
      <c r="O275">
        <f t="shared" si="56"/>
        <v>4.7</v>
      </c>
      <c r="P275">
        <v>15</v>
      </c>
      <c r="Q275">
        <f t="shared" si="57"/>
        <v>15</v>
      </c>
      <c r="R275" t="s">
        <v>18</v>
      </c>
      <c r="S275" t="str">
        <f t="shared" si="58"/>
        <v>Non-Performing</v>
      </c>
      <c r="T275" t="s">
        <v>22</v>
      </c>
      <c r="U275" s="3">
        <f t="shared" si="59"/>
        <v>0.22200393074539634</v>
      </c>
      <c r="V275" t="str">
        <f t="shared" si="60"/>
        <v>Healthy</v>
      </c>
      <c r="W275" t="str">
        <f t="shared" si="61"/>
        <v>Good</v>
      </c>
      <c r="X275" s="5" t="str">
        <f t="shared" si="62"/>
        <v>Medium</v>
      </c>
      <c r="Y275" s="5" t="str">
        <f t="shared" si="63"/>
        <v>Medium</v>
      </c>
      <c r="Z275" s="5" t="str">
        <f>IF(B275=120,"NULL",IF(AND(V275="High Stress", W275="High Risk", Y275="Low"),"High Risk : Reject", IF(AND(V275="Healthy", W275="Good",Y275&lt;&gt;"Low"), "Low Risk : Approve", "Medium Risk : Review")))</f>
        <v>Low Risk : Approve</v>
      </c>
      <c r="AA275" s="5" t="str">
        <f t="shared" si="64"/>
        <v>Medium</v>
      </c>
    </row>
    <row r="276" spans="1:27" x14ac:dyDescent="0.2">
      <c r="A276">
        <v>24344</v>
      </c>
      <c r="B276">
        <v>44</v>
      </c>
      <c r="C276">
        <f t="shared" si="52"/>
        <v>44</v>
      </c>
      <c r="D276" t="s">
        <v>26</v>
      </c>
      <c r="E276" t="str">
        <f t="shared" si="53"/>
        <v>Salaried</v>
      </c>
      <c r="F276">
        <v>7784.81</v>
      </c>
      <c r="G276">
        <f>ABS(Table1[[#This Row],[Monthly_Income]])</f>
        <v>7784.81</v>
      </c>
      <c r="H276">
        <v>33245.089999999997</v>
      </c>
      <c r="I276" s="5">
        <f t="shared" si="54"/>
        <v>33245.089999999997</v>
      </c>
      <c r="J276">
        <v>24</v>
      </c>
      <c r="K276">
        <v>18.239999999999998</v>
      </c>
      <c r="L276">
        <v>4</v>
      </c>
      <c r="M276">
        <f t="shared" si="55"/>
        <v>4</v>
      </c>
      <c r="N276">
        <v>10.8</v>
      </c>
      <c r="O276">
        <f t="shared" si="56"/>
        <v>10.8</v>
      </c>
      <c r="P276">
        <v>0</v>
      </c>
      <c r="Q276">
        <f t="shared" si="57"/>
        <v>0</v>
      </c>
      <c r="R276" t="s">
        <v>18</v>
      </c>
      <c r="S276" t="str">
        <f t="shared" si="58"/>
        <v>Non-Performing</v>
      </c>
      <c r="T276" t="s">
        <v>25</v>
      </c>
      <c r="U276" s="3">
        <f t="shared" si="59"/>
        <v>0.1779378152239211</v>
      </c>
      <c r="V276" t="str">
        <f t="shared" si="60"/>
        <v>Healthy</v>
      </c>
      <c r="W276" t="str">
        <f t="shared" si="61"/>
        <v>Good</v>
      </c>
      <c r="X276" s="5" t="str">
        <f t="shared" si="62"/>
        <v>High</v>
      </c>
      <c r="Y276" s="5" t="str">
        <f t="shared" si="63"/>
        <v>High</v>
      </c>
      <c r="Z276" s="5" t="str">
        <f>IF(B276=120,"NULL",IF(AND(V276="High Stress", W276="High Risk", Y276="Low"),"High Risk : Reject", IF(AND(V276="Healthy", W276="Good",Y276&lt;&gt;"Low"), "Low Risk : Approve", "Medium Risk : Review")))</f>
        <v>Low Risk : Approve</v>
      </c>
      <c r="AA276" s="5" t="str">
        <f t="shared" si="64"/>
        <v>Medium</v>
      </c>
    </row>
    <row r="277" spans="1:27" x14ac:dyDescent="0.2">
      <c r="A277">
        <v>20006</v>
      </c>
      <c r="B277">
        <v>55</v>
      </c>
      <c r="C277">
        <f t="shared" si="52"/>
        <v>55</v>
      </c>
      <c r="D277" t="s">
        <v>23</v>
      </c>
      <c r="E277" t="str">
        <f t="shared" si="53"/>
        <v>Self-Employed</v>
      </c>
      <c r="F277">
        <v>5746.08</v>
      </c>
      <c r="G277">
        <f>ABS(Table1[[#This Row],[Monthly_Income]])</f>
        <v>5746.08</v>
      </c>
      <c r="H277">
        <v>14964.74</v>
      </c>
      <c r="I277" s="5">
        <f t="shared" si="54"/>
        <v>14964.74</v>
      </c>
      <c r="J277">
        <v>12</v>
      </c>
      <c r="K277">
        <v>25.25</v>
      </c>
      <c r="L277">
        <v>0</v>
      </c>
      <c r="M277">
        <f t="shared" si="55"/>
        <v>0</v>
      </c>
      <c r="N277">
        <v>7.8</v>
      </c>
      <c r="O277">
        <f t="shared" si="56"/>
        <v>7.8</v>
      </c>
      <c r="P277">
        <v>15</v>
      </c>
      <c r="Q277">
        <f t="shared" si="57"/>
        <v>15</v>
      </c>
      <c r="R277" t="s">
        <v>18</v>
      </c>
      <c r="S277" t="str">
        <f t="shared" si="58"/>
        <v>Non-Performing</v>
      </c>
      <c r="T277" t="s">
        <v>14</v>
      </c>
      <c r="U277" s="3">
        <f t="shared" si="59"/>
        <v>0.2170282465031233</v>
      </c>
      <c r="V277" t="str">
        <f t="shared" si="60"/>
        <v>Healthy</v>
      </c>
      <c r="W277" t="str">
        <f t="shared" si="61"/>
        <v>Good</v>
      </c>
      <c r="X277" s="5" t="str">
        <f t="shared" si="62"/>
        <v>Medium</v>
      </c>
      <c r="Y277" s="5" t="str">
        <f t="shared" si="63"/>
        <v>Medium</v>
      </c>
      <c r="Z277" s="5" t="str">
        <f>IF(B277=120,"NULL",IF(AND(V277="High Stress", W277="High Risk", Y277="Low"),"High Risk : Reject", IF(AND(V277="Healthy", W277="Good",Y277&lt;&gt;"Low"), "Low Risk : Approve", "Medium Risk : Review")))</f>
        <v>Low Risk : Approve</v>
      </c>
      <c r="AA277" s="5" t="str">
        <f t="shared" si="64"/>
        <v>Medium</v>
      </c>
    </row>
    <row r="278" spans="1:27" x14ac:dyDescent="0.2">
      <c r="A278">
        <v>21670</v>
      </c>
      <c r="B278">
        <v>41</v>
      </c>
      <c r="C278">
        <f t="shared" si="52"/>
        <v>41</v>
      </c>
      <c r="D278" t="s">
        <v>21</v>
      </c>
      <c r="E278" t="str">
        <f t="shared" si="53"/>
        <v>Salaried</v>
      </c>
      <c r="F278">
        <v>5091.3900000000003</v>
      </c>
      <c r="G278">
        <f>ABS(Table1[[#This Row],[Monthly_Income]])</f>
        <v>5091.3900000000003</v>
      </c>
      <c r="H278">
        <v>25948.65</v>
      </c>
      <c r="I278" s="5">
        <f t="shared" si="54"/>
        <v>25948.65</v>
      </c>
      <c r="J278">
        <v>60</v>
      </c>
      <c r="K278">
        <v>15.09</v>
      </c>
      <c r="M278" t="str">
        <f t="shared" si="55"/>
        <v>NULL</v>
      </c>
      <c r="N278">
        <v>7.6</v>
      </c>
      <c r="O278">
        <f t="shared" si="56"/>
        <v>7.6</v>
      </c>
      <c r="P278">
        <v>0</v>
      </c>
      <c r="Q278">
        <f t="shared" si="57"/>
        <v>0</v>
      </c>
      <c r="R278" t="s">
        <v>15</v>
      </c>
      <c r="S278" t="str">
        <f t="shared" si="58"/>
        <v xml:space="preserve">Performing </v>
      </c>
      <c r="T278" t="s">
        <v>25</v>
      </c>
      <c r="U278" s="3">
        <f t="shared" si="59"/>
        <v>8.4942913428356498E-2</v>
      </c>
      <c r="V278" t="str">
        <f t="shared" si="60"/>
        <v>Healthy</v>
      </c>
      <c r="W278" t="str">
        <f t="shared" si="61"/>
        <v>Good</v>
      </c>
      <c r="X278" s="5" t="str">
        <f t="shared" si="62"/>
        <v>Medium</v>
      </c>
      <c r="Y278" s="5" t="str">
        <f t="shared" si="63"/>
        <v>High</v>
      </c>
      <c r="Z278" s="5" t="str">
        <f>IF(B278=120,"NULL",IF(AND(V278="High Stress", W278="High Risk", Y278="Low"),"High Risk : Reject", IF(AND(V278="Healthy", W278="Good",Y278&lt;&gt;"Low"), "Low Risk : Approve", "Medium Risk : Review")))</f>
        <v>Low Risk : Approve</v>
      </c>
      <c r="AA278" s="5" t="str">
        <f t="shared" si="64"/>
        <v>Medium</v>
      </c>
    </row>
    <row r="279" spans="1:27" x14ac:dyDescent="0.2">
      <c r="A279">
        <v>21863</v>
      </c>
      <c r="B279">
        <v>24</v>
      </c>
      <c r="C279">
        <f t="shared" si="52"/>
        <v>24</v>
      </c>
      <c r="D279" t="s">
        <v>17</v>
      </c>
      <c r="E279" t="str">
        <f t="shared" si="53"/>
        <v>Contract</v>
      </c>
      <c r="F279">
        <v>4513.38</v>
      </c>
      <c r="G279">
        <f>ABS(Table1[[#This Row],[Monthly_Income]])</f>
        <v>4513.38</v>
      </c>
      <c r="H279">
        <v>17224.669999999998</v>
      </c>
      <c r="I279" s="5">
        <f t="shared" si="54"/>
        <v>17224.669999999998</v>
      </c>
      <c r="J279">
        <v>6</v>
      </c>
      <c r="K279">
        <v>13.91</v>
      </c>
      <c r="L279">
        <v>1</v>
      </c>
      <c r="M279">
        <f t="shared" si="55"/>
        <v>1</v>
      </c>
      <c r="N279">
        <v>6.3</v>
      </c>
      <c r="O279">
        <f t="shared" si="56"/>
        <v>6.3</v>
      </c>
      <c r="P279">
        <v>15</v>
      </c>
      <c r="Q279">
        <f t="shared" si="57"/>
        <v>15</v>
      </c>
      <c r="R279" t="s">
        <v>15</v>
      </c>
      <c r="S279" t="str">
        <f t="shared" si="58"/>
        <v xml:space="preserve">Performing </v>
      </c>
      <c r="T279" t="s">
        <v>16</v>
      </c>
      <c r="U279" s="3">
        <f t="shared" si="59"/>
        <v>0.63605952375677055</v>
      </c>
      <c r="V279" t="str">
        <f t="shared" si="60"/>
        <v>High Stress</v>
      </c>
      <c r="W279" t="str">
        <f t="shared" si="61"/>
        <v>Good</v>
      </c>
      <c r="X279" s="5" t="str">
        <f t="shared" si="62"/>
        <v>Medium</v>
      </c>
      <c r="Y279" s="5" t="str">
        <f t="shared" si="63"/>
        <v>Low</v>
      </c>
      <c r="Z279" s="5" t="str">
        <f>IF(B279=120,"NULL",IF(AND(V279="High Stress", W279="High Risk", Y279="Low"),"High Risk : Reject", IF(AND(V279="Healthy", W279="Good",Y279&lt;&gt;"Low"), "Low Risk : Approve", "Medium Risk : Review")))</f>
        <v>Medium Risk : Review</v>
      </c>
      <c r="AA279" s="5" t="str">
        <f t="shared" si="64"/>
        <v>Medium</v>
      </c>
    </row>
    <row r="280" spans="1:27" x14ac:dyDescent="0.2">
      <c r="A280">
        <v>23552</v>
      </c>
      <c r="B280">
        <v>18</v>
      </c>
      <c r="C280">
        <f t="shared" si="52"/>
        <v>18</v>
      </c>
      <c r="D280" t="s">
        <v>26</v>
      </c>
      <c r="E280" t="str">
        <f t="shared" si="53"/>
        <v>Salaried</v>
      </c>
      <c r="F280">
        <v>2395.2800000000002</v>
      </c>
      <c r="G280">
        <f>ABS(Table1[[#This Row],[Monthly_Income]])</f>
        <v>2395.2800000000002</v>
      </c>
      <c r="H280">
        <v>21942.16</v>
      </c>
      <c r="I280" s="5">
        <f t="shared" si="54"/>
        <v>21942.16</v>
      </c>
      <c r="J280">
        <v>18</v>
      </c>
      <c r="K280">
        <v>19.27</v>
      </c>
      <c r="L280">
        <v>2</v>
      </c>
      <c r="M280">
        <f t="shared" si="55"/>
        <v>2</v>
      </c>
      <c r="N280">
        <v>7.8</v>
      </c>
      <c r="O280">
        <f t="shared" si="56"/>
        <v>7.8</v>
      </c>
      <c r="P280">
        <v>15</v>
      </c>
      <c r="Q280">
        <f t="shared" si="57"/>
        <v>15</v>
      </c>
      <c r="R280" t="s">
        <v>15</v>
      </c>
      <c r="S280" t="str">
        <f t="shared" si="58"/>
        <v xml:space="preserve">Performing </v>
      </c>
      <c r="T280" t="s">
        <v>14</v>
      </c>
      <c r="U280" s="3">
        <f t="shared" si="59"/>
        <v>0.50892124882639556</v>
      </c>
      <c r="V280" t="str">
        <f t="shared" si="60"/>
        <v>High Stress</v>
      </c>
      <c r="W280" t="str">
        <f t="shared" si="61"/>
        <v>Good</v>
      </c>
      <c r="X280" s="5" t="str">
        <f t="shared" si="62"/>
        <v>Medium</v>
      </c>
      <c r="Y280" s="5" t="str">
        <f t="shared" si="63"/>
        <v>High</v>
      </c>
      <c r="Z280" s="5" t="str">
        <f>IF(B280=120,"NULL",IF(AND(V280="High Stress", W280="High Risk", Y280="Low"),"High Risk : Reject", IF(AND(V280="Healthy", W280="Good",Y280&lt;&gt;"Low"), "Low Risk : Approve", "Medium Risk : Review")))</f>
        <v>Medium Risk : Review</v>
      </c>
      <c r="AA280" s="5" t="str">
        <f t="shared" si="64"/>
        <v>Medium</v>
      </c>
    </row>
    <row r="281" spans="1:27" x14ac:dyDescent="0.2">
      <c r="A281">
        <v>23230</v>
      </c>
      <c r="B281">
        <v>34</v>
      </c>
      <c r="C281">
        <f t="shared" si="52"/>
        <v>34</v>
      </c>
      <c r="D281" t="s">
        <v>17</v>
      </c>
      <c r="E281" t="str">
        <f t="shared" si="53"/>
        <v>Contract</v>
      </c>
      <c r="F281">
        <v>5076.5</v>
      </c>
      <c r="G281">
        <f>ABS(Table1[[#This Row],[Monthly_Income]])</f>
        <v>5076.5</v>
      </c>
      <c r="H281">
        <v>13102.2</v>
      </c>
      <c r="I281" s="5">
        <f t="shared" si="54"/>
        <v>13102.2</v>
      </c>
      <c r="J281">
        <v>6</v>
      </c>
      <c r="K281">
        <v>17.829999999999998</v>
      </c>
      <c r="L281">
        <v>0</v>
      </c>
      <c r="M281">
        <f t="shared" si="55"/>
        <v>0</v>
      </c>
      <c r="N281">
        <v>0.3</v>
      </c>
      <c r="O281">
        <f t="shared" si="56"/>
        <v>0.3</v>
      </c>
      <c r="P281">
        <v>0</v>
      </c>
      <c r="Q281">
        <f t="shared" si="57"/>
        <v>0</v>
      </c>
      <c r="R281" t="s">
        <v>15</v>
      </c>
      <c r="S281" t="str">
        <f t="shared" si="58"/>
        <v xml:space="preserve">Performing </v>
      </c>
      <c r="T281" t="s">
        <v>19</v>
      </c>
      <c r="U281" s="3">
        <f t="shared" si="59"/>
        <v>0.43015857382054568</v>
      </c>
      <c r="V281" t="str">
        <f t="shared" si="60"/>
        <v>Stretched</v>
      </c>
      <c r="W281" t="str">
        <f t="shared" si="61"/>
        <v>Good</v>
      </c>
      <c r="X281" s="5" t="str">
        <f t="shared" si="62"/>
        <v>Medium</v>
      </c>
      <c r="Y281" s="5" t="str">
        <f t="shared" si="63"/>
        <v>Low</v>
      </c>
      <c r="Z281" s="5" t="str">
        <f>IF(B281=120,"NULL",IF(AND(V281="High Stress", W281="High Risk", Y281="Low"),"High Risk : Reject", IF(AND(V281="Healthy", W281="Good",Y281&lt;&gt;"Low"), "Low Risk : Approve", "Medium Risk : Review")))</f>
        <v>Medium Risk : Review</v>
      </c>
      <c r="AA281" s="5" t="str">
        <f t="shared" si="64"/>
        <v>Medium</v>
      </c>
    </row>
    <row r="282" spans="1:27" x14ac:dyDescent="0.2">
      <c r="A282">
        <v>25521</v>
      </c>
      <c r="B282">
        <v>47</v>
      </c>
      <c r="C282">
        <f t="shared" si="52"/>
        <v>47</v>
      </c>
      <c r="D282" t="s">
        <v>12</v>
      </c>
      <c r="E282" t="str">
        <f t="shared" si="53"/>
        <v>Self-Employed</v>
      </c>
      <c r="F282">
        <v>6174.7</v>
      </c>
      <c r="G282">
        <f>ABS(Table1[[#This Row],[Monthly_Income]])</f>
        <v>6174.7</v>
      </c>
      <c r="H282">
        <v>29350.67</v>
      </c>
      <c r="I282" s="5">
        <f t="shared" si="54"/>
        <v>29350.67</v>
      </c>
      <c r="J282">
        <v>60</v>
      </c>
      <c r="K282">
        <v>25.39</v>
      </c>
      <c r="L282">
        <v>4</v>
      </c>
      <c r="M282">
        <f t="shared" si="55"/>
        <v>4</v>
      </c>
      <c r="N282">
        <v>13.6</v>
      </c>
      <c r="O282">
        <f t="shared" si="56"/>
        <v>13.6</v>
      </c>
      <c r="P282">
        <v>0</v>
      </c>
      <c r="Q282">
        <f t="shared" si="57"/>
        <v>0</v>
      </c>
      <c r="R282" t="s">
        <v>15</v>
      </c>
      <c r="S282" t="str">
        <f t="shared" si="58"/>
        <v xml:space="preserve">Performing </v>
      </c>
      <c r="T282" t="s">
        <v>14</v>
      </c>
      <c r="U282" s="3">
        <f t="shared" si="59"/>
        <v>7.9222931208533742E-2</v>
      </c>
      <c r="V282" t="str">
        <f t="shared" si="60"/>
        <v>Healthy</v>
      </c>
      <c r="W282" t="str">
        <f t="shared" si="61"/>
        <v>Good</v>
      </c>
      <c r="X282" s="5" t="str">
        <f t="shared" si="62"/>
        <v>Medium</v>
      </c>
      <c r="Y282" s="5" t="str">
        <f t="shared" si="63"/>
        <v>Medium</v>
      </c>
      <c r="Z282" s="5" t="str">
        <f>IF(B282=120,"NULL",IF(AND(V282="High Stress", W282="High Risk", Y282="Low"),"High Risk : Reject", IF(AND(V282="Healthy", W282="Good",Y282&lt;&gt;"Low"), "Low Risk : Approve", "Medium Risk : Review")))</f>
        <v>Low Risk : Approve</v>
      </c>
      <c r="AA282" s="5" t="str">
        <f t="shared" si="64"/>
        <v>Medium</v>
      </c>
    </row>
    <row r="283" spans="1:27" x14ac:dyDescent="0.2">
      <c r="A283">
        <v>20939</v>
      </c>
      <c r="B283">
        <v>53</v>
      </c>
      <c r="C283">
        <f t="shared" si="52"/>
        <v>53</v>
      </c>
      <c r="D283" t="s">
        <v>12</v>
      </c>
      <c r="E283" t="str">
        <f t="shared" si="53"/>
        <v>Self-Employed</v>
      </c>
      <c r="F283">
        <v>5339.65</v>
      </c>
      <c r="G283">
        <f>ABS(Table1[[#This Row],[Monthly_Income]])</f>
        <v>5339.65</v>
      </c>
      <c r="H283">
        <v>21102</v>
      </c>
      <c r="I283" s="5">
        <f t="shared" si="54"/>
        <v>21102</v>
      </c>
      <c r="J283">
        <v>60</v>
      </c>
      <c r="K283">
        <v>19.78</v>
      </c>
      <c r="L283">
        <v>2</v>
      </c>
      <c r="M283">
        <f t="shared" si="55"/>
        <v>2</v>
      </c>
      <c r="N283">
        <v>8.6</v>
      </c>
      <c r="O283">
        <f t="shared" si="56"/>
        <v>8.6</v>
      </c>
      <c r="P283">
        <v>90</v>
      </c>
      <c r="Q283">
        <f t="shared" si="57"/>
        <v>90</v>
      </c>
      <c r="R283" t="s">
        <v>18</v>
      </c>
      <c r="S283" t="str">
        <f t="shared" si="58"/>
        <v>Non-Performing</v>
      </c>
      <c r="T283" t="s">
        <v>14</v>
      </c>
      <c r="U283" s="3">
        <f t="shared" si="59"/>
        <v>6.5865740263874969E-2</v>
      </c>
      <c r="V283" t="str">
        <f t="shared" si="60"/>
        <v>Healthy</v>
      </c>
      <c r="W283" t="str">
        <f t="shared" si="61"/>
        <v>High Risk</v>
      </c>
      <c r="X283" s="5" t="str">
        <f t="shared" si="62"/>
        <v>Medium</v>
      </c>
      <c r="Y283" s="5" t="str">
        <f t="shared" si="63"/>
        <v>Medium</v>
      </c>
      <c r="Z283" s="5" t="str">
        <f>IF(B283=120,"NULL",IF(AND(V283="High Stress", W283="High Risk", Y283="Low"),"High Risk : Reject", IF(AND(V283="Healthy", W283="Good",Y283&lt;&gt;"Low"), "Low Risk : Approve", "Medium Risk : Review")))</f>
        <v>Medium Risk : Review</v>
      </c>
      <c r="AA283" s="5" t="str">
        <f t="shared" si="64"/>
        <v>Medium</v>
      </c>
    </row>
    <row r="284" spans="1:27" x14ac:dyDescent="0.2">
      <c r="A284">
        <v>21271</v>
      </c>
      <c r="B284">
        <v>36</v>
      </c>
      <c r="C284">
        <f t="shared" si="52"/>
        <v>36</v>
      </c>
      <c r="D284" t="s">
        <v>27</v>
      </c>
      <c r="E284" t="str">
        <f t="shared" si="53"/>
        <v>Unemployed</v>
      </c>
      <c r="F284">
        <v>8516.0400000000009</v>
      </c>
      <c r="G284">
        <f>ABS(Table1[[#This Row],[Monthly_Income]])</f>
        <v>8516.0400000000009</v>
      </c>
      <c r="H284">
        <v>20865.77</v>
      </c>
      <c r="I284" s="5">
        <f t="shared" si="54"/>
        <v>20865.77</v>
      </c>
      <c r="J284">
        <v>6</v>
      </c>
      <c r="K284">
        <v>16.260000000000002</v>
      </c>
      <c r="L284">
        <v>3</v>
      </c>
      <c r="M284">
        <f t="shared" si="55"/>
        <v>3</v>
      </c>
      <c r="N284">
        <v>8.4</v>
      </c>
      <c r="O284">
        <f t="shared" si="56"/>
        <v>8.4</v>
      </c>
      <c r="P284">
        <v>15</v>
      </c>
      <c r="Q284">
        <f t="shared" si="57"/>
        <v>15</v>
      </c>
      <c r="R284" t="s">
        <v>13</v>
      </c>
      <c r="S284" t="str">
        <f t="shared" si="58"/>
        <v>Performing</v>
      </c>
      <c r="T284" t="s">
        <v>25</v>
      </c>
      <c r="U284" s="3">
        <f t="shared" si="59"/>
        <v>0.40836214171531993</v>
      </c>
      <c r="V284" t="str">
        <f t="shared" si="60"/>
        <v>Stretched</v>
      </c>
      <c r="W284" t="str">
        <f t="shared" si="61"/>
        <v>Good</v>
      </c>
      <c r="X284" s="5" t="str">
        <f t="shared" si="62"/>
        <v>Medium</v>
      </c>
      <c r="Y284" s="5" t="str">
        <f t="shared" si="63"/>
        <v>Low</v>
      </c>
      <c r="Z284" s="5" t="str">
        <f>IF(B284=120,"NULL",IF(AND(V284="High Stress", W284="High Risk", Y284="Low"),"High Risk : Reject", IF(AND(V284="Healthy", W284="Good",Y284&lt;&gt;"Low"), "Low Risk : Approve", "Medium Risk : Review")))</f>
        <v>Medium Risk : Review</v>
      </c>
      <c r="AA284" s="5" t="str">
        <f t="shared" si="64"/>
        <v>High</v>
      </c>
    </row>
    <row r="285" spans="1:27" x14ac:dyDescent="0.2">
      <c r="A285">
        <v>20943</v>
      </c>
      <c r="B285">
        <v>64</v>
      </c>
      <c r="C285">
        <f t="shared" si="52"/>
        <v>64</v>
      </c>
      <c r="D285" t="s">
        <v>26</v>
      </c>
      <c r="E285" t="str">
        <f t="shared" si="53"/>
        <v>Salaried</v>
      </c>
      <c r="F285">
        <v>9083.83</v>
      </c>
      <c r="G285">
        <f>ABS(Table1[[#This Row],[Monthly_Income]])</f>
        <v>9083.83</v>
      </c>
      <c r="H285">
        <v>38804.79</v>
      </c>
      <c r="I285" s="5">
        <f t="shared" si="54"/>
        <v>38804.79</v>
      </c>
      <c r="J285">
        <v>36</v>
      </c>
      <c r="K285">
        <v>19.559999999999999</v>
      </c>
      <c r="M285" t="str">
        <f t="shared" si="55"/>
        <v>NULL</v>
      </c>
      <c r="N285">
        <v>9.6999999999999993</v>
      </c>
      <c r="O285">
        <f t="shared" si="56"/>
        <v>9.6999999999999993</v>
      </c>
      <c r="P285">
        <v>15</v>
      </c>
      <c r="Q285">
        <f t="shared" si="57"/>
        <v>15</v>
      </c>
      <c r="R285" t="s">
        <v>18</v>
      </c>
      <c r="S285" t="str">
        <f t="shared" si="58"/>
        <v>Non-Performing</v>
      </c>
      <c r="T285" t="s">
        <v>22</v>
      </c>
      <c r="U285" s="3">
        <f t="shared" si="59"/>
        <v>0.11866259422879263</v>
      </c>
      <c r="V285" t="str">
        <f t="shared" si="60"/>
        <v>Healthy</v>
      </c>
      <c r="W285" t="str">
        <f t="shared" si="61"/>
        <v>Good</v>
      </c>
      <c r="X285" s="5" t="str">
        <f t="shared" si="62"/>
        <v>High</v>
      </c>
      <c r="Y285" s="5" t="str">
        <f t="shared" si="63"/>
        <v>High</v>
      </c>
      <c r="Z285" s="5" t="str">
        <f>IF(B285=120,"NULL",IF(AND(V285="High Stress", W285="High Risk", Y285="Low"),"High Risk : Reject", IF(AND(V285="Healthy", W285="Good",Y285&lt;&gt;"Low"), "Low Risk : Approve", "Medium Risk : Review")))</f>
        <v>Low Risk : Approve</v>
      </c>
      <c r="AA285" s="5" t="str">
        <f t="shared" si="64"/>
        <v>High</v>
      </c>
    </row>
    <row r="286" spans="1:27" x14ac:dyDescent="0.2">
      <c r="A286">
        <v>23141</v>
      </c>
      <c r="B286">
        <v>22</v>
      </c>
      <c r="C286">
        <f t="shared" si="52"/>
        <v>22</v>
      </c>
      <c r="D286" t="s">
        <v>23</v>
      </c>
      <c r="E286" t="str">
        <f t="shared" si="53"/>
        <v>Self-Employed</v>
      </c>
      <c r="F286">
        <v>10684.21</v>
      </c>
      <c r="G286">
        <f>ABS(Table1[[#This Row],[Monthly_Income]])</f>
        <v>10684.21</v>
      </c>
      <c r="H286">
        <v>25643.66</v>
      </c>
      <c r="I286" s="5">
        <f t="shared" si="54"/>
        <v>25643.66</v>
      </c>
      <c r="J286">
        <v>12</v>
      </c>
      <c r="K286">
        <v>20.65</v>
      </c>
      <c r="L286">
        <v>2</v>
      </c>
      <c r="M286">
        <f t="shared" si="55"/>
        <v>2</v>
      </c>
      <c r="N286">
        <v>1.7</v>
      </c>
      <c r="O286">
        <f t="shared" si="56"/>
        <v>1.7</v>
      </c>
      <c r="P286">
        <v>120</v>
      </c>
      <c r="Q286">
        <f t="shared" si="57"/>
        <v>120</v>
      </c>
      <c r="R286" t="s">
        <v>18</v>
      </c>
      <c r="S286" t="str">
        <f t="shared" si="58"/>
        <v>Non-Performing</v>
      </c>
      <c r="T286" t="s">
        <v>14</v>
      </c>
      <c r="U286" s="3">
        <f t="shared" si="59"/>
        <v>0.20001213628959622</v>
      </c>
      <c r="V286" t="str">
        <f t="shared" si="60"/>
        <v>Healthy</v>
      </c>
      <c r="W286" t="str">
        <f t="shared" si="61"/>
        <v>High Risk</v>
      </c>
      <c r="X286" s="5" t="str">
        <f t="shared" si="62"/>
        <v>Medium</v>
      </c>
      <c r="Y286" s="5" t="str">
        <f t="shared" si="63"/>
        <v>Medium</v>
      </c>
      <c r="Z286" s="5" t="str">
        <f>IF(B286=120,"NULL",IF(AND(V286="High Stress", W286="High Risk", Y286="Low"),"High Risk : Reject", IF(AND(V286="Healthy", W286="Good",Y286&lt;&gt;"Low"), "Low Risk : Approve", "Medium Risk : Review")))</f>
        <v>Medium Risk : Review</v>
      </c>
      <c r="AA286" s="5" t="str">
        <f t="shared" si="64"/>
        <v>High</v>
      </c>
    </row>
    <row r="287" spans="1:27" x14ac:dyDescent="0.2">
      <c r="A287">
        <v>20239</v>
      </c>
      <c r="B287">
        <v>53</v>
      </c>
      <c r="C287">
        <f t="shared" si="52"/>
        <v>53</v>
      </c>
      <c r="D287" t="s">
        <v>21</v>
      </c>
      <c r="E287" t="str">
        <f t="shared" si="53"/>
        <v>Salaried</v>
      </c>
      <c r="F287">
        <v>5606.83</v>
      </c>
      <c r="G287">
        <f>ABS(Table1[[#This Row],[Monthly_Income]])</f>
        <v>5606.83</v>
      </c>
      <c r="H287">
        <v>1391.41</v>
      </c>
      <c r="I287" s="5">
        <f t="shared" si="54"/>
        <v>1391.41</v>
      </c>
      <c r="J287">
        <v>18</v>
      </c>
      <c r="K287">
        <v>18.73</v>
      </c>
      <c r="L287">
        <v>4</v>
      </c>
      <c r="M287">
        <f t="shared" si="55"/>
        <v>4</v>
      </c>
      <c r="N287">
        <v>7.7</v>
      </c>
      <c r="O287">
        <f t="shared" si="56"/>
        <v>7.7</v>
      </c>
      <c r="P287">
        <v>0</v>
      </c>
      <c r="Q287">
        <f t="shared" si="57"/>
        <v>0</v>
      </c>
      <c r="R287" t="s">
        <v>20</v>
      </c>
      <c r="S287" t="str">
        <f t="shared" si="58"/>
        <v>Written Off</v>
      </c>
      <c r="T287" t="s">
        <v>16</v>
      </c>
      <c r="U287" s="3">
        <f t="shared" si="59"/>
        <v>1.3786855594971769E-2</v>
      </c>
      <c r="V287" t="str">
        <f t="shared" si="60"/>
        <v>Healthy</v>
      </c>
      <c r="W287" t="str">
        <f t="shared" si="61"/>
        <v>Good</v>
      </c>
      <c r="X287" s="5" t="str">
        <f t="shared" si="62"/>
        <v>Small</v>
      </c>
      <c r="Y287" s="5" t="str">
        <f t="shared" si="63"/>
        <v>High</v>
      </c>
      <c r="Z287" s="5" t="str">
        <f>IF(B287=120,"NULL",IF(AND(V287="High Stress", W287="High Risk", Y287="Low"),"High Risk : Reject", IF(AND(V287="Healthy", W287="Good",Y287&lt;&gt;"Low"), "Low Risk : Approve", "Medium Risk : Review")))</f>
        <v>Low Risk : Approve</v>
      </c>
      <c r="AA287" s="5" t="str">
        <f t="shared" si="64"/>
        <v>Medium</v>
      </c>
    </row>
    <row r="288" spans="1:27" x14ac:dyDescent="0.2">
      <c r="A288">
        <v>22151</v>
      </c>
      <c r="B288">
        <v>22</v>
      </c>
      <c r="C288">
        <f t="shared" si="52"/>
        <v>22</v>
      </c>
      <c r="D288" t="s">
        <v>23</v>
      </c>
      <c r="E288" t="str">
        <f t="shared" si="53"/>
        <v>Self-Employed</v>
      </c>
      <c r="F288">
        <v>4636.34</v>
      </c>
      <c r="G288">
        <f>ABS(Table1[[#This Row],[Monthly_Income]])</f>
        <v>4636.34</v>
      </c>
      <c r="H288">
        <v>16644.18</v>
      </c>
      <c r="I288" s="5">
        <f t="shared" si="54"/>
        <v>16644.18</v>
      </c>
      <c r="J288">
        <v>36</v>
      </c>
      <c r="K288">
        <v>18.86</v>
      </c>
      <c r="M288" t="str">
        <f t="shared" si="55"/>
        <v>NULL</v>
      </c>
      <c r="N288">
        <v>9.6</v>
      </c>
      <c r="O288">
        <f t="shared" si="56"/>
        <v>9.6</v>
      </c>
      <c r="P288">
        <v>60</v>
      </c>
      <c r="Q288">
        <f t="shared" si="57"/>
        <v>60</v>
      </c>
      <c r="R288" t="s">
        <v>18</v>
      </c>
      <c r="S288" t="str">
        <f t="shared" si="58"/>
        <v>Non-Performing</v>
      </c>
      <c r="T288" t="s">
        <v>16</v>
      </c>
      <c r="U288" s="3">
        <f t="shared" si="59"/>
        <v>9.9720541058967493E-2</v>
      </c>
      <c r="V288" t="str">
        <f t="shared" si="60"/>
        <v>Healthy</v>
      </c>
      <c r="W288" t="str">
        <f t="shared" si="61"/>
        <v>High Risk</v>
      </c>
      <c r="X288" s="5" t="str">
        <f t="shared" si="62"/>
        <v>Medium</v>
      </c>
      <c r="Y288" s="5" t="str">
        <f t="shared" si="63"/>
        <v>Medium</v>
      </c>
      <c r="Z288" s="5" t="str">
        <f>IF(B288=120,"NULL",IF(AND(V288="High Stress", W288="High Risk", Y288="Low"),"High Risk : Reject", IF(AND(V288="Healthy", W288="Good",Y288&lt;&gt;"Low"), "Low Risk : Approve", "Medium Risk : Review")))</f>
        <v>Medium Risk : Review</v>
      </c>
      <c r="AA288" s="5" t="str">
        <f t="shared" si="64"/>
        <v>Medium</v>
      </c>
    </row>
    <row r="289" spans="1:27" x14ac:dyDescent="0.2">
      <c r="A289">
        <v>25838</v>
      </c>
      <c r="B289">
        <v>43</v>
      </c>
      <c r="C289">
        <f t="shared" si="52"/>
        <v>43</v>
      </c>
      <c r="D289" t="s">
        <v>27</v>
      </c>
      <c r="E289" t="str">
        <f t="shared" si="53"/>
        <v>Unemployed</v>
      </c>
      <c r="F289">
        <v>3587.23</v>
      </c>
      <c r="G289">
        <f>ABS(Table1[[#This Row],[Monthly_Income]])</f>
        <v>3587.23</v>
      </c>
      <c r="H289"/>
      <c r="I289" s="5" t="str">
        <f t="shared" si="54"/>
        <v>NULL</v>
      </c>
      <c r="J289">
        <v>48</v>
      </c>
      <c r="K289">
        <v>24.63</v>
      </c>
      <c r="M289" t="str">
        <f t="shared" si="55"/>
        <v>NULL</v>
      </c>
      <c r="N289">
        <v>7.7</v>
      </c>
      <c r="O289">
        <f t="shared" si="56"/>
        <v>7.7</v>
      </c>
      <c r="P289">
        <v>15</v>
      </c>
      <c r="Q289">
        <f t="shared" si="57"/>
        <v>15</v>
      </c>
      <c r="R289" t="s">
        <v>24</v>
      </c>
      <c r="S289" t="str">
        <f t="shared" si="58"/>
        <v>Non-Performing</v>
      </c>
      <c r="T289" t="s">
        <v>16</v>
      </c>
      <c r="U289" s="3" t="str">
        <f t="shared" si="59"/>
        <v>NULL</v>
      </c>
      <c r="V289" t="str">
        <f t="shared" si="60"/>
        <v>NULL</v>
      </c>
      <c r="W289" t="str">
        <f t="shared" si="61"/>
        <v>Good</v>
      </c>
      <c r="X289" s="5" t="str">
        <f t="shared" si="62"/>
        <v>High</v>
      </c>
      <c r="Y289" s="5" t="str">
        <f t="shared" si="63"/>
        <v>Low</v>
      </c>
      <c r="Z289" s="5" t="str">
        <f>IF(B289=120,"NULL",IF(AND(V289="High Stress", W289="High Risk", Y289="Low"),"High Risk : Reject", IF(AND(V289="Healthy", W289="Good",Y289&lt;&gt;"Low"), "Low Risk : Approve", "Medium Risk : Review")))</f>
        <v>Medium Risk : Review</v>
      </c>
      <c r="AA289" s="5" t="str">
        <f t="shared" si="64"/>
        <v>Medium</v>
      </c>
    </row>
    <row r="290" spans="1:27" x14ac:dyDescent="0.2">
      <c r="A290">
        <v>25571</v>
      </c>
      <c r="B290">
        <v>22</v>
      </c>
      <c r="C290">
        <f t="shared" si="52"/>
        <v>22</v>
      </c>
      <c r="D290" t="s">
        <v>27</v>
      </c>
      <c r="E290" t="str">
        <f t="shared" si="53"/>
        <v>Unemployed</v>
      </c>
      <c r="F290">
        <v>4522.8900000000003</v>
      </c>
      <c r="G290">
        <f>ABS(Table1[[#This Row],[Monthly_Income]])</f>
        <v>4522.8900000000003</v>
      </c>
      <c r="H290">
        <v>18085.509999999998</v>
      </c>
      <c r="I290" s="5">
        <f t="shared" si="54"/>
        <v>18085.509999999998</v>
      </c>
      <c r="J290">
        <v>48</v>
      </c>
      <c r="K290">
        <v>16.66</v>
      </c>
      <c r="L290">
        <v>0</v>
      </c>
      <c r="M290">
        <f t="shared" si="55"/>
        <v>0</v>
      </c>
      <c r="N290">
        <v>5.2</v>
      </c>
      <c r="O290">
        <f t="shared" si="56"/>
        <v>5.2</v>
      </c>
      <c r="P290">
        <v>90</v>
      </c>
      <c r="Q290">
        <f t="shared" si="57"/>
        <v>90</v>
      </c>
      <c r="R290" t="s">
        <v>24</v>
      </c>
      <c r="S290" t="str">
        <f t="shared" si="58"/>
        <v>Non-Performing</v>
      </c>
      <c r="T290" t="s">
        <v>14</v>
      </c>
      <c r="U290" s="3">
        <f t="shared" si="59"/>
        <v>8.3305465826790673E-2</v>
      </c>
      <c r="V290" t="str">
        <f t="shared" si="60"/>
        <v>Healthy</v>
      </c>
      <c r="W290" t="str">
        <f t="shared" si="61"/>
        <v>High Risk</v>
      </c>
      <c r="X290" s="5" t="str">
        <f t="shared" si="62"/>
        <v>Medium</v>
      </c>
      <c r="Y290" s="5" t="str">
        <f t="shared" si="63"/>
        <v>Low</v>
      </c>
      <c r="Z290" s="5" t="str">
        <f>IF(B290=120,"NULL",IF(AND(V290="High Stress", W290="High Risk", Y290="Low"),"High Risk : Reject", IF(AND(V290="Healthy", W290="Good",Y290&lt;&gt;"Low"), "Low Risk : Approve", "Medium Risk : Review")))</f>
        <v>Medium Risk : Review</v>
      </c>
      <c r="AA290" s="5" t="str">
        <f t="shared" si="64"/>
        <v>Medium</v>
      </c>
    </row>
    <row r="291" spans="1:27" x14ac:dyDescent="0.2">
      <c r="A291">
        <v>20909</v>
      </c>
      <c r="B291">
        <v>42</v>
      </c>
      <c r="C291">
        <f t="shared" si="52"/>
        <v>42</v>
      </c>
      <c r="D291" t="s">
        <v>27</v>
      </c>
      <c r="E291" t="str">
        <f t="shared" si="53"/>
        <v>Unemployed</v>
      </c>
      <c r="F291">
        <v>3120.83</v>
      </c>
      <c r="G291">
        <f>ABS(Table1[[#This Row],[Monthly_Income]])</f>
        <v>3120.83</v>
      </c>
      <c r="H291">
        <v>20888.37</v>
      </c>
      <c r="I291" s="5">
        <f t="shared" si="54"/>
        <v>20888.37</v>
      </c>
      <c r="J291">
        <v>36</v>
      </c>
      <c r="K291">
        <v>18.79</v>
      </c>
      <c r="M291" t="str">
        <f t="shared" si="55"/>
        <v>NULL</v>
      </c>
      <c r="N291">
        <v>7.1</v>
      </c>
      <c r="O291">
        <f t="shared" si="56"/>
        <v>7.1</v>
      </c>
      <c r="P291">
        <v>0</v>
      </c>
      <c r="Q291">
        <f t="shared" si="57"/>
        <v>0</v>
      </c>
      <c r="R291" t="s">
        <v>15</v>
      </c>
      <c r="S291" t="str">
        <f t="shared" si="58"/>
        <v xml:space="preserve">Performing </v>
      </c>
      <c r="T291" t="s">
        <v>22</v>
      </c>
      <c r="U291" s="3">
        <f t="shared" si="59"/>
        <v>0.18592249497729768</v>
      </c>
      <c r="V291" t="str">
        <f t="shared" si="60"/>
        <v>Healthy</v>
      </c>
      <c r="W291" t="str">
        <f t="shared" si="61"/>
        <v>Good</v>
      </c>
      <c r="X291" s="5" t="str">
        <f t="shared" si="62"/>
        <v>Medium</v>
      </c>
      <c r="Y291" s="5" t="str">
        <f t="shared" si="63"/>
        <v>Low</v>
      </c>
      <c r="Z291" s="5" t="str">
        <f>IF(B291=120,"NULL",IF(AND(V291="High Stress", W291="High Risk", Y291="Low"),"High Risk : Reject", IF(AND(V291="Healthy", W291="Good",Y291&lt;&gt;"Low"), "Low Risk : Approve", "Medium Risk : Review")))</f>
        <v>Medium Risk : Review</v>
      </c>
      <c r="AA291" s="5" t="str">
        <f t="shared" si="64"/>
        <v>Medium</v>
      </c>
    </row>
    <row r="292" spans="1:27" x14ac:dyDescent="0.2">
      <c r="A292">
        <v>22871</v>
      </c>
      <c r="B292">
        <v>62</v>
      </c>
      <c r="C292">
        <f t="shared" si="52"/>
        <v>62</v>
      </c>
      <c r="D292" t="s">
        <v>21</v>
      </c>
      <c r="E292" t="str">
        <f t="shared" si="53"/>
        <v>Salaried</v>
      </c>
      <c r="F292">
        <v>8007.37</v>
      </c>
      <c r="G292">
        <f>ABS(Table1[[#This Row],[Monthly_Income]])</f>
        <v>8007.37</v>
      </c>
      <c r="H292">
        <v>22252.47</v>
      </c>
      <c r="I292" s="5">
        <f t="shared" si="54"/>
        <v>22252.47</v>
      </c>
      <c r="J292">
        <v>12</v>
      </c>
      <c r="K292">
        <v>13.79</v>
      </c>
      <c r="M292" t="str">
        <f t="shared" si="55"/>
        <v>NULL</v>
      </c>
      <c r="N292">
        <v>8.4</v>
      </c>
      <c r="O292">
        <f t="shared" si="56"/>
        <v>8.4</v>
      </c>
      <c r="P292">
        <v>0</v>
      </c>
      <c r="Q292">
        <f t="shared" si="57"/>
        <v>0</v>
      </c>
      <c r="R292" t="s">
        <v>18</v>
      </c>
      <c r="S292" t="str">
        <f t="shared" si="58"/>
        <v>Non-Performing</v>
      </c>
      <c r="T292" t="s">
        <v>14</v>
      </c>
      <c r="U292" s="3">
        <f t="shared" si="59"/>
        <v>0.23158321646183455</v>
      </c>
      <c r="V292" t="str">
        <f t="shared" si="60"/>
        <v>Healthy</v>
      </c>
      <c r="W292" t="str">
        <f t="shared" si="61"/>
        <v>Good</v>
      </c>
      <c r="X292" s="5" t="str">
        <f t="shared" si="62"/>
        <v>Medium</v>
      </c>
      <c r="Y292" s="5" t="str">
        <f t="shared" si="63"/>
        <v>High</v>
      </c>
      <c r="Z292" s="5" t="str">
        <f>IF(B292=120,"NULL",IF(AND(V292="High Stress", W292="High Risk", Y292="Low"),"High Risk : Reject", IF(AND(V292="Healthy", W292="Good",Y292&lt;&gt;"Low"), "Low Risk : Approve", "Medium Risk : Review")))</f>
        <v>Low Risk : Approve</v>
      </c>
      <c r="AA292" s="5" t="str">
        <f t="shared" si="64"/>
        <v>High</v>
      </c>
    </row>
    <row r="293" spans="1:27" x14ac:dyDescent="0.2">
      <c r="A293">
        <v>25209</v>
      </c>
      <c r="B293">
        <v>57</v>
      </c>
      <c r="C293">
        <f t="shared" si="52"/>
        <v>57</v>
      </c>
      <c r="D293" t="s">
        <v>21</v>
      </c>
      <c r="E293" t="str">
        <f t="shared" si="53"/>
        <v>Salaried</v>
      </c>
      <c r="F293">
        <v>7306.89</v>
      </c>
      <c r="G293">
        <f>ABS(Table1[[#This Row],[Monthly_Income]])</f>
        <v>7306.89</v>
      </c>
      <c r="H293">
        <v>10560.01</v>
      </c>
      <c r="I293" s="5">
        <f t="shared" si="54"/>
        <v>10560.01</v>
      </c>
      <c r="J293">
        <v>36</v>
      </c>
      <c r="K293">
        <v>18.48</v>
      </c>
      <c r="L293">
        <v>3</v>
      </c>
      <c r="M293">
        <f t="shared" si="55"/>
        <v>3</v>
      </c>
      <c r="N293">
        <v>4.8</v>
      </c>
      <c r="O293">
        <f t="shared" si="56"/>
        <v>4.8</v>
      </c>
      <c r="P293">
        <v>90</v>
      </c>
      <c r="Q293">
        <f t="shared" si="57"/>
        <v>90</v>
      </c>
      <c r="R293" t="s">
        <v>20</v>
      </c>
      <c r="S293" t="str">
        <f t="shared" si="58"/>
        <v>Written Off</v>
      </c>
      <c r="T293" t="s">
        <v>14</v>
      </c>
      <c r="U293" s="3">
        <f t="shared" si="59"/>
        <v>4.0144796364952953E-2</v>
      </c>
      <c r="V293" t="str">
        <f t="shared" si="60"/>
        <v>Healthy</v>
      </c>
      <c r="W293" t="str">
        <f t="shared" si="61"/>
        <v>High Risk</v>
      </c>
      <c r="X293" s="5" t="str">
        <f t="shared" si="62"/>
        <v>Medium</v>
      </c>
      <c r="Y293" s="5" t="str">
        <f t="shared" si="63"/>
        <v>High</v>
      </c>
      <c r="Z293" s="5" t="str">
        <f>IF(B293=120,"NULL",IF(AND(V293="High Stress", W293="High Risk", Y293="Low"),"High Risk : Reject", IF(AND(V293="Healthy", W293="Good",Y293&lt;&gt;"Low"), "Low Risk : Approve", "Medium Risk : Review")))</f>
        <v>Medium Risk : Review</v>
      </c>
      <c r="AA293" s="5" t="str">
        <f t="shared" si="64"/>
        <v>Medium</v>
      </c>
    </row>
    <row r="294" spans="1:27" x14ac:dyDescent="0.2">
      <c r="A294">
        <v>20092</v>
      </c>
      <c r="B294">
        <v>35</v>
      </c>
      <c r="C294">
        <f t="shared" si="52"/>
        <v>35</v>
      </c>
      <c r="D294" t="s">
        <v>21</v>
      </c>
      <c r="E294" t="str">
        <f t="shared" si="53"/>
        <v>Salaried</v>
      </c>
      <c r="F294">
        <v>6272.12</v>
      </c>
      <c r="G294">
        <f>ABS(Table1[[#This Row],[Monthly_Income]])</f>
        <v>6272.12</v>
      </c>
      <c r="H294">
        <v>25711.53</v>
      </c>
      <c r="I294" s="5">
        <f t="shared" si="54"/>
        <v>25711.53</v>
      </c>
      <c r="J294">
        <v>60</v>
      </c>
      <c r="K294">
        <v>9.75</v>
      </c>
      <c r="L294">
        <v>1</v>
      </c>
      <c r="M294">
        <f t="shared" si="55"/>
        <v>1</v>
      </c>
      <c r="N294">
        <v>10.1</v>
      </c>
      <c r="O294">
        <f t="shared" si="56"/>
        <v>10.1</v>
      </c>
      <c r="P294">
        <v>60</v>
      </c>
      <c r="Q294">
        <f t="shared" si="57"/>
        <v>60</v>
      </c>
      <c r="R294" t="s">
        <v>24</v>
      </c>
      <c r="S294" t="str">
        <f t="shared" si="58"/>
        <v>Non-Performing</v>
      </c>
      <c r="T294" t="s">
        <v>14</v>
      </c>
      <c r="U294" s="3">
        <f t="shared" si="59"/>
        <v>6.8322273808536824E-2</v>
      </c>
      <c r="V294" t="str">
        <f t="shared" si="60"/>
        <v>Healthy</v>
      </c>
      <c r="W294" t="str">
        <f t="shared" si="61"/>
        <v>High Risk</v>
      </c>
      <c r="X294" s="5" t="str">
        <f t="shared" si="62"/>
        <v>Medium</v>
      </c>
      <c r="Y294" s="5" t="str">
        <f t="shared" si="63"/>
        <v>High</v>
      </c>
      <c r="Z294" s="5" t="str">
        <f>IF(B294=120,"NULL",IF(AND(V294="High Stress", W294="High Risk", Y294="Low"),"High Risk : Reject", IF(AND(V294="Healthy", W294="Good",Y294&lt;&gt;"Low"), "Low Risk : Approve", "Medium Risk : Review")))</f>
        <v>Medium Risk : Review</v>
      </c>
      <c r="AA294" s="5" t="str">
        <f t="shared" si="64"/>
        <v>Medium</v>
      </c>
    </row>
    <row r="295" spans="1:27" x14ac:dyDescent="0.2">
      <c r="A295">
        <v>21020</v>
      </c>
      <c r="B295">
        <v>29</v>
      </c>
      <c r="C295">
        <f t="shared" si="52"/>
        <v>29</v>
      </c>
      <c r="D295" t="s">
        <v>27</v>
      </c>
      <c r="E295" t="str">
        <f t="shared" si="53"/>
        <v>Unemployed</v>
      </c>
      <c r="F295">
        <v>152.18</v>
      </c>
      <c r="G295">
        <f>ABS(Table1[[#This Row],[Monthly_Income]])</f>
        <v>152.18</v>
      </c>
      <c r="H295">
        <v>40815.379999999997</v>
      </c>
      <c r="I295" s="5">
        <f t="shared" si="54"/>
        <v>40815.379999999997</v>
      </c>
      <c r="J295">
        <v>48</v>
      </c>
      <c r="K295">
        <v>14.78</v>
      </c>
      <c r="L295">
        <v>1</v>
      </c>
      <c r="M295">
        <f t="shared" si="55"/>
        <v>1</v>
      </c>
      <c r="N295">
        <v>14</v>
      </c>
      <c r="O295">
        <f t="shared" si="56"/>
        <v>14</v>
      </c>
      <c r="P295">
        <v>15</v>
      </c>
      <c r="Q295">
        <f t="shared" si="57"/>
        <v>15</v>
      </c>
      <c r="R295" t="s">
        <v>24</v>
      </c>
      <c r="S295" t="str">
        <f t="shared" si="58"/>
        <v>Non-Performing</v>
      </c>
      <c r="T295" t="s">
        <v>25</v>
      </c>
      <c r="U295" s="3">
        <f t="shared" si="59"/>
        <v>5.5875963770972961</v>
      </c>
      <c r="V295" t="str">
        <f t="shared" si="60"/>
        <v>High Stress</v>
      </c>
      <c r="W295" t="str">
        <f t="shared" si="61"/>
        <v>Good</v>
      </c>
      <c r="X295" s="5" t="str">
        <f t="shared" si="62"/>
        <v>High</v>
      </c>
      <c r="Y295" s="5" t="str">
        <f t="shared" si="63"/>
        <v>Low</v>
      </c>
      <c r="Z295" s="5" t="str">
        <f>IF(B295=120,"NULL",IF(AND(V295="High Stress", W295="High Risk", Y295="Low"),"High Risk : Reject", IF(AND(V295="Healthy", W295="Good",Y295&lt;&gt;"Low"), "Low Risk : Approve", "Medium Risk : Review")))</f>
        <v>Medium Risk : Review</v>
      </c>
      <c r="AA295" s="5" t="str">
        <f t="shared" si="64"/>
        <v>Low</v>
      </c>
    </row>
    <row r="296" spans="1:27" x14ac:dyDescent="0.2">
      <c r="A296">
        <v>23089</v>
      </c>
      <c r="B296">
        <v>49</v>
      </c>
      <c r="C296">
        <f t="shared" si="52"/>
        <v>49</v>
      </c>
      <c r="D296" t="s">
        <v>26</v>
      </c>
      <c r="E296" t="str">
        <f t="shared" si="53"/>
        <v>Salaried</v>
      </c>
      <c r="F296">
        <v>4790.6099999999997</v>
      </c>
      <c r="G296">
        <f>ABS(Table1[[#This Row],[Monthly_Income]])</f>
        <v>4790.6099999999997</v>
      </c>
      <c r="H296">
        <v>34764.53</v>
      </c>
      <c r="I296" s="5">
        <f t="shared" si="54"/>
        <v>34764.53</v>
      </c>
      <c r="J296">
        <v>12</v>
      </c>
      <c r="K296">
        <v>26.36</v>
      </c>
      <c r="L296">
        <v>1</v>
      </c>
      <c r="M296">
        <f t="shared" si="55"/>
        <v>1</v>
      </c>
      <c r="N296">
        <v>11</v>
      </c>
      <c r="O296">
        <f t="shared" si="56"/>
        <v>11</v>
      </c>
      <c r="P296">
        <v>0</v>
      </c>
      <c r="Q296">
        <f t="shared" si="57"/>
        <v>0</v>
      </c>
      <c r="R296" t="s">
        <v>15</v>
      </c>
      <c r="S296" t="str">
        <f t="shared" si="58"/>
        <v xml:space="preserve">Performing </v>
      </c>
      <c r="T296" t="s">
        <v>25</v>
      </c>
      <c r="U296" s="3">
        <f t="shared" si="59"/>
        <v>0.60473387870577378</v>
      </c>
      <c r="V296" t="str">
        <f t="shared" si="60"/>
        <v>High Stress</v>
      </c>
      <c r="W296" t="str">
        <f t="shared" si="61"/>
        <v>Good</v>
      </c>
      <c r="X296" s="5" t="str">
        <f t="shared" si="62"/>
        <v>High</v>
      </c>
      <c r="Y296" s="5" t="str">
        <f t="shared" si="63"/>
        <v>High</v>
      </c>
      <c r="Z296" s="5" t="str">
        <f>IF(B296=120,"NULL",IF(AND(V296="High Stress", W296="High Risk", Y296="Low"),"High Risk : Reject", IF(AND(V296="Healthy", W296="Good",Y296&lt;&gt;"Low"), "Low Risk : Approve", "Medium Risk : Review")))</f>
        <v>Medium Risk : Review</v>
      </c>
      <c r="AA296" s="5" t="str">
        <f t="shared" si="64"/>
        <v>Medium</v>
      </c>
    </row>
    <row r="297" spans="1:27" x14ac:dyDescent="0.2">
      <c r="A297">
        <v>24591</v>
      </c>
      <c r="B297">
        <v>40</v>
      </c>
      <c r="C297">
        <f t="shared" si="52"/>
        <v>40</v>
      </c>
      <c r="D297" t="s">
        <v>27</v>
      </c>
      <c r="E297" t="str">
        <f t="shared" si="53"/>
        <v>Unemployed</v>
      </c>
      <c r="F297">
        <v>6589.29</v>
      </c>
      <c r="G297">
        <f>ABS(Table1[[#This Row],[Monthly_Income]])</f>
        <v>6589.29</v>
      </c>
      <c r="H297">
        <v>26427.38</v>
      </c>
      <c r="I297" s="5">
        <f t="shared" si="54"/>
        <v>26427.38</v>
      </c>
      <c r="J297">
        <v>48</v>
      </c>
      <c r="K297">
        <v>19.27</v>
      </c>
      <c r="L297">
        <v>1</v>
      </c>
      <c r="M297">
        <f t="shared" si="55"/>
        <v>1</v>
      </c>
      <c r="N297">
        <v>8.1</v>
      </c>
      <c r="O297">
        <f t="shared" si="56"/>
        <v>8.1</v>
      </c>
      <c r="P297">
        <v>0</v>
      </c>
      <c r="Q297">
        <f t="shared" si="57"/>
        <v>0</v>
      </c>
      <c r="R297" t="s">
        <v>24</v>
      </c>
      <c r="S297" t="str">
        <f t="shared" si="58"/>
        <v>Non-Performing</v>
      </c>
      <c r="T297" t="s">
        <v>16</v>
      </c>
      <c r="U297" s="3">
        <f t="shared" si="59"/>
        <v>8.3555347642411654E-2</v>
      </c>
      <c r="V297" t="str">
        <f t="shared" si="60"/>
        <v>Healthy</v>
      </c>
      <c r="W297" t="str">
        <f t="shared" si="61"/>
        <v>Good</v>
      </c>
      <c r="X297" s="5" t="str">
        <f t="shared" si="62"/>
        <v>Medium</v>
      </c>
      <c r="Y297" s="5" t="str">
        <f t="shared" si="63"/>
        <v>Low</v>
      </c>
      <c r="Z297" s="5" t="str">
        <f>IF(B297=120,"NULL",IF(AND(V297="High Stress", W297="High Risk", Y297="Low"),"High Risk : Reject", IF(AND(V297="Healthy", W297="Good",Y297&lt;&gt;"Low"), "Low Risk : Approve", "Medium Risk : Review")))</f>
        <v>Medium Risk : Review</v>
      </c>
      <c r="AA297" s="5" t="str">
        <f t="shared" si="64"/>
        <v>Medium</v>
      </c>
    </row>
    <row r="298" spans="1:27" x14ac:dyDescent="0.2">
      <c r="A298">
        <v>25501</v>
      </c>
      <c r="B298">
        <v>24</v>
      </c>
      <c r="C298">
        <f t="shared" si="52"/>
        <v>24</v>
      </c>
      <c r="D298" t="s">
        <v>21</v>
      </c>
      <c r="E298" t="str">
        <f t="shared" si="53"/>
        <v>Salaried</v>
      </c>
      <c r="F298">
        <v>4139.8900000000003</v>
      </c>
      <c r="G298">
        <f>ABS(Table1[[#This Row],[Monthly_Income]])</f>
        <v>4139.8900000000003</v>
      </c>
      <c r="H298">
        <v>3179.69</v>
      </c>
      <c r="I298" s="5">
        <f t="shared" si="54"/>
        <v>3179.69</v>
      </c>
      <c r="J298">
        <v>36</v>
      </c>
      <c r="K298">
        <v>17.22</v>
      </c>
      <c r="L298">
        <v>0</v>
      </c>
      <c r="M298">
        <f t="shared" si="55"/>
        <v>0</v>
      </c>
      <c r="N298">
        <v>8.9</v>
      </c>
      <c r="O298">
        <f t="shared" si="56"/>
        <v>8.9</v>
      </c>
      <c r="P298">
        <v>15</v>
      </c>
      <c r="Q298">
        <f t="shared" si="57"/>
        <v>15</v>
      </c>
      <c r="R298" t="s">
        <v>18</v>
      </c>
      <c r="S298" t="str">
        <f t="shared" si="58"/>
        <v>Non-Performing</v>
      </c>
      <c r="T298" t="s">
        <v>22</v>
      </c>
      <c r="U298" s="3">
        <f t="shared" si="59"/>
        <v>2.1335040839786133E-2</v>
      </c>
      <c r="V298" t="str">
        <f t="shared" si="60"/>
        <v>Healthy</v>
      </c>
      <c r="W298" t="str">
        <f t="shared" si="61"/>
        <v>Good</v>
      </c>
      <c r="X298" s="5" t="str">
        <f t="shared" si="62"/>
        <v>Small</v>
      </c>
      <c r="Y298" s="5" t="str">
        <f t="shared" si="63"/>
        <v>High</v>
      </c>
      <c r="Z298" s="5" t="str">
        <f>IF(B298=120,"NULL",IF(AND(V298="High Stress", W298="High Risk", Y298="Low"),"High Risk : Reject", IF(AND(V298="Healthy", W298="Good",Y298&lt;&gt;"Low"), "Low Risk : Approve", "Medium Risk : Review")))</f>
        <v>Low Risk : Approve</v>
      </c>
      <c r="AA298" s="5" t="str">
        <f t="shared" si="64"/>
        <v>Medium</v>
      </c>
    </row>
    <row r="299" spans="1:27" x14ac:dyDescent="0.2">
      <c r="A299">
        <v>20646</v>
      </c>
      <c r="B299">
        <v>30</v>
      </c>
      <c r="C299">
        <f t="shared" si="52"/>
        <v>30</v>
      </c>
      <c r="D299" t="s">
        <v>12</v>
      </c>
      <c r="E299" t="str">
        <f t="shared" si="53"/>
        <v>Self-Employed</v>
      </c>
      <c r="F299">
        <v>5133.78</v>
      </c>
      <c r="G299">
        <f>ABS(Table1[[#This Row],[Monthly_Income]])</f>
        <v>5133.78</v>
      </c>
      <c r="H299">
        <v>16201.26</v>
      </c>
      <c r="I299" s="5">
        <f t="shared" si="54"/>
        <v>16201.26</v>
      </c>
      <c r="J299">
        <v>60</v>
      </c>
      <c r="K299">
        <v>22.87</v>
      </c>
      <c r="L299">
        <v>3</v>
      </c>
      <c r="M299">
        <f t="shared" si="55"/>
        <v>3</v>
      </c>
      <c r="N299">
        <v>8.9</v>
      </c>
      <c r="O299">
        <f t="shared" si="56"/>
        <v>8.9</v>
      </c>
      <c r="P299">
        <v>60</v>
      </c>
      <c r="Q299">
        <f t="shared" si="57"/>
        <v>60</v>
      </c>
      <c r="R299" t="s">
        <v>18</v>
      </c>
      <c r="S299" t="str">
        <f t="shared" si="58"/>
        <v>Non-Performing</v>
      </c>
      <c r="T299" t="s">
        <v>22</v>
      </c>
      <c r="U299" s="3">
        <f t="shared" si="59"/>
        <v>5.259691689164709E-2</v>
      </c>
      <c r="V299" t="str">
        <f t="shared" si="60"/>
        <v>Healthy</v>
      </c>
      <c r="W299" t="str">
        <f t="shared" si="61"/>
        <v>High Risk</v>
      </c>
      <c r="X299" s="5" t="str">
        <f t="shared" si="62"/>
        <v>Medium</v>
      </c>
      <c r="Y299" s="5" t="str">
        <f t="shared" si="63"/>
        <v>Medium</v>
      </c>
      <c r="Z299" s="5" t="str">
        <f>IF(B299=120,"NULL",IF(AND(V299="High Stress", W299="High Risk", Y299="Low"),"High Risk : Reject", IF(AND(V299="Healthy", W299="Good",Y299&lt;&gt;"Low"), "Low Risk : Approve", "Medium Risk : Review")))</f>
        <v>Medium Risk : Review</v>
      </c>
      <c r="AA299" s="5" t="str">
        <f t="shared" si="64"/>
        <v>Medium</v>
      </c>
    </row>
    <row r="300" spans="1:27" x14ac:dyDescent="0.2">
      <c r="A300">
        <v>20105</v>
      </c>
      <c r="B300">
        <v>47</v>
      </c>
      <c r="C300">
        <f t="shared" si="52"/>
        <v>47</v>
      </c>
      <c r="D300" t="s">
        <v>17</v>
      </c>
      <c r="E300" t="str">
        <f t="shared" si="53"/>
        <v>Contract</v>
      </c>
      <c r="F300">
        <v>6316.31</v>
      </c>
      <c r="G300">
        <f>ABS(Table1[[#This Row],[Monthly_Income]])</f>
        <v>6316.31</v>
      </c>
      <c r="H300">
        <v>18794.18</v>
      </c>
      <c r="I300" s="5">
        <f t="shared" si="54"/>
        <v>18794.18</v>
      </c>
      <c r="J300">
        <v>36</v>
      </c>
      <c r="K300">
        <v>23.06</v>
      </c>
      <c r="L300">
        <v>4</v>
      </c>
      <c r="M300">
        <f t="shared" si="55"/>
        <v>4</v>
      </c>
      <c r="N300">
        <v>1.6</v>
      </c>
      <c r="O300">
        <f t="shared" si="56"/>
        <v>1.6</v>
      </c>
      <c r="P300">
        <v>60</v>
      </c>
      <c r="Q300">
        <f t="shared" si="57"/>
        <v>60</v>
      </c>
      <c r="R300" t="s">
        <v>20</v>
      </c>
      <c r="S300" t="str">
        <f t="shared" si="58"/>
        <v>Written Off</v>
      </c>
      <c r="T300" t="s">
        <v>14</v>
      </c>
      <c r="U300" s="3">
        <f t="shared" si="59"/>
        <v>8.2652775996674574E-2</v>
      </c>
      <c r="V300" t="str">
        <f t="shared" si="60"/>
        <v>Healthy</v>
      </c>
      <c r="W300" t="str">
        <f t="shared" si="61"/>
        <v>High Risk</v>
      </c>
      <c r="X300" s="5" t="str">
        <f t="shared" si="62"/>
        <v>Medium</v>
      </c>
      <c r="Y300" s="5" t="str">
        <f t="shared" si="63"/>
        <v>Low</v>
      </c>
      <c r="Z300" s="5" t="str">
        <f>IF(B300=120,"NULL",IF(AND(V300="High Stress", W300="High Risk", Y300="Low"),"High Risk : Reject", IF(AND(V300="Healthy", W300="Good",Y300&lt;&gt;"Low"), "Low Risk : Approve", "Medium Risk : Review")))</f>
        <v>Medium Risk : Review</v>
      </c>
      <c r="AA300" s="5" t="str">
        <f t="shared" si="64"/>
        <v>Medium</v>
      </c>
    </row>
    <row r="301" spans="1:27" x14ac:dyDescent="0.2">
      <c r="A301">
        <v>20606</v>
      </c>
      <c r="B301">
        <v>44</v>
      </c>
      <c r="C301">
        <f t="shared" si="52"/>
        <v>44</v>
      </c>
      <c r="D301" t="s">
        <v>12</v>
      </c>
      <c r="E301" t="str">
        <f t="shared" si="53"/>
        <v>Self-Employed</v>
      </c>
      <c r="F301">
        <v>6236.96</v>
      </c>
      <c r="G301">
        <f>ABS(Table1[[#This Row],[Monthly_Income]])</f>
        <v>6236.96</v>
      </c>
      <c r="H301">
        <v>33756.089999999997</v>
      </c>
      <c r="I301" s="5">
        <f t="shared" si="54"/>
        <v>33756.089999999997</v>
      </c>
      <c r="J301">
        <v>6</v>
      </c>
      <c r="K301">
        <v>14.9</v>
      </c>
      <c r="L301">
        <v>1</v>
      </c>
      <c r="M301">
        <f t="shared" si="55"/>
        <v>1</v>
      </c>
      <c r="N301">
        <v>11.9</v>
      </c>
      <c r="O301">
        <f t="shared" si="56"/>
        <v>11.9</v>
      </c>
      <c r="P301">
        <v>60</v>
      </c>
      <c r="Q301">
        <f t="shared" si="57"/>
        <v>60</v>
      </c>
      <c r="R301" t="s">
        <v>15</v>
      </c>
      <c r="S301" t="str">
        <f t="shared" si="58"/>
        <v xml:space="preserve">Performing </v>
      </c>
      <c r="T301" t="s">
        <v>22</v>
      </c>
      <c r="U301" s="3">
        <f t="shared" si="59"/>
        <v>0.90204442548934083</v>
      </c>
      <c r="V301" t="str">
        <f t="shared" si="60"/>
        <v>High Stress</v>
      </c>
      <c r="W301" t="str">
        <f t="shared" si="61"/>
        <v>High Risk</v>
      </c>
      <c r="X301" s="5" t="str">
        <f t="shared" si="62"/>
        <v>High</v>
      </c>
      <c r="Y301" s="5" t="str">
        <f t="shared" si="63"/>
        <v>Medium</v>
      </c>
      <c r="Z301" s="5" t="str">
        <f>IF(B301=120,"NULL",IF(AND(V301="High Stress", W301="High Risk", Y301="Low"),"High Risk : Reject", IF(AND(V301="Healthy", W301="Good",Y301&lt;&gt;"Low"), "Low Risk : Approve", "Medium Risk : Review")))</f>
        <v>Medium Risk : Review</v>
      </c>
      <c r="AA301" s="5" t="str">
        <f t="shared" si="64"/>
        <v>Medium</v>
      </c>
    </row>
    <row r="302" spans="1:27" x14ac:dyDescent="0.2">
      <c r="A302">
        <v>24792</v>
      </c>
      <c r="B302">
        <v>64</v>
      </c>
      <c r="C302">
        <f t="shared" si="52"/>
        <v>64</v>
      </c>
      <c r="D302" t="s">
        <v>12</v>
      </c>
      <c r="E302" t="str">
        <f t="shared" si="53"/>
        <v>Self-Employed</v>
      </c>
      <c r="F302">
        <v>6780</v>
      </c>
      <c r="G302">
        <f>ABS(Table1[[#This Row],[Monthly_Income]])</f>
        <v>6780</v>
      </c>
      <c r="H302">
        <v>18538.400000000001</v>
      </c>
      <c r="I302" s="5">
        <f t="shared" si="54"/>
        <v>18538.400000000001</v>
      </c>
      <c r="J302">
        <v>6</v>
      </c>
      <c r="K302">
        <v>13.21</v>
      </c>
      <c r="L302">
        <v>1</v>
      </c>
      <c r="M302">
        <f t="shared" si="55"/>
        <v>1</v>
      </c>
      <c r="N302">
        <v>10.8</v>
      </c>
      <c r="O302">
        <f t="shared" si="56"/>
        <v>10.8</v>
      </c>
      <c r="P302">
        <v>90</v>
      </c>
      <c r="Q302">
        <f t="shared" si="57"/>
        <v>90</v>
      </c>
      <c r="R302" t="s">
        <v>20</v>
      </c>
      <c r="S302" t="str">
        <f t="shared" si="58"/>
        <v>Written Off</v>
      </c>
      <c r="T302" t="s">
        <v>19</v>
      </c>
      <c r="U302" s="3">
        <f t="shared" si="59"/>
        <v>0.45571288102261559</v>
      </c>
      <c r="V302" t="str">
        <f t="shared" si="60"/>
        <v>High Stress</v>
      </c>
      <c r="W302" t="str">
        <f t="shared" si="61"/>
        <v>High Risk</v>
      </c>
      <c r="X302" s="5" t="str">
        <f t="shared" si="62"/>
        <v>Medium</v>
      </c>
      <c r="Y302" s="5" t="str">
        <f t="shared" si="63"/>
        <v>Medium</v>
      </c>
      <c r="Z302" s="5" t="str">
        <f>IF(B302=120,"NULL",IF(AND(V302="High Stress", W302="High Risk", Y302="Low"),"High Risk : Reject", IF(AND(V302="Healthy", W302="Good",Y302&lt;&gt;"Low"), "Low Risk : Approve", "Medium Risk : Review")))</f>
        <v>Medium Risk : Review</v>
      </c>
      <c r="AA302" s="5" t="str">
        <f t="shared" si="64"/>
        <v>Medium</v>
      </c>
    </row>
    <row r="303" spans="1:27" x14ac:dyDescent="0.2">
      <c r="A303">
        <v>21231</v>
      </c>
      <c r="B303">
        <v>22</v>
      </c>
      <c r="C303">
        <f t="shared" si="52"/>
        <v>22</v>
      </c>
      <c r="D303" t="s">
        <v>27</v>
      </c>
      <c r="E303" t="str">
        <f t="shared" si="53"/>
        <v>Unemployed</v>
      </c>
      <c r="F303">
        <v>4319.51</v>
      </c>
      <c r="G303">
        <f>ABS(Table1[[#This Row],[Monthly_Income]])</f>
        <v>4319.51</v>
      </c>
      <c r="H303">
        <v>29889.74</v>
      </c>
      <c r="I303" s="5">
        <f t="shared" si="54"/>
        <v>29889.74</v>
      </c>
      <c r="J303">
        <v>48</v>
      </c>
      <c r="K303">
        <v>19.02</v>
      </c>
      <c r="L303">
        <v>4</v>
      </c>
      <c r="M303">
        <f t="shared" si="55"/>
        <v>4</v>
      </c>
      <c r="N303">
        <v>-1.2</v>
      </c>
      <c r="O303">
        <f t="shared" si="56"/>
        <v>1.2</v>
      </c>
      <c r="P303">
        <v>0</v>
      </c>
      <c r="Q303">
        <f t="shared" si="57"/>
        <v>0</v>
      </c>
      <c r="R303" t="s">
        <v>18</v>
      </c>
      <c r="S303" t="str">
        <f t="shared" si="58"/>
        <v>Non-Performing</v>
      </c>
      <c r="T303" t="s">
        <v>14</v>
      </c>
      <c r="U303" s="3">
        <f t="shared" si="59"/>
        <v>0.14416054521616264</v>
      </c>
      <c r="V303" t="str">
        <f t="shared" si="60"/>
        <v>Healthy</v>
      </c>
      <c r="W303" t="str">
        <f t="shared" si="61"/>
        <v>Good</v>
      </c>
      <c r="X303" s="5" t="str">
        <f t="shared" si="62"/>
        <v>Medium</v>
      </c>
      <c r="Y303" s="5" t="str">
        <f t="shared" si="63"/>
        <v>Low</v>
      </c>
      <c r="Z303" s="5" t="str">
        <f>IF(B303=120,"NULL",IF(AND(V303="High Stress", W303="High Risk", Y303="Low"),"High Risk : Reject", IF(AND(V303="Healthy", W303="Good",Y303&lt;&gt;"Low"), "Low Risk : Approve", "Medium Risk : Review")))</f>
        <v>Medium Risk : Review</v>
      </c>
      <c r="AA303" s="5" t="str">
        <f t="shared" si="64"/>
        <v>Medium</v>
      </c>
    </row>
    <row r="304" spans="1:27" x14ac:dyDescent="0.2">
      <c r="A304">
        <v>20967</v>
      </c>
      <c r="B304">
        <v>44</v>
      </c>
      <c r="C304">
        <f t="shared" si="52"/>
        <v>44</v>
      </c>
      <c r="D304" t="s">
        <v>26</v>
      </c>
      <c r="E304" t="str">
        <f t="shared" si="53"/>
        <v>Salaried</v>
      </c>
      <c r="F304">
        <v>3345.04</v>
      </c>
      <c r="G304">
        <f>ABS(Table1[[#This Row],[Monthly_Income]])</f>
        <v>3345.04</v>
      </c>
      <c r="H304">
        <v>20195.240000000002</v>
      </c>
      <c r="I304" s="5">
        <f t="shared" si="54"/>
        <v>20195.240000000002</v>
      </c>
      <c r="J304">
        <v>60</v>
      </c>
      <c r="K304">
        <v>16.36</v>
      </c>
      <c r="L304">
        <v>0</v>
      </c>
      <c r="M304">
        <f t="shared" si="55"/>
        <v>0</v>
      </c>
      <c r="N304">
        <v>7</v>
      </c>
      <c r="O304">
        <f t="shared" si="56"/>
        <v>7</v>
      </c>
      <c r="P304">
        <v>30</v>
      </c>
      <c r="Q304">
        <f t="shared" si="57"/>
        <v>30</v>
      </c>
      <c r="R304" t="s">
        <v>15</v>
      </c>
      <c r="S304" t="str">
        <f t="shared" si="58"/>
        <v xml:space="preserve">Performing </v>
      </c>
      <c r="T304" t="s">
        <v>19</v>
      </c>
      <c r="U304" s="3">
        <f t="shared" si="59"/>
        <v>0.10062281268186131</v>
      </c>
      <c r="V304" t="str">
        <f t="shared" si="60"/>
        <v>Healthy</v>
      </c>
      <c r="W304" t="str">
        <f t="shared" si="61"/>
        <v>At Risk</v>
      </c>
      <c r="X304" s="5" t="str">
        <f t="shared" si="62"/>
        <v>Medium</v>
      </c>
      <c r="Y304" s="5" t="str">
        <f t="shared" si="63"/>
        <v>High</v>
      </c>
      <c r="Z304" s="5" t="str">
        <f>IF(B304=120,"NULL",IF(AND(V304="High Stress", W304="High Risk", Y304="Low"),"High Risk : Reject", IF(AND(V304="Healthy", W304="Good",Y304&lt;&gt;"Low"), "Low Risk : Approve", "Medium Risk : Review")))</f>
        <v>Medium Risk : Review</v>
      </c>
      <c r="AA304" s="5" t="str">
        <f t="shared" si="64"/>
        <v>Medium</v>
      </c>
    </row>
    <row r="305" spans="1:27" x14ac:dyDescent="0.2">
      <c r="A305">
        <v>21215</v>
      </c>
      <c r="B305">
        <v>48</v>
      </c>
      <c r="C305">
        <f t="shared" si="52"/>
        <v>48</v>
      </c>
      <c r="D305" t="s">
        <v>12</v>
      </c>
      <c r="E305" t="str">
        <f t="shared" si="53"/>
        <v>Self-Employed</v>
      </c>
      <c r="F305">
        <v>9088.91</v>
      </c>
      <c r="G305">
        <f>ABS(Table1[[#This Row],[Monthly_Income]])</f>
        <v>9088.91</v>
      </c>
      <c r="H305">
        <v>3755.12</v>
      </c>
      <c r="I305" s="5">
        <f t="shared" si="54"/>
        <v>3755.12</v>
      </c>
      <c r="J305">
        <v>12</v>
      </c>
      <c r="K305">
        <v>12.02</v>
      </c>
      <c r="L305">
        <v>1</v>
      </c>
      <c r="M305">
        <f t="shared" si="55"/>
        <v>1</v>
      </c>
      <c r="N305">
        <v>10.199999999999999</v>
      </c>
      <c r="O305">
        <f t="shared" si="56"/>
        <v>10.199999999999999</v>
      </c>
      <c r="P305">
        <v>90</v>
      </c>
      <c r="Q305">
        <f t="shared" si="57"/>
        <v>90</v>
      </c>
      <c r="R305" t="s">
        <v>15</v>
      </c>
      <c r="S305" t="str">
        <f t="shared" si="58"/>
        <v xml:space="preserve">Performing </v>
      </c>
      <c r="T305" t="s">
        <v>19</v>
      </c>
      <c r="U305" s="3">
        <f t="shared" si="59"/>
        <v>3.4429504381346794E-2</v>
      </c>
      <c r="V305" t="str">
        <f t="shared" si="60"/>
        <v>Healthy</v>
      </c>
      <c r="W305" t="str">
        <f t="shared" si="61"/>
        <v>High Risk</v>
      </c>
      <c r="X305" s="5" t="str">
        <f t="shared" si="62"/>
        <v>Small</v>
      </c>
      <c r="Y305" s="5" t="str">
        <f t="shared" si="63"/>
        <v>Medium</v>
      </c>
      <c r="Z305" s="5" t="str">
        <f>IF(B305=120,"NULL",IF(AND(V305="High Stress", W305="High Risk", Y305="Low"),"High Risk : Reject", IF(AND(V305="Healthy", W305="Good",Y305&lt;&gt;"Low"), "Low Risk : Approve", "Medium Risk : Review")))</f>
        <v>Medium Risk : Review</v>
      </c>
      <c r="AA305" s="5" t="str">
        <f t="shared" si="64"/>
        <v>High</v>
      </c>
    </row>
    <row r="306" spans="1:27" x14ac:dyDescent="0.2">
      <c r="A306">
        <v>21411</v>
      </c>
      <c r="B306">
        <v>120</v>
      </c>
      <c r="C306" t="str">
        <f t="shared" si="52"/>
        <v>NULL</v>
      </c>
      <c r="D306" t="s">
        <v>17</v>
      </c>
      <c r="E306" t="str">
        <f t="shared" si="53"/>
        <v>Contract</v>
      </c>
      <c r="F306">
        <v>6997.68</v>
      </c>
      <c r="G306">
        <f>ABS(Table1[[#This Row],[Monthly_Income]])</f>
        <v>6997.68</v>
      </c>
      <c r="H306"/>
      <c r="I306" s="5" t="str">
        <f t="shared" si="54"/>
        <v>NULL</v>
      </c>
      <c r="J306">
        <v>60</v>
      </c>
      <c r="K306">
        <v>21.14</v>
      </c>
      <c r="M306" t="str">
        <f t="shared" si="55"/>
        <v>NULL</v>
      </c>
      <c r="N306">
        <v>10.199999999999999</v>
      </c>
      <c r="O306">
        <f t="shared" si="56"/>
        <v>10.199999999999999</v>
      </c>
      <c r="P306">
        <v>0</v>
      </c>
      <c r="Q306">
        <f t="shared" si="57"/>
        <v>0</v>
      </c>
      <c r="R306" t="s">
        <v>24</v>
      </c>
      <c r="S306" t="str">
        <f t="shared" si="58"/>
        <v>Non-Performing</v>
      </c>
      <c r="T306" t="s">
        <v>22</v>
      </c>
      <c r="U306" s="3" t="str">
        <f t="shared" si="59"/>
        <v>NULL</v>
      </c>
      <c r="V306" t="str">
        <f t="shared" si="60"/>
        <v>NULL</v>
      </c>
      <c r="W306" t="str">
        <f t="shared" si="61"/>
        <v>Good</v>
      </c>
      <c r="X306" s="5" t="str">
        <f t="shared" si="62"/>
        <v>High</v>
      </c>
      <c r="Y306" s="5" t="str">
        <f t="shared" si="63"/>
        <v>Low</v>
      </c>
      <c r="Z306" s="5" t="str">
        <f>IF(B306=120,"NULL",IF(AND(V306="High Stress", W306="High Risk", Y306="Low"),"High Risk : Reject", IF(AND(V306="Healthy", W306="Good",Y306&lt;&gt;"Low"), "Low Risk : Approve", "Medium Risk : Review")))</f>
        <v>NULL</v>
      </c>
      <c r="AA306" s="5" t="str">
        <f t="shared" si="64"/>
        <v>Medium</v>
      </c>
    </row>
    <row r="307" spans="1:27" x14ac:dyDescent="0.2">
      <c r="A307">
        <v>22598</v>
      </c>
      <c r="B307">
        <v>75</v>
      </c>
      <c r="C307">
        <f t="shared" si="52"/>
        <v>75</v>
      </c>
      <c r="D307" t="s">
        <v>12</v>
      </c>
      <c r="E307" t="str">
        <f t="shared" si="53"/>
        <v>Self-Employed</v>
      </c>
      <c r="F307">
        <v>4105.68</v>
      </c>
      <c r="G307">
        <f>ABS(Table1[[#This Row],[Monthly_Income]])</f>
        <v>4105.68</v>
      </c>
      <c r="H307">
        <v>19693.23</v>
      </c>
      <c r="I307" s="5">
        <f t="shared" si="54"/>
        <v>19693.23</v>
      </c>
      <c r="J307">
        <v>24</v>
      </c>
      <c r="K307">
        <v>18.010000000000002</v>
      </c>
      <c r="L307">
        <v>2</v>
      </c>
      <c r="M307">
        <f t="shared" si="55"/>
        <v>2</v>
      </c>
      <c r="N307">
        <v>8.3000000000000007</v>
      </c>
      <c r="O307">
        <f t="shared" si="56"/>
        <v>8.3000000000000007</v>
      </c>
      <c r="P307">
        <v>15</v>
      </c>
      <c r="Q307">
        <f t="shared" si="57"/>
        <v>15</v>
      </c>
      <c r="R307" t="s">
        <v>24</v>
      </c>
      <c r="S307" t="str">
        <f t="shared" si="58"/>
        <v>Non-Performing</v>
      </c>
      <c r="T307" t="s">
        <v>19</v>
      </c>
      <c r="U307" s="3">
        <f t="shared" si="59"/>
        <v>0.1998575753590148</v>
      </c>
      <c r="V307" t="str">
        <f t="shared" si="60"/>
        <v>Healthy</v>
      </c>
      <c r="W307" t="str">
        <f t="shared" si="61"/>
        <v>Good</v>
      </c>
      <c r="X307" s="5" t="str">
        <f t="shared" si="62"/>
        <v>Medium</v>
      </c>
      <c r="Y307" s="5" t="str">
        <f t="shared" si="63"/>
        <v>Medium</v>
      </c>
      <c r="Z307" s="5" t="str">
        <f>IF(B307=120,"NULL",IF(AND(V307="High Stress", W307="High Risk", Y307="Low"),"High Risk : Reject", IF(AND(V307="Healthy", W307="Good",Y307&lt;&gt;"Low"), "Low Risk : Approve", "Medium Risk : Review")))</f>
        <v>Low Risk : Approve</v>
      </c>
      <c r="AA307" s="5" t="str">
        <f t="shared" si="64"/>
        <v>Medium</v>
      </c>
    </row>
    <row r="308" spans="1:27" x14ac:dyDescent="0.2">
      <c r="A308">
        <v>24439</v>
      </c>
      <c r="B308">
        <v>63</v>
      </c>
      <c r="C308">
        <f t="shared" si="52"/>
        <v>63</v>
      </c>
      <c r="D308" t="s">
        <v>17</v>
      </c>
      <c r="E308" t="str">
        <f t="shared" si="53"/>
        <v>Contract</v>
      </c>
      <c r="F308">
        <v>5532.56</v>
      </c>
      <c r="G308">
        <f>ABS(Table1[[#This Row],[Monthly_Income]])</f>
        <v>5532.56</v>
      </c>
      <c r="H308">
        <v>2331.46</v>
      </c>
      <c r="I308" s="5">
        <f t="shared" si="54"/>
        <v>2331.46</v>
      </c>
      <c r="J308">
        <v>60</v>
      </c>
      <c r="K308">
        <v>15.52</v>
      </c>
      <c r="L308">
        <v>3</v>
      </c>
      <c r="M308">
        <f t="shared" si="55"/>
        <v>3</v>
      </c>
      <c r="N308">
        <v>7.3</v>
      </c>
      <c r="O308">
        <f t="shared" si="56"/>
        <v>7.3</v>
      </c>
      <c r="P308">
        <v>90</v>
      </c>
      <c r="Q308">
        <f t="shared" si="57"/>
        <v>90</v>
      </c>
      <c r="R308" t="s">
        <v>18</v>
      </c>
      <c r="S308" t="str">
        <f t="shared" si="58"/>
        <v>Non-Performing</v>
      </c>
      <c r="T308" t="s">
        <v>22</v>
      </c>
      <c r="U308" s="3">
        <f t="shared" si="59"/>
        <v>7.0234514703259726E-3</v>
      </c>
      <c r="V308" t="str">
        <f t="shared" si="60"/>
        <v>Healthy</v>
      </c>
      <c r="W308" t="str">
        <f t="shared" si="61"/>
        <v>High Risk</v>
      </c>
      <c r="X308" s="5" t="str">
        <f t="shared" si="62"/>
        <v>Small</v>
      </c>
      <c r="Y308" s="5" t="str">
        <f t="shared" si="63"/>
        <v>Low</v>
      </c>
      <c r="Z308" s="5" t="str">
        <f>IF(B308=120,"NULL",IF(AND(V308="High Stress", W308="High Risk", Y308="Low"),"High Risk : Reject", IF(AND(V308="Healthy", W308="Good",Y308&lt;&gt;"Low"), "Low Risk : Approve", "Medium Risk : Review")))</f>
        <v>Medium Risk : Review</v>
      </c>
      <c r="AA308" s="5" t="str">
        <f t="shared" si="64"/>
        <v>Medium</v>
      </c>
    </row>
    <row r="309" spans="1:27" x14ac:dyDescent="0.2">
      <c r="A309">
        <v>21266</v>
      </c>
      <c r="B309">
        <v>39</v>
      </c>
      <c r="C309">
        <f t="shared" si="52"/>
        <v>39</v>
      </c>
      <c r="D309" t="s">
        <v>17</v>
      </c>
      <c r="E309" t="str">
        <f t="shared" si="53"/>
        <v>Contract</v>
      </c>
      <c r="F309">
        <v>3301.64</v>
      </c>
      <c r="G309">
        <f>ABS(Table1[[#This Row],[Monthly_Income]])</f>
        <v>3301.64</v>
      </c>
      <c r="H309">
        <v>23210.880000000001</v>
      </c>
      <c r="I309" s="5">
        <f t="shared" si="54"/>
        <v>23210.880000000001</v>
      </c>
      <c r="J309">
        <v>12</v>
      </c>
      <c r="K309">
        <v>18.16</v>
      </c>
      <c r="L309">
        <v>0</v>
      </c>
      <c r="M309">
        <f t="shared" si="55"/>
        <v>0</v>
      </c>
      <c r="N309">
        <v>4.2</v>
      </c>
      <c r="O309">
        <f t="shared" si="56"/>
        <v>4.2</v>
      </c>
      <c r="P309">
        <v>0</v>
      </c>
      <c r="Q309">
        <f t="shared" si="57"/>
        <v>0</v>
      </c>
      <c r="R309" t="s">
        <v>13</v>
      </c>
      <c r="S309" t="str">
        <f t="shared" si="58"/>
        <v>Performing</v>
      </c>
      <c r="T309" t="s">
        <v>14</v>
      </c>
      <c r="U309" s="3">
        <f t="shared" si="59"/>
        <v>0.58584218751893002</v>
      </c>
      <c r="V309" t="str">
        <f t="shared" si="60"/>
        <v>High Stress</v>
      </c>
      <c r="W309" t="str">
        <f t="shared" si="61"/>
        <v>Good</v>
      </c>
      <c r="X309" s="5" t="str">
        <f t="shared" si="62"/>
        <v>Medium</v>
      </c>
      <c r="Y309" s="5" t="str">
        <f t="shared" si="63"/>
        <v>Low</v>
      </c>
      <c r="Z309" s="5" t="str">
        <f>IF(B309=120,"NULL",IF(AND(V309="High Stress", W309="High Risk", Y309="Low"),"High Risk : Reject", IF(AND(V309="Healthy", W309="Good",Y309&lt;&gt;"Low"), "Low Risk : Approve", "Medium Risk : Review")))</f>
        <v>Medium Risk : Review</v>
      </c>
      <c r="AA309" s="5" t="str">
        <f t="shared" si="64"/>
        <v>Medium</v>
      </c>
    </row>
    <row r="310" spans="1:27" x14ac:dyDescent="0.2">
      <c r="A310">
        <v>24911</v>
      </c>
      <c r="B310">
        <v>48</v>
      </c>
      <c r="C310">
        <f t="shared" si="52"/>
        <v>48</v>
      </c>
      <c r="D310" t="s">
        <v>17</v>
      </c>
      <c r="E310" t="str">
        <f t="shared" si="53"/>
        <v>Contract</v>
      </c>
      <c r="F310">
        <v>5038.3</v>
      </c>
      <c r="G310">
        <f>ABS(Table1[[#This Row],[Monthly_Income]])</f>
        <v>5038.3</v>
      </c>
      <c r="H310">
        <v>27964.6</v>
      </c>
      <c r="I310" s="5">
        <f t="shared" si="54"/>
        <v>27964.6</v>
      </c>
      <c r="J310">
        <v>18</v>
      </c>
      <c r="K310">
        <v>15.04</v>
      </c>
      <c r="L310">
        <v>0</v>
      </c>
      <c r="M310">
        <f t="shared" si="55"/>
        <v>0</v>
      </c>
      <c r="N310">
        <v>4.2</v>
      </c>
      <c r="O310">
        <f t="shared" si="56"/>
        <v>4.2</v>
      </c>
      <c r="P310">
        <v>0</v>
      </c>
      <c r="Q310">
        <f t="shared" si="57"/>
        <v>0</v>
      </c>
      <c r="R310" t="s">
        <v>20</v>
      </c>
      <c r="S310" t="str">
        <f t="shared" si="58"/>
        <v>Written Off</v>
      </c>
      <c r="T310" t="s">
        <v>25</v>
      </c>
      <c r="U310" s="3">
        <f t="shared" si="59"/>
        <v>0.30835577255996838</v>
      </c>
      <c r="V310" t="str">
        <f t="shared" si="60"/>
        <v>Stretched</v>
      </c>
      <c r="W310" t="str">
        <f t="shared" si="61"/>
        <v>Good</v>
      </c>
      <c r="X310" s="5" t="str">
        <f t="shared" si="62"/>
        <v>Medium</v>
      </c>
      <c r="Y310" s="5" t="str">
        <f t="shared" si="63"/>
        <v>Low</v>
      </c>
      <c r="Z310" s="5" t="str">
        <f>IF(B310=120,"NULL",IF(AND(V310="High Stress", W310="High Risk", Y310="Low"),"High Risk : Reject", IF(AND(V310="Healthy", W310="Good",Y310&lt;&gt;"Low"), "Low Risk : Approve", "Medium Risk : Review")))</f>
        <v>Medium Risk : Review</v>
      </c>
      <c r="AA310" s="5" t="str">
        <f t="shared" si="64"/>
        <v>Medium</v>
      </c>
    </row>
    <row r="311" spans="1:27" x14ac:dyDescent="0.2">
      <c r="A311">
        <v>25386</v>
      </c>
      <c r="B311">
        <v>31</v>
      </c>
      <c r="C311">
        <f t="shared" si="52"/>
        <v>31</v>
      </c>
      <c r="D311" t="s">
        <v>21</v>
      </c>
      <c r="E311" t="str">
        <f t="shared" si="53"/>
        <v>Salaried</v>
      </c>
      <c r="F311">
        <v>3312.61</v>
      </c>
      <c r="G311">
        <f>ABS(Table1[[#This Row],[Monthly_Income]])</f>
        <v>3312.61</v>
      </c>
      <c r="H311">
        <v>30886.47</v>
      </c>
      <c r="I311" s="5">
        <f t="shared" si="54"/>
        <v>30886.47</v>
      </c>
      <c r="J311">
        <v>12</v>
      </c>
      <c r="K311">
        <v>19.91</v>
      </c>
      <c r="M311" t="str">
        <f t="shared" si="55"/>
        <v>NULL</v>
      </c>
      <c r="N311">
        <v>1.1000000000000001</v>
      </c>
      <c r="O311">
        <f t="shared" si="56"/>
        <v>1.1000000000000001</v>
      </c>
      <c r="P311">
        <v>15</v>
      </c>
      <c r="Q311">
        <f t="shared" si="57"/>
        <v>15</v>
      </c>
      <c r="R311" t="s">
        <v>24</v>
      </c>
      <c r="S311" t="str">
        <f t="shared" si="58"/>
        <v>Non-Performing</v>
      </c>
      <c r="T311" t="s">
        <v>14</v>
      </c>
      <c r="U311" s="3">
        <f t="shared" si="59"/>
        <v>0.77699231119872247</v>
      </c>
      <c r="V311" t="str">
        <f t="shared" si="60"/>
        <v>High Stress</v>
      </c>
      <c r="W311" t="str">
        <f t="shared" si="61"/>
        <v>Good</v>
      </c>
      <c r="X311" s="5" t="str">
        <f t="shared" si="62"/>
        <v>High</v>
      </c>
      <c r="Y311" s="5" t="str">
        <f t="shared" si="63"/>
        <v>High</v>
      </c>
      <c r="Z311" s="5" t="str">
        <f>IF(B311=120,"NULL",IF(AND(V311="High Stress", W311="High Risk", Y311="Low"),"High Risk : Reject", IF(AND(V311="Healthy", W311="Good",Y311&lt;&gt;"Low"), "Low Risk : Approve", "Medium Risk : Review")))</f>
        <v>Medium Risk : Review</v>
      </c>
      <c r="AA311" s="5" t="str">
        <f t="shared" si="64"/>
        <v>Medium</v>
      </c>
    </row>
    <row r="312" spans="1:27" x14ac:dyDescent="0.2">
      <c r="A312">
        <v>23600</v>
      </c>
      <c r="B312">
        <v>52</v>
      </c>
      <c r="C312">
        <f t="shared" si="52"/>
        <v>52</v>
      </c>
      <c r="D312" t="s">
        <v>27</v>
      </c>
      <c r="E312" t="str">
        <f t="shared" si="53"/>
        <v>Unemployed</v>
      </c>
      <c r="F312">
        <v>3656.65</v>
      </c>
      <c r="G312">
        <f>ABS(Table1[[#This Row],[Monthly_Income]])</f>
        <v>3656.65</v>
      </c>
      <c r="H312">
        <v>19042.62</v>
      </c>
      <c r="I312" s="5">
        <f t="shared" si="54"/>
        <v>19042.62</v>
      </c>
      <c r="J312">
        <v>24</v>
      </c>
      <c r="K312">
        <v>18.68</v>
      </c>
      <c r="L312">
        <v>3</v>
      </c>
      <c r="M312">
        <f t="shared" si="55"/>
        <v>3</v>
      </c>
      <c r="N312">
        <v>11.7</v>
      </c>
      <c r="O312">
        <f t="shared" si="56"/>
        <v>11.7</v>
      </c>
      <c r="P312">
        <v>0</v>
      </c>
      <c r="Q312">
        <f t="shared" si="57"/>
        <v>0</v>
      </c>
      <c r="R312" t="s">
        <v>24</v>
      </c>
      <c r="S312" t="str">
        <f t="shared" si="58"/>
        <v>Non-Performing</v>
      </c>
      <c r="T312" t="s">
        <v>14</v>
      </c>
      <c r="U312" s="3">
        <f t="shared" si="59"/>
        <v>0.21698617587135763</v>
      </c>
      <c r="V312" t="str">
        <f t="shared" si="60"/>
        <v>Healthy</v>
      </c>
      <c r="W312" t="str">
        <f t="shared" si="61"/>
        <v>Good</v>
      </c>
      <c r="X312" s="5" t="str">
        <f t="shared" si="62"/>
        <v>Medium</v>
      </c>
      <c r="Y312" s="5" t="str">
        <f t="shared" si="63"/>
        <v>Low</v>
      </c>
      <c r="Z312" s="5" t="str">
        <f>IF(B312=120,"NULL",IF(AND(V312="High Stress", W312="High Risk", Y312="Low"),"High Risk : Reject", IF(AND(V312="Healthy", W312="Good",Y312&lt;&gt;"Low"), "Low Risk : Approve", "Medium Risk : Review")))</f>
        <v>Medium Risk : Review</v>
      </c>
      <c r="AA312" s="5" t="str">
        <f t="shared" si="64"/>
        <v>Medium</v>
      </c>
    </row>
    <row r="313" spans="1:27" x14ac:dyDescent="0.2">
      <c r="A313">
        <v>25013</v>
      </c>
      <c r="B313">
        <v>41</v>
      </c>
      <c r="C313">
        <f t="shared" si="52"/>
        <v>41</v>
      </c>
      <c r="D313" t="s">
        <v>21</v>
      </c>
      <c r="E313" t="str">
        <f t="shared" si="53"/>
        <v>Salaried</v>
      </c>
      <c r="F313">
        <v>7267.01</v>
      </c>
      <c r="G313">
        <f>ABS(Table1[[#This Row],[Monthly_Income]])</f>
        <v>7267.01</v>
      </c>
      <c r="H313">
        <v>37327.42</v>
      </c>
      <c r="I313" s="5">
        <f t="shared" si="54"/>
        <v>37327.42</v>
      </c>
      <c r="J313">
        <v>24</v>
      </c>
      <c r="K313">
        <v>19.82</v>
      </c>
      <c r="L313">
        <v>4</v>
      </c>
      <c r="M313">
        <f t="shared" si="55"/>
        <v>4</v>
      </c>
      <c r="N313">
        <v>7.2</v>
      </c>
      <c r="O313">
        <f t="shared" si="56"/>
        <v>7.2</v>
      </c>
      <c r="P313">
        <v>90</v>
      </c>
      <c r="Q313">
        <f t="shared" si="57"/>
        <v>90</v>
      </c>
      <c r="R313" t="s">
        <v>15</v>
      </c>
      <c r="S313" t="str">
        <f t="shared" si="58"/>
        <v xml:space="preserve">Performing </v>
      </c>
      <c r="T313" t="s">
        <v>19</v>
      </c>
      <c r="U313" s="3">
        <f t="shared" si="59"/>
        <v>0.21402325945150297</v>
      </c>
      <c r="V313" t="str">
        <f t="shared" si="60"/>
        <v>Healthy</v>
      </c>
      <c r="W313" t="str">
        <f t="shared" si="61"/>
        <v>High Risk</v>
      </c>
      <c r="X313" s="5" t="str">
        <f t="shared" si="62"/>
        <v>High</v>
      </c>
      <c r="Y313" s="5" t="str">
        <f t="shared" si="63"/>
        <v>High</v>
      </c>
      <c r="Z313" s="5" t="str">
        <f>IF(B313=120,"NULL",IF(AND(V313="High Stress", W313="High Risk", Y313="Low"),"High Risk : Reject", IF(AND(V313="Healthy", W313="Good",Y313&lt;&gt;"Low"), "Low Risk : Approve", "Medium Risk : Review")))</f>
        <v>Medium Risk : Review</v>
      </c>
      <c r="AA313" s="5" t="str">
        <f t="shared" si="64"/>
        <v>Medium</v>
      </c>
    </row>
    <row r="314" spans="1:27" x14ac:dyDescent="0.2">
      <c r="A314">
        <v>21892</v>
      </c>
      <c r="B314">
        <v>24</v>
      </c>
      <c r="C314">
        <f t="shared" si="52"/>
        <v>24</v>
      </c>
      <c r="D314" t="s">
        <v>12</v>
      </c>
      <c r="E314" t="str">
        <f t="shared" si="53"/>
        <v>Self-Employed</v>
      </c>
      <c r="F314">
        <v>7022.33</v>
      </c>
      <c r="G314">
        <f>ABS(Table1[[#This Row],[Monthly_Income]])</f>
        <v>7022.33</v>
      </c>
      <c r="H314">
        <v>8378.2199999999993</v>
      </c>
      <c r="I314" s="5">
        <f t="shared" si="54"/>
        <v>8378.2199999999993</v>
      </c>
      <c r="J314">
        <v>6</v>
      </c>
      <c r="K314">
        <v>24.97</v>
      </c>
      <c r="L314">
        <v>2</v>
      </c>
      <c r="M314">
        <f t="shared" si="55"/>
        <v>2</v>
      </c>
      <c r="N314">
        <v>8.3000000000000007</v>
      </c>
      <c r="O314">
        <f t="shared" si="56"/>
        <v>8.3000000000000007</v>
      </c>
      <c r="Q314" t="str">
        <f t="shared" si="57"/>
        <v>NULL</v>
      </c>
      <c r="R314" t="s">
        <v>24</v>
      </c>
      <c r="S314" t="str">
        <f t="shared" si="58"/>
        <v>Non-Performing</v>
      </c>
      <c r="T314" t="s">
        <v>22</v>
      </c>
      <c r="U314" s="3">
        <f t="shared" si="59"/>
        <v>0.19884710630232416</v>
      </c>
      <c r="V314" t="str">
        <f t="shared" si="60"/>
        <v>Healthy</v>
      </c>
      <c r="W314" t="str">
        <f t="shared" si="61"/>
        <v>NULL</v>
      </c>
      <c r="X314" s="5" t="str">
        <f t="shared" si="62"/>
        <v>Small</v>
      </c>
      <c r="Y314" s="5" t="str">
        <f t="shared" si="63"/>
        <v>Medium</v>
      </c>
      <c r="Z314" s="5" t="str">
        <f>IF(B314=120,"NULL",IF(AND(V314="High Stress", W314="High Risk", Y314="Low"),"High Risk : Reject", IF(AND(V314="Healthy", W314="Good",Y314&lt;&gt;"Low"), "Low Risk : Approve", "Medium Risk : Review")))</f>
        <v>Medium Risk : Review</v>
      </c>
      <c r="AA314" s="5" t="str">
        <f t="shared" si="64"/>
        <v>Medium</v>
      </c>
    </row>
    <row r="315" spans="1:27" x14ac:dyDescent="0.2">
      <c r="A315">
        <v>21942</v>
      </c>
      <c r="B315">
        <v>61</v>
      </c>
      <c r="C315">
        <f t="shared" si="52"/>
        <v>61</v>
      </c>
      <c r="D315" t="s">
        <v>12</v>
      </c>
      <c r="E315" t="str">
        <f t="shared" si="53"/>
        <v>Self-Employed</v>
      </c>
      <c r="F315">
        <v>6893.33</v>
      </c>
      <c r="G315">
        <f>ABS(Table1[[#This Row],[Monthly_Income]])</f>
        <v>6893.33</v>
      </c>
      <c r="H315">
        <v>17860.25</v>
      </c>
      <c r="I315" s="5">
        <f t="shared" si="54"/>
        <v>17860.25</v>
      </c>
      <c r="J315">
        <v>48</v>
      </c>
      <c r="K315">
        <v>17.489999999999998</v>
      </c>
      <c r="M315" t="str">
        <f t="shared" si="55"/>
        <v>NULL</v>
      </c>
      <c r="N315">
        <v>-1.2</v>
      </c>
      <c r="O315">
        <f t="shared" si="56"/>
        <v>1.2</v>
      </c>
      <c r="P315">
        <v>120</v>
      </c>
      <c r="Q315">
        <f t="shared" si="57"/>
        <v>120</v>
      </c>
      <c r="R315" t="s">
        <v>20</v>
      </c>
      <c r="S315" t="str">
        <f t="shared" si="58"/>
        <v>Written Off</v>
      </c>
      <c r="T315" t="s">
        <v>22</v>
      </c>
      <c r="U315" s="3">
        <f t="shared" si="59"/>
        <v>5.3978054389774856E-2</v>
      </c>
      <c r="V315" t="str">
        <f t="shared" si="60"/>
        <v>Healthy</v>
      </c>
      <c r="W315" t="str">
        <f t="shared" si="61"/>
        <v>High Risk</v>
      </c>
      <c r="X315" s="5" t="str">
        <f t="shared" si="62"/>
        <v>Medium</v>
      </c>
      <c r="Y315" s="5" t="str">
        <f t="shared" si="63"/>
        <v>Medium</v>
      </c>
      <c r="Z315" s="5" t="str">
        <f>IF(B315=120,"NULL",IF(AND(V315="High Stress", W315="High Risk", Y315="Low"),"High Risk : Reject", IF(AND(V315="Healthy", W315="Good",Y315&lt;&gt;"Low"), "Low Risk : Approve", "Medium Risk : Review")))</f>
        <v>Medium Risk : Review</v>
      </c>
      <c r="AA315" s="5" t="str">
        <f t="shared" si="64"/>
        <v>Medium</v>
      </c>
    </row>
    <row r="316" spans="1:27" x14ac:dyDescent="0.2">
      <c r="A316">
        <v>23271</v>
      </c>
      <c r="B316">
        <v>60</v>
      </c>
      <c r="C316">
        <f t="shared" si="52"/>
        <v>60</v>
      </c>
      <c r="D316" t="s">
        <v>12</v>
      </c>
      <c r="E316" t="str">
        <f t="shared" si="53"/>
        <v>Self-Employed</v>
      </c>
      <c r="F316">
        <v>5827.28</v>
      </c>
      <c r="G316">
        <f>ABS(Table1[[#This Row],[Monthly_Income]])</f>
        <v>5827.28</v>
      </c>
      <c r="H316">
        <v>14058.91</v>
      </c>
      <c r="I316" s="5">
        <f t="shared" si="54"/>
        <v>14058.91</v>
      </c>
      <c r="J316">
        <v>12</v>
      </c>
      <c r="K316">
        <v>17.100000000000001</v>
      </c>
      <c r="L316">
        <v>3</v>
      </c>
      <c r="M316">
        <f t="shared" si="55"/>
        <v>3</v>
      </c>
      <c r="N316">
        <v>1.9</v>
      </c>
      <c r="O316">
        <f t="shared" si="56"/>
        <v>1.9</v>
      </c>
      <c r="P316">
        <v>30</v>
      </c>
      <c r="Q316">
        <f t="shared" si="57"/>
        <v>30</v>
      </c>
      <c r="R316" t="s">
        <v>24</v>
      </c>
      <c r="S316" t="str">
        <f t="shared" si="58"/>
        <v>Non-Performing</v>
      </c>
      <c r="T316" t="s">
        <v>22</v>
      </c>
      <c r="U316" s="3">
        <f t="shared" si="59"/>
        <v>0.20105020409750918</v>
      </c>
      <c r="V316" t="str">
        <f t="shared" si="60"/>
        <v>Healthy</v>
      </c>
      <c r="W316" t="str">
        <f t="shared" si="61"/>
        <v>At Risk</v>
      </c>
      <c r="X316" s="5" t="str">
        <f t="shared" si="62"/>
        <v>Medium</v>
      </c>
      <c r="Y316" s="5" t="str">
        <f t="shared" si="63"/>
        <v>Medium</v>
      </c>
      <c r="Z316" s="5" t="str">
        <f>IF(B316=120,"NULL",IF(AND(V316="High Stress", W316="High Risk", Y316="Low"),"High Risk : Reject", IF(AND(V316="Healthy", W316="Good",Y316&lt;&gt;"Low"), "Low Risk : Approve", "Medium Risk : Review")))</f>
        <v>Medium Risk : Review</v>
      </c>
      <c r="AA316" s="5" t="str">
        <f t="shared" si="64"/>
        <v>Medium</v>
      </c>
    </row>
    <row r="317" spans="1:27" x14ac:dyDescent="0.2">
      <c r="A317">
        <v>23541</v>
      </c>
      <c r="B317">
        <v>47</v>
      </c>
      <c r="C317">
        <f t="shared" si="52"/>
        <v>47</v>
      </c>
      <c r="D317" t="s">
        <v>23</v>
      </c>
      <c r="E317" t="str">
        <f t="shared" si="53"/>
        <v>Self-Employed</v>
      </c>
      <c r="F317">
        <v>5838.81</v>
      </c>
      <c r="G317">
        <f>ABS(Table1[[#This Row],[Monthly_Income]])</f>
        <v>5838.81</v>
      </c>
      <c r="H317">
        <v>13640.4</v>
      </c>
      <c r="I317" s="5">
        <f t="shared" si="54"/>
        <v>13640.4</v>
      </c>
      <c r="J317">
        <v>36</v>
      </c>
      <c r="K317">
        <v>15.11</v>
      </c>
      <c r="L317">
        <v>2</v>
      </c>
      <c r="M317">
        <f t="shared" si="55"/>
        <v>2</v>
      </c>
      <c r="N317">
        <v>4.8</v>
      </c>
      <c r="O317">
        <f t="shared" si="56"/>
        <v>4.8</v>
      </c>
      <c r="P317">
        <v>60</v>
      </c>
      <c r="Q317">
        <f t="shared" si="57"/>
        <v>60</v>
      </c>
      <c r="R317" t="s">
        <v>20</v>
      </c>
      <c r="S317" t="str">
        <f t="shared" si="58"/>
        <v>Written Off</v>
      </c>
      <c r="T317" t="s">
        <v>25</v>
      </c>
      <c r="U317" s="3">
        <f t="shared" si="59"/>
        <v>6.4893360119613414E-2</v>
      </c>
      <c r="V317" t="str">
        <f t="shared" si="60"/>
        <v>Healthy</v>
      </c>
      <c r="W317" t="str">
        <f t="shared" si="61"/>
        <v>High Risk</v>
      </c>
      <c r="X317" s="5" t="str">
        <f t="shared" si="62"/>
        <v>Medium</v>
      </c>
      <c r="Y317" s="5" t="str">
        <f t="shared" si="63"/>
        <v>Medium</v>
      </c>
      <c r="Z317" s="5" t="str">
        <f>IF(B317=120,"NULL",IF(AND(V317="High Stress", W317="High Risk", Y317="Low"),"High Risk : Reject", IF(AND(V317="Healthy", W317="Good",Y317&lt;&gt;"Low"), "Low Risk : Approve", "Medium Risk : Review")))</f>
        <v>Medium Risk : Review</v>
      </c>
      <c r="AA317" s="5" t="str">
        <f t="shared" si="64"/>
        <v>Medium</v>
      </c>
    </row>
    <row r="318" spans="1:27" x14ac:dyDescent="0.2">
      <c r="A318">
        <v>24993</v>
      </c>
      <c r="B318">
        <v>53</v>
      </c>
      <c r="C318">
        <f t="shared" si="52"/>
        <v>53</v>
      </c>
      <c r="D318" t="s">
        <v>23</v>
      </c>
      <c r="E318" t="str">
        <f t="shared" si="53"/>
        <v>Self-Employed</v>
      </c>
      <c r="F318">
        <v>5057.93</v>
      </c>
      <c r="G318">
        <f>ABS(Table1[[#This Row],[Monthly_Income]])</f>
        <v>5057.93</v>
      </c>
      <c r="H318">
        <v>14398.03</v>
      </c>
      <c r="I318" s="5">
        <f t="shared" si="54"/>
        <v>14398.03</v>
      </c>
      <c r="J318">
        <v>24</v>
      </c>
      <c r="K318">
        <v>19.7</v>
      </c>
      <c r="L318">
        <v>3</v>
      </c>
      <c r="M318">
        <f t="shared" si="55"/>
        <v>3</v>
      </c>
      <c r="N318">
        <v>-3.8</v>
      </c>
      <c r="O318">
        <f t="shared" si="56"/>
        <v>3.8</v>
      </c>
      <c r="P318">
        <v>120</v>
      </c>
      <c r="Q318">
        <f t="shared" si="57"/>
        <v>120</v>
      </c>
      <c r="R318" t="s">
        <v>20</v>
      </c>
      <c r="S318" t="str">
        <f t="shared" si="58"/>
        <v>Written Off</v>
      </c>
      <c r="T318" t="s">
        <v>25</v>
      </c>
      <c r="U318" s="3">
        <f t="shared" si="59"/>
        <v>0.11860937511327098</v>
      </c>
      <c r="V318" t="str">
        <f t="shared" si="60"/>
        <v>Healthy</v>
      </c>
      <c r="W318" t="str">
        <f t="shared" si="61"/>
        <v>High Risk</v>
      </c>
      <c r="X318" s="5" t="str">
        <f t="shared" si="62"/>
        <v>Medium</v>
      </c>
      <c r="Y318" s="5" t="str">
        <f t="shared" si="63"/>
        <v>Medium</v>
      </c>
      <c r="Z318" s="5" t="str">
        <f>IF(B318=120,"NULL",IF(AND(V318="High Stress", W318="High Risk", Y318="Low"),"High Risk : Reject", IF(AND(V318="Healthy", W318="Good",Y318&lt;&gt;"Low"), "Low Risk : Approve", "Medium Risk : Review")))</f>
        <v>Medium Risk : Review</v>
      </c>
      <c r="AA318" s="5" t="str">
        <f t="shared" si="64"/>
        <v>Medium</v>
      </c>
    </row>
    <row r="319" spans="1:27" x14ac:dyDescent="0.2">
      <c r="A319">
        <v>24309</v>
      </c>
      <c r="B319">
        <v>60</v>
      </c>
      <c r="C319">
        <f t="shared" si="52"/>
        <v>60</v>
      </c>
      <c r="D319" t="s">
        <v>17</v>
      </c>
      <c r="E319" t="str">
        <f t="shared" si="53"/>
        <v>Contract</v>
      </c>
      <c r="F319">
        <v>5635.89</v>
      </c>
      <c r="G319">
        <f>ABS(Table1[[#This Row],[Monthly_Income]])</f>
        <v>5635.89</v>
      </c>
      <c r="H319">
        <v>9684.1299999999992</v>
      </c>
      <c r="I319" s="5">
        <f t="shared" si="54"/>
        <v>9684.1299999999992</v>
      </c>
      <c r="J319">
        <v>12</v>
      </c>
      <c r="K319">
        <v>11.89</v>
      </c>
      <c r="M319" t="str">
        <f t="shared" si="55"/>
        <v>NULL</v>
      </c>
      <c r="N319">
        <v>5.2</v>
      </c>
      <c r="O319">
        <f t="shared" si="56"/>
        <v>5.2</v>
      </c>
      <c r="P319">
        <v>0</v>
      </c>
      <c r="Q319">
        <f t="shared" si="57"/>
        <v>0</v>
      </c>
      <c r="R319" t="s">
        <v>15</v>
      </c>
      <c r="S319" t="str">
        <f t="shared" si="58"/>
        <v xml:space="preserve">Performing </v>
      </c>
      <c r="T319" t="s">
        <v>19</v>
      </c>
      <c r="U319" s="3">
        <f t="shared" si="59"/>
        <v>0.14319137409234978</v>
      </c>
      <c r="V319" t="str">
        <f t="shared" si="60"/>
        <v>Healthy</v>
      </c>
      <c r="W319" t="str">
        <f t="shared" si="61"/>
        <v>Good</v>
      </c>
      <c r="X319" s="5" t="str">
        <f t="shared" si="62"/>
        <v>Small</v>
      </c>
      <c r="Y319" s="5" t="str">
        <f t="shared" si="63"/>
        <v>Low</v>
      </c>
      <c r="Z319" s="5" t="str">
        <f>IF(B319=120,"NULL",IF(AND(V319="High Stress", W319="High Risk", Y319="Low"),"High Risk : Reject", IF(AND(V319="Healthy", W319="Good",Y319&lt;&gt;"Low"), "Low Risk : Approve", "Medium Risk : Review")))</f>
        <v>Medium Risk : Review</v>
      </c>
      <c r="AA319" s="5" t="str">
        <f t="shared" si="64"/>
        <v>Medium</v>
      </c>
    </row>
    <row r="320" spans="1:27" x14ac:dyDescent="0.2">
      <c r="A320">
        <v>24642</v>
      </c>
      <c r="B320">
        <v>34</v>
      </c>
      <c r="C320">
        <f t="shared" si="52"/>
        <v>34</v>
      </c>
      <c r="D320" t="s">
        <v>17</v>
      </c>
      <c r="E320" t="str">
        <f t="shared" si="53"/>
        <v>Contract</v>
      </c>
      <c r="F320">
        <v>1413.05</v>
      </c>
      <c r="G320">
        <f>ABS(Table1[[#This Row],[Monthly_Income]])</f>
        <v>1413.05</v>
      </c>
      <c r="H320">
        <v>17027.05</v>
      </c>
      <c r="I320" s="5">
        <f t="shared" si="54"/>
        <v>17027.05</v>
      </c>
      <c r="J320">
        <v>12</v>
      </c>
      <c r="K320">
        <v>18.48</v>
      </c>
      <c r="L320">
        <v>0</v>
      </c>
      <c r="M320">
        <f t="shared" si="55"/>
        <v>0</v>
      </c>
      <c r="N320">
        <v>1.3</v>
      </c>
      <c r="O320">
        <f t="shared" si="56"/>
        <v>1.3</v>
      </c>
      <c r="P320">
        <v>0</v>
      </c>
      <c r="Q320">
        <f t="shared" si="57"/>
        <v>0</v>
      </c>
      <c r="R320" t="s">
        <v>20</v>
      </c>
      <c r="S320" t="str">
        <f t="shared" si="58"/>
        <v>Written Off</v>
      </c>
      <c r="T320" t="s">
        <v>22</v>
      </c>
      <c r="U320" s="3">
        <f t="shared" si="59"/>
        <v>1.0041547244140925</v>
      </c>
      <c r="V320" t="str">
        <f t="shared" si="60"/>
        <v>High Stress</v>
      </c>
      <c r="W320" t="str">
        <f t="shared" si="61"/>
        <v>Good</v>
      </c>
      <c r="X320" s="5" t="str">
        <f t="shared" si="62"/>
        <v>Medium</v>
      </c>
      <c r="Y320" s="5" t="str">
        <f t="shared" si="63"/>
        <v>Low</v>
      </c>
      <c r="Z320" s="5" t="str">
        <f>IF(B320=120,"NULL",IF(AND(V320="High Stress", W320="High Risk", Y320="Low"),"High Risk : Reject", IF(AND(V320="Healthy", W320="Good",Y320&lt;&gt;"Low"), "Low Risk : Approve", "Medium Risk : Review")))</f>
        <v>Medium Risk : Review</v>
      </c>
      <c r="AA320" s="5" t="str">
        <f t="shared" si="64"/>
        <v>Low</v>
      </c>
    </row>
    <row r="321" spans="1:27" x14ac:dyDescent="0.2">
      <c r="A321">
        <v>25654</v>
      </c>
      <c r="B321">
        <v>28</v>
      </c>
      <c r="C321">
        <f t="shared" si="52"/>
        <v>28</v>
      </c>
      <c r="D321" t="s">
        <v>26</v>
      </c>
      <c r="E321" t="str">
        <f t="shared" si="53"/>
        <v>Salaried</v>
      </c>
      <c r="F321">
        <v>2967.77</v>
      </c>
      <c r="G321">
        <f>ABS(Table1[[#This Row],[Monthly_Income]])</f>
        <v>2967.77</v>
      </c>
      <c r="H321">
        <v>23124.36</v>
      </c>
      <c r="I321" s="5">
        <f t="shared" si="54"/>
        <v>23124.36</v>
      </c>
      <c r="J321">
        <v>18</v>
      </c>
      <c r="K321">
        <v>18.079999999999998</v>
      </c>
      <c r="L321">
        <v>3</v>
      </c>
      <c r="M321">
        <f t="shared" si="55"/>
        <v>3</v>
      </c>
      <c r="N321">
        <v>12.7</v>
      </c>
      <c r="O321">
        <f t="shared" si="56"/>
        <v>12.7</v>
      </c>
      <c r="P321">
        <v>120</v>
      </c>
      <c r="Q321">
        <f t="shared" si="57"/>
        <v>120</v>
      </c>
      <c r="R321" t="s">
        <v>24</v>
      </c>
      <c r="S321" t="str">
        <f t="shared" si="58"/>
        <v>Non-Performing</v>
      </c>
      <c r="T321" t="s">
        <v>25</v>
      </c>
      <c r="U321" s="3">
        <f t="shared" si="59"/>
        <v>0.43287945719064036</v>
      </c>
      <c r="V321" t="str">
        <f t="shared" si="60"/>
        <v>Stretched</v>
      </c>
      <c r="W321" t="str">
        <f t="shared" si="61"/>
        <v>High Risk</v>
      </c>
      <c r="X321" s="5" t="str">
        <f t="shared" si="62"/>
        <v>Medium</v>
      </c>
      <c r="Y321" s="5" t="str">
        <f t="shared" si="63"/>
        <v>High</v>
      </c>
      <c r="Z321" s="5" t="str">
        <f>IF(B321=120,"NULL",IF(AND(V321="High Stress", W321="High Risk", Y321="Low"),"High Risk : Reject", IF(AND(V321="Healthy", W321="Good",Y321&lt;&gt;"Low"), "Low Risk : Approve", "Medium Risk : Review")))</f>
        <v>Medium Risk : Review</v>
      </c>
      <c r="AA321" s="5" t="str">
        <f t="shared" si="64"/>
        <v>Medium</v>
      </c>
    </row>
    <row r="322" spans="1:27" x14ac:dyDescent="0.2">
      <c r="A322">
        <v>25955</v>
      </c>
      <c r="B322">
        <v>47</v>
      </c>
      <c r="C322">
        <f t="shared" ref="C322:C385" si="65">IF(B322=120,"NULL",B322)</f>
        <v>47</v>
      </c>
      <c r="D322" t="s">
        <v>27</v>
      </c>
      <c r="E322" t="str">
        <f t="shared" ref="E322:E385" si="66">TRIM(IF(D322="Self employed","Self-Employed",D322))</f>
        <v>Unemployed</v>
      </c>
      <c r="F322">
        <v>6987.72</v>
      </c>
      <c r="G322">
        <f>ABS(Table1[[#This Row],[Monthly_Income]])</f>
        <v>6987.72</v>
      </c>
      <c r="H322">
        <v>26789.14</v>
      </c>
      <c r="I322" s="5">
        <f t="shared" ref="I322:I385" si="67">IF(H322="","NULL",ABS(H322))</f>
        <v>26789.14</v>
      </c>
      <c r="J322">
        <v>6</v>
      </c>
      <c r="K322">
        <v>19.63</v>
      </c>
      <c r="L322">
        <v>1</v>
      </c>
      <c r="M322">
        <f t="shared" ref="M322:M385" si="68">IF(L322="","NULL",L322)</f>
        <v>1</v>
      </c>
      <c r="N322">
        <v>7.1</v>
      </c>
      <c r="O322">
        <f t="shared" ref="O322:O385" si="69">IF(N322="","NULL",ABS(N322))</f>
        <v>7.1</v>
      </c>
      <c r="P322">
        <v>120</v>
      </c>
      <c r="Q322">
        <f t="shared" ref="Q322:Q385" si="70">IF(P322="","NULL",P322)</f>
        <v>120</v>
      </c>
      <c r="R322" t="s">
        <v>15</v>
      </c>
      <c r="S322" t="str">
        <f t="shared" ref="S322:S385" si="71">IF(R322="Non performing","Non-Performing",R322)</f>
        <v xml:space="preserve">Performing </v>
      </c>
      <c r="T322" t="s">
        <v>22</v>
      </c>
      <c r="U322" s="3">
        <f t="shared" ref="U322:U385" si="72">IFERROR(I322/(G322*J322),"NULL")</f>
        <v>0.63895758082273857</v>
      </c>
      <c r="V322" t="str">
        <f t="shared" ref="V322:V385" si="73">IF(U322="NULL","NULL",IF(U322&lt;=0.3,"Healthy",IF(U322&lt;=0.45,"Stretched","High Stress")))</f>
        <v>High Stress</v>
      </c>
      <c r="W322" t="str">
        <f t="shared" ref="W322:W385" si="74">IF(Q322="NULL","NULL",IF(Q322&lt;30,"Good",IF(Q322&lt;60,"At Risk","High Risk")))</f>
        <v>High Risk</v>
      </c>
      <c r="X322" s="5" t="str">
        <f t="shared" ref="X322:X385" si="75">IF(I322&lt;10000,"Small",IF(I322&lt;=30000,"Medium","High"))</f>
        <v>Medium</v>
      </c>
      <c r="Y322" s="5" t="str">
        <f t="shared" ref="Y322:Y385" si="76">IF(E322="Salaried","High",IF(E322="Self-Employed","Medium","Low"))</f>
        <v>Low</v>
      </c>
      <c r="Z322" s="5" t="str">
        <f>IF(B322=120,"NULL",IF(AND(V322="High Stress", W322="High Risk", Y322="Low"),"High Risk : Reject", IF(AND(V322="Healthy", W322="Good",Y322&lt;&gt;"Low"), "Low Risk : Approve", "Medium Risk : Review")))</f>
        <v>High Risk : Reject</v>
      </c>
      <c r="AA322" s="5" t="str">
        <f t="shared" ref="AA322:AA385" si="77">IF(G322="NULL","NULL",IF(G322&gt;8000,"High",IF(G322&gt;2000,"Medium","Low")))</f>
        <v>Medium</v>
      </c>
    </row>
    <row r="323" spans="1:27" x14ac:dyDescent="0.2">
      <c r="A323">
        <v>23212</v>
      </c>
      <c r="B323">
        <v>120</v>
      </c>
      <c r="C323" t="str">
        <f t="shared" si="65"/>
        <v>NULL</v>
      </c>
      <c r="D323" t="s">
        <v>17</v>
      </c>
      <c r="E323" t="str">
        <f t="shared" si="66"/>
        <v>Contract</v>
      </c>
      <c r="F323">
        <v>5566</v>
      </c>
      <c r="G323">
        <f>ABS(Table1[[#This Row],[Monthly_Income]])</f>
        <v>5566</v>
      </c>
      <c r="H323">
        <v>2575.21</v>
      </c>
      <c r="I323" s="5">
        <f t="shared" si="67"/>
        <v>2575.21</v>
      </c>
      <c r="J323">
        <v>48</v>
      </c>
      <c r="K323">
        <v>15.41</v>
      </c>
      <c r="L323">
        <v>0</v>
      </c>
      <c r="M323">
        <f t="shared" si="68"/>
        <v>0</v>
      </c>
      <c r="N323">
        <v>10</v>
      </c>
      <c r="O323">
        <f t="shared" si="69"/>
        <v>10</v>
      </c>
      <c r="P323">
        <v>30</v>
      </c>
      <c r="Q323">
        <f t="shared" si="70"/>
        <v>30</v>
      </c>
      <c r="R323" t="s">
        <v>24</v>
      </c>
      <c r="S323" t="str">
        <f t="shared" si="71"/>
        <v>Non-Performing</v>
      </c>
      <c r="T323" t="s">
        <v>16</v>
      </c>
      <c r="U323" s="3">
        <f t="shared" si="72"/>
        <v>9.6389163372859032E-3</v>
      </c>
      <c r="V323" t="str">
        <f t="shared" si="73"/>
        <v>Healthy</v>
      </c>
      <c r="W323" t="str">
        <f t="shared" si="74"/>
        <v>At Risk</v>
      </c>
      <c r="X323" s="5" t="str">
        <f t="shared" si="75"/>
        <v>Small</v>
      </c>
      <c r="Y323" s="5" t="str">
        <f t="shared" si="76"/>
        <v>Low</v>
      </c>
      <c r="Z323" s="5" t="str">
        <f>IF(B323=120,"NULL",IF(AND(V323="High Stress", W323="High Risk", Y323="Low"),"High Risk : Reject", IF(AND(V323="Healthy", W323="Good",Y323&lt;&gt;"Low"), "Low Risk : Approve", "Medium Risk : Review")))</f>
        <v>NULL</v>
      </c>
      <c r="AA323" s="5" t="str">
        <f t="shared" si="77"/>
        <v>Medium</v>
      </c>
    </row>
    <row r="324" spans="1:27" x14ac:dyDescent="0.2">
      <c r="A324">
        <v>22505</v>
      </c>
      <c r="B324">
        <v>45</v>
      </c>
      <c r="C324">
        <f t="shared" si="65"/>
        <v>45</v>
      </c>
      <c r="D324" t="s">
        <v>17</v>
      </c>
      <c r="E324" t="str">
        <f t="shared" si="66"/>
        <v>Contract</v>
      </c>
      <c r="F324">
        <v>8149.26</v>
      </c>
      <c r="G324">
        <f>ABS(Table1[[#This Row],[Monthly_Income]])</f>
        <v>8149.26</v>
      </c>
      <c r="H324">
        <v>13844.18</v>
      </c>
      <c r="I324" s="5">
        <f t="shared" si="67"/>
        <v>13844.18</v>
      </c>
      <c r="J324">
        <v>36</v>
      </c>
      <c r="K324">
        <v>20</v>
      </c>
      <c r="L324">
        <v>2</v>
      </c>
      <c r="M324">
        <f t="shared" si="68"/>
        <v>2</v>
      </c>
      <c r="N324">
        <v>7.2</v>
      </c>
      <c r="O324">
        <f t="shared" si="69"/>
        <v>7.2</v>
      </c>
      <c r="Q324" t="str">
        <f t="shared" si="70"/>
        <v>NULL</v>
      </c>
      <c r="R324" t="s">
        <v>24</v>
      </c>
      <c r="S324" t="str">
        <f t="shared" si="71"/>
        <v>Non-Performing</v>
      </c>
      <c r="T324" t="s">
        <v>25</v>
      </c>
      <c r="U324" s="3">
        <f t="shared" si="72"/>
        <v>4.7189628942450677E-2</v>
      </c>
      <c r="V324" t="str">
        <f t="shared" si="73"/>
        <v>Healthy</v>
      </c>
      <c r="W324" t="str">
        <f t="shared" si="74"/>
        <v>NULL</v>
      </c>
      <c r="X324" s="5" t="str">
        <f t="shared" si="75"/>
        <v>Medium</v>
      </c>
      <c r="Y324" s="5" t="str">
        <f t="shared" si="76"/>
        <v>Low</v>
      </c>
      <c r="Z324" s="5" t="str">
        <f>IF(B324=120,"NULL",IF(AND(V324="High Stress", W324="High Risk", Y324="Low"),"High Risk : Reject", IF(AND(V324="Healthy", W324="Good",Y324&lt;&gt;"Low"), "Low Risk : Approve", "Medium Risk : Review")))</f>
        <v>Medium Risk : Review</v>
      </c>
      <c r="AA324" s="5" t="str">
        <f t="shared" si="77"/>
        <v>High</v>
      </c>
    </row>
    <row r="325" spans="1:27" x14ac:dyDescent="0.2">
      <c r="A325">
        <v>23756</v>
      </c>
      <c r="B325">
        <v>48</v>
      </c>
      <c r="C325">
        <f t="shared" si="65"/>
        <v>48</v>
      </c>
      <c r="D325" t="s">
        <v>12</v>
      </c>
      <c r="E325" t="str">
        <f t="shared" si="66"/>
        <v>Self-Employed</v>
      </c>
      <c r="F325">
        <v>5954.91</v>
      </c>
      <c r="G325">
        <f>ABS(Table1[[#This Row],[Monthly_Income]])</f>
        <v>5954.91</v>
      </c>
      <c r="H325">
        <v>15997.37</v>
      </c>
      <c r="I325" s="5">
        <f t="shared" si="67"/>
        <v>15997.37</v>
      </c>
      <c r="J325">
        <v>24</v>
      </c>
      <c r="K325">
        <v>23.55</v>
      </c>
      <c r="L325">
        <v>0</v>
      </c>
      <c r="M325">
        <f t="shared" si="68"/>
        <v>0</v>
      </c>
      <c r="N325">
        <v>3.8</v>
      </c>
      <c r="O325">
        <f t="shared" si="69"/>
        <v>3.8</v>
      </c>
      <c r="P325">
        <v>0</v>
      </c>
      <c r="Q325">
        <f t="shared" si="70"/>
        <v>0</v>
      </c>
      <c r="R325" t="s">
        <v>20</v>
      </c>
      <c r="S325" t="str">
        <f t="shared" si="71"/>
        <v>Written Off</v>
      </c>
      <c r="T325" t="s">
        <v>19</v>
      </c>
      <c r="U325" s="3">
        <f t="shared" si="72"/>
        <v>0.11193403146870959</v>
      </c>
      <c r="V325" t="str">
        <f t="shared" si="73"/>
        <v>Healthy</v>
      </c>
      <c r="W325" t="str">
        <f t="shared" si="74"/>
        <v>Good</v>
      </c>
      <c r="X325" s="5" t="str">
        <f t="shared" si="75"/>
        <v>Medium</v>
      </c>
      <c r="Y325" s="5" t="str">
        <f t="shared" si="76"/>
        <v>Medium</v>
      </c>
      <c r="Z325" s="5" t="str">
        <f>IF(B325=120,"NULL",IF(AND(V325="High Stress", W325="High Risk", Y325="Low"),"High Risk : Reject", IF(AND(V325="Healthy", W325="Good",Y325&lt;&gt;"Low"), "Low Risk : Approve", "Medium Risk : Review")))</f>
        <v>Low Risk : Approve</v>
      </c>
      <c r="AA325" s="5" t="str">
        <f t="shared" si="77"/>
        <v>Medium</v>
      </c>
    </row>
    <row r="326" spans="1:27" x14ac:dyDescent="0.2">
      <c r="A326">
        <v>25886</v>
      </c>
      <c r="B326">
        <v>38</v>
      </c>
      <c r="C326">
        <f t="shared" si="65"/>
        <v>38</v>
      </c>
      <c r="D326" t="s">
        <v>17</v>
      </c>
      <c r="E326" t="str">
        <f t="shared" si="66"/>
        <v>Contract</v>
      </c>
      <c r="F326">
        <v>8195.06</v>
      </c>
      <c r="G326">
        <f>ABS(Table1[[#This Row],[Monthly_Income]])</f>
        <v>8195.06</v>
      </c>
      <c r="H326">
        <v>6490.93</v>
      </c>
      <c r="I326" s="5">
        <f t="shared" si="67"/>
        <v>6490.93</v>
      </c>
      <c r="J326">
        <v>12</v>
      </c>
      <c r="K326">
        <v>21.19</v>
      </c>
      <c r="L326">
        <v>2</v>
      </c>
      <c r="M326">
        <f t="shared" si="68"/>
        <v>2</v>
      </c>
      <c r="N326">
        <v>9.3000000000000007</v>
      </c>
      <c r="O326">
        <f t="shared" si="69"/>
        <v>9.3000000000000007</v>
      </c>
      <c r="P326">
        <v>120</v>
      </c>
      <c r="Q326">
        <f t="shared" si="70"/>
        <v>120</v>
      </c>
      <c r="R326" t="s">
        <v>24</v>
      </c>
      <c r="S326" t="str">
        <f t="shared" si="71"/>
        <v>Non-Performing</v>
      </c>
      <c r="T326" t="s">
        <v>14</v>
      </c>
      <c r="U326" s="3">
        <f t="shared" si="72"/>
        <v>6.6004499458616944E-2</v>
      </c>
      <c r="V326" t="str">
        <f t="shared" si="73"/>
        <v>Healthy</v>
      </c>
      <c r="W326" t="str">
        <f t="shared" si="74"/>
        <v>High Risk</v>
      </c>
      <c r="X326" s="5" t="str">
        <f t="shared" si="75"/>
        <v>Small</v>
      </c>
      <c r="Y326" s="5" t="str">
        <f t="shared" si="76"/>
        <v>Low</v>
      </c>
      <c r="Z326" s="5" t="str">
        <f>IF(B326=120,"NULL",IF(AND(V326="High Stress", W326="High Risk", Y326="Low"),"High Risk : Reject", IF(AND(V326="Healthy", W326="Good",Y326&lt;&gt;"Low"), "Low Risk : Approve", "Medium Risk : Review")))</f>
        <v>Medium Risk : Review</v>
      </c>
      <c r="AA326" s="5" t="str">
        <f t="shared" si="77"/>
        <v>High</v>
      </c>
    </row>
    <row r="327" spans="1:27" x14ac:dyDescent="0.2">
      <c r="A327">
        <v>24918</v>
      </c>
      <c r="B327">
        <v>50</v>
      </c>
      <c r="C327">
        <f t="shared" si="65"/>
        <v>50</v>
      </c>
      <c r="D327" t="s">
        <v>17</v>
      </c>
      <c r="E327" t="str">
        <f t="shared" si="66"/>
        <v>Contract</v>
      </c>
      <c r="F327">
        <v>2072.77</v>
      </c>
      <c r="G327">
        <f>ABS(Table1[[#This Row],[Monthly_Income]])</f>
        <v>2072.77</v>
      </c>
      <c r="H327">
        <v>22223.1</v>
      </c>
      <c r="I327" s="5">
        <f t="shared" si="67"/>
        <v>22223.1</v>
      </c>
      <c r="J327">
        <v>36</v>
      </c>
      <c r="K327">
        <v>10.73</v>
      </c>
      <c r="L327">
        <v>2</v>
      </c>
      <c r="M327">
        <f t="shared" si="68"/>
        <v>2</v>
      </c>
      <c r="N327">
        <v>3.6</v>
      </c>
      <c r="O327">
        <f t="shared" si="69"/>
        <v>3.6</v>
      </c>
      <c r="P327">
        <v>0</v>
      </c>
      <c r="Q327">
        <f t="shared" si="70"/>
        <v>0</v>
      </c>
      <c r="R327" t="s">
        <v>20</v>
      </c>
      <c r="S327" t="str">
        <f t="shared" si="71"/>
        <v>Written Off</v>
      </c>
      <c r="T327" t="s">
        <v>22</v>
      </c>
      <c r="U327" s="3">
        <f t="shared" si="72"/>
        <v>0.29781805667456268</v>
      </c>
      <c r="V327" t="str">
        <f t="shared" si="73"/>
        <v>Healthy</v>
      </c>
      <c r="W327" t="str">
        <f t="shared" si="74"/>
        <v>Good</v>
      </c>
      <c r="X327" s="5" t="str">
        <f t="shared" si="75"/>
        <v>Medium</v>
      </c>
      <c r="Y327" s="5" t="str">
        <f t="shared" si="76"/>
        <v>Low</v>
      </c>
      <c r="Z327" s="5" t="str">
        <f>IF(B327=120,"NULL",IF(AND(V327="High Stress", W327="High Risk", Y327="Low"),"High Risk : Reject", IF(AND(V327="Healthy", W327="Good",Y327&lt;&gt;"Low"), "Low Risk : Approve", "Medium Risk : Review")))</f>
        <v>Medium Risk : Review</v>
      </c>
      <c r="AA327" s="5" t="str">
        <f t="shared" si="77"/>
        <v>Medium</v>
      </c>
    </row>
    <row r="328" spans="1:27" x14ac:dyDescent="0.2">
      <c r="A328">
        <v>22824</v>
      </c>
      <c r="B328">
        <v>50</v>
      </c>
      <c r="C328">
        <f t="shared" si="65"/>
        <v>50</v>
      </c>
      <c r="D328" t="s">
        <v>26</v>
      </c>
      <c r="E328" t="str">
        <f t="shared" si="66"/>
        <v>Salaried</v>
      </c>
      <c r="F328">
        <v>499.19</v>
      </c>
      <c r="G328">
        <f>ABS(Table1[[#This Row],[Monthly_Income]])</f>
        <v>499.19</v>
      </c>
      <c r="H328">
        <v>18246.14</v>
      </c>
      <c r="I328" s="5">
        <f t="shared" si="67"/>
        <v>18246.14</v>
      </c>
      <c r="J328">
        <v>24</v>
      </c>
      <c r="K328">
        <v>18.649999999999999</v>
      </c>
      <c r="L328">
        <v>1</v>
      </c>
      <c r="M328">
        <f t="shared" si="68"/>
        <v>1</v>
      </c>
      <c r="N328">
        <v>8.6999999999999993</v>
      </c>
      <c r="O328">
        <f t="shared" si="69"/>
        <v>8.6999999999999993</v>
      </c>
      <c r="P328">
        <v>15</v>
      </c>
      <c r="Q328">
        <f t="shared" si="70"/>
        <v>15</v>
      </c>
      <c r="R328" t="s">
        <v>24</v>
      </c>
      <c r="S328" t="str">
        <f t="shared" si="71"/>
        <v>Non-Performing</v>
      </c>
      <c r="T328" t="s">
        <v>22</v>
      </c>
      <c r="U328" s="3">
        <f t="shared" si="72"/>
        <v>1.5229788924724721</v>
      </c>
      <c r="V328" t="str">
        <f t="shared" si="73"/>
        <v>High Stress</v>
      </c>
      <c r="W328" t="str">
        <f t="shared" si="74"/>
        <v>Good</v>
      </c>
      <c r="X328" s="5" t="str">
        <f t="shared" si="75"/>
        <v>Medium</v>
      </c>
      <c r="Y328" s="5" t="str">
        <f t="shared" si="76"/>
        <v>High</v>
      </c>
      <c r="Z328" s="5" t="str">
        <f>IF(B328=120,"NULL",IF(AND(V328="High Stress", W328="High Risk", Y328="Low"),"High Risk : Reject", IF(AND(V328="Healthy", W328="Good",Y328&lt;&gt;"Low"), "Low Risk : Approve", "Medium Risk : Review")))</f>
        <v>Medium Risk : Review</v>
      </c>
      <c r="AA328" s="5" t="str">
        <f t="shared" si="77"/>
        <v>Low</v>
      </c>
    </row>
    <row r="329" spans="1:27" x14ac:dyDescent="0.2">
      <c r="A329">
        <v>24502</v>
      </c>
      <c r="B329">
        <v>42</v>
      </c>
      <c r="C329">
        <f t="shared" si="65"/>
        <v>42</v>
      </c>
      <c r="D329" t="s">
        <v>23</v>
      </c>
      <c r="E329" t="str">
        <f t="shared" si="66"/>
        <v>Self-Employed</v>
      </c>
      <c r="F329">
        <v>6197.54</v>
      </c>
      <c r="G329">
        <f>ABS(Table1[[#This Row],[Monthly_Income]])</f>
        <v>6197.54</v>
      </c>
      <c r="H329">
        <v>18924.189999999999</v>
      </c>
      <c r="I329" s="5">
        <f t="shared" si="67"/>
        <v>18924.189999999999</v>
      </c>
      <c r="J329">
        <v>12</v>
      </c>
      <c r="K329">
        <v>18.89</v>
      </c>
      <c r="L329">
        <v>4</v>
      </c>
      <c r="M329">
        <f t="shared" si="68"/>
        <v>4</v>
      </c>
      <c r="N329">
        <v>7.7</v>
      </c>
      <c r="O329">
        <f t="shared" si="69"/>
        <v>7.7</v>
      </c>
      <c r="P329">
        <v>90</v>
      </c>
      <c r="Q329">
        <f t="shared" si="70"/>
        <v>90</v>
      </c>
      <c r="R329" t="s">
        <v>24</v>
      </c>
      <c r="S329" t="str">
        <f t="shared" si="71"/>
        <v>Non-Performing</v>
      </c>
      <c r="T329" t="s">
        <v>25</v>
      </c>
      <c r="U329" s="3">
        <f t="shared" si="72"/>
        <v>0.25445835498170777</v>
      </c>
      <c r="V329" t="str">
        <f t="shared" si="73"/>
        <v>Healthy</v>
      </c>
      <c r="W329" t="str">
        <f t="shared" si="74"/>
        <v>High Risk</v>
      </c>
      <c r="X329" s="5" t="str">
        <f t="shared" si="75"/>
        <v>Medium</v>
      </c>
      <c r="Y329" s="5" t="str">
        <f t="shared" si="76"/>
        <v>Medium</v>
      </c>
      <c r="Z329" s="5" t="str">
        <f>IF(B329=120,"NULL",IF(AND(V329="High Stress", W329="High Risk", Y329="Low"),"High Risk : Reject", IF(AND(V329="Healthy", W329="Good",Y329&lt;&gt;"Low"), "Low Risk : Approve", "Medium Risk : Review")))</f>
        <v>Medium Risk : Review</v>
      </c>
      <c r="AA329" s="5" t="str">
        <f t="shared" si="77"/>
        <v>Medium</v>
      </c>
    </row>
    <row r="330" spans="1:27" x14ac:dyDescent="0.2">
      <c r="A330">
        <v>25396</v>
      </c>
      <c r="B330">
        <v>32</v>
      </c>
      <c r="C330">
        <f t="shared" si="65"/>
        <v>32</v>
      </c>
      <c r="D330" t="s">
        <v>26</v>
      </c>
      <c r="E330" t="str">
        <f t="shared" si="66"/>
        <v>Salaried</v>
      </c>
      <c r="F330">
        <v>3024.09</v>
      </c>
      <c r="G330">
        <f>ABS(Table1[[#This Row],[Monthly_Income]])</f>
        <v>3024.09</v>
      </c>
      <c r="H330">
        <v>28315.24</v>
      </c>
      <c r="I330" s="5">
        <f t="shared" si="67"/>
        <v>28315.24</v>
      </c>
      <c r="J330">
        <v>6</v>
      </c>
      <c r="K330">
        <v>16.64</v>
      </c>
      <c r="L330">
        <v>2</v>
      </c>
      <c r="M330">
        <f t="shared" si="68"/>
        <v>2</v>
      </c>
      <c r="N330">
        <v>4.5999999999999996</v>
      </c>
      <c r="O330">
        <f t="shared" si="69"/>
        <v>4.5999999999999996</v>
      </c>
      <c r="P330">
        <v>60</v>
      </c>
      <c r="Q330">
        <f t="shared" si="70"/>
        <v>60</v>
      </c>
      <c r="R330" t="s">
        <v>24</v>
      </c>
      <c r="S330" t="str">
        <f t="shared" si="71"/>
        <v>Non-Performing</v>
      </c>
      <c r="T330" t="s">
        <v>19</v>
      </c>
      <c r="U330" s="3">
        <f t="shared" si="72"/>
        <v>1.5605377705910428</v>
      </c>
      <c r="V330" t="str">
        <f t="shared" si="73"/>
        <v>High Stress</v>
      </c>
      <c r="W330" t="str">
        <f t="shared" si="74"/>
        <v>High Risk</v>
      </c>
      <c r="X330" s="5" t="str">
        <f t="shared" si="75"/>
        <v>Medium</v>
      </c>
      <c r="Y330" s="5" t="str">
        <f t="shared" si="76"/>
        <v>High</v>
      </c>
      <c r="Z330" s="5" t="str">
        <f>IF(B330=120,"NULL",IF(AND(V330="High Stress", W330="High Risk", Y330="Low"),"High Risk : Reject", IF(AND(V330="Healthy", W330="Good",Y330&lt;&gt;"Low"), "Low Risk : Approve", "Medium Risk : Review")))</f>
        <v>Medium Risk : Review</v>
      </c>
      <c r="AA330" s="5" t="str">
        <f t="shared" si="77"/>
        <v>Medium</v>
      </c>
    </row>
    <row r="331" spans="1:27" x14ac:dyDescent="0.2">
      <c r="A331">
        <v>20435</v>
      </c>
      <c r="B331">
        <v>55</v>
      </c>
      <c r="C331">
        <f t="shared" si="65"/>
        <v>55</v>
      </c>
      <c r="D331" t="s">
        <v>26</v>
      </c>
      <c r="E331" t="str">
        <f t="shared" si="66"/>
        <v>Salaried</v>
      </c>
      <c r="F331">
        <v>5463.35</v>
      </c>
      <c r="G331">
        <f>ABS(Table1[[#This Row],[Monthly_Income]])</f>
        <v>5463.35</v>
      </c>
      <c r="H331">
        <v>9670.61</v>
      </c>
      <c r="I331" s="5">
        <f t="shared" si="67"/>
        <v>9670.61</v>
      </c>
      <c r="J331">
        <v>12</v>
      </c>
      <c r="K331">
        <v>18.98</v>
      </c>
      <c r="L331">
        <v>4</v>
      </c>
      <c r="M331">
        <f t="shared" si="68"/>
        <v>4</v>
      </c>
      <c r="N331">
        <v>-0.7</v>
      </c>
      <c r="O331">
        <f t="shared" si="69"/>
        <v>0.7</v>
      </c>
      <c r="P331">
        <v>0</v>
      </c>
      <c r="Q331">
        <f t="shared" si="70"/>
        <v>0</v>
      </c>
      <c r="R331" t="s">
        <v>18</v>
      </c>
      <c r="S331" t="str">
        <f t="shared" si="71"/>
        <v>Non-Performing</v>
      </c>
      <c r="T331" t="s">
        <v>19</v>
      </c>
      <c r="U331" s="3">
        <f t="shared" si="72"/>
        <v>0.14750732914176587</v>
      </c>
      <c r="V331" t="str">
        <f t="shared" si="73"/>
        <v>Healthy</v>
      </c>
      <c r="W331" t="str">
        <f t="shared" si="74"/>
        <v>Good</v>
      </c>
      <c r="X331" s="5" t="str">
        <f t="shared" si="75"/>
        <v>Small</v>
      </c>
      <c r="Y331" s="5" t="str">
        <f t="shared" si="76"/>
        <v>High</v>
      </c>
      <c r="Z331" s="5" t="str">
        <f>IF(B331=120,"NULL",IF(AND(V331="High Stress", W331="High Risk", Y331="Low"),"High Risk : Reject", IF(AND(V331="Healthy", W331="Good",Y331&lt;&gt;"Low"), "Low Risk : Approve", "Medium Risk : Review")))</f>
        <v>Low Risk : Approve</v>
      </c>
      <c r="AA331" s="5" t="str">
        <f t="shared" si="77"/>
        <v>Medium</v>
      </c>
    </row>
    <row r="332" spans="1:27" x14ac:dyDescent="0.2">
      <c r="A332">
        <v>22276</v>
      </c>
      <c r="B332">
        <v>27</v>
      </c>
      <c r="C332">
        <f t="shared" si="65"/>
        <v>27</v>
      </c>
      <c r="D332" t="s">
        <v>12</v>
      </c>
      <c r="E332" t="str">
        <f t="shared" si="66"/>
        <v>Self-Employed</v>
      </c>
      <c r="F332">
        <v>6846.7</v>
      </c>
      <c r="G332">
        <f>ABS(Table1[[#This Row],[Monthly_Income]])</f>
        <v>6846.7</v>
      </c>
      <c r="H332">
        <v>-98.31</v>
      </c>
      <c r="I332" s="5">
        <f t="shared" si="67"/>
        <v>98.31</v>
      </c>
      <c r="J332">
        <v>24</v>
      </c>
      <c r="K332">
        <v>16.12</v>
      </c>
      <c r="L332">
        <v>4</v>
      </c>
      <c r="M332">
        <f t="shared" si="68"/>
        <v>4</v>
      </c>
      <c r="N332">
        <v>9.5</v>
      </c>
      <c r="O332">
        <f t="shared" si="69"/>
        <v>9.5</v>
      </c>
      <c r="P332">
        <v>15</v>
      </c>
      <c r="Q332">
        <f t="shared" si="70"/>
        <v>15</v>
      </c>
      <c r="R332" t="s">
        <v>13</v>
      </c>
      <c r="S332" t="str">
        <f t="shared" si="71"/>
        <v>Performing</v>
      </c>
      <c r="T332" t="s">
        <v>19</v>
      </c>
      <c r="U332" s="3">
        <f t="shared" si="72"/>
        <v>5.9828092365665222E-4</v>
      </c>
      <c r="V332" t="str">
        <f t="shared" si="73"/>
        <v>Healthy</v>
      </c>
      <c r="W332" t="str">
        <f t="shared" si="74"/>
        <v>Good</v>
      </c>
      <c r="X332" s="5" t="str">
        <f t="shared" si="75"/>
        <v>Small</v>
      </c>
      <c r="Y332" s="5" t="str">
        <f t="shared" si="76"/>
        <v>Medium</v>
      </c>
      <c r="Z332" s="5" t="str">
        <f>IF(B332=120,"NULL",IF(AND(V332="High Stress", W332="High Risk", Y332="Low"),"High Risk : Reject", IF(AND(V332="Healthy", W332="Good",Y332&lt;&gt;"Low"), "Low Risk : Approve", "Medium Risk : Review")))</f>
        <v>Low Risk : Approve</v>
      </c>
      <c r="AA332" s="5" t="str">
        <f t="shared" si="77"/>
        <v>Medium</v>
      </c>
    </row>
    <row r="333" spans="1:27" x14ac:dyDescent="0.2">
      <c r="A333">
        <v>22898</v>
      </c>
      <c r="B333">
        <v>26</v>
      </c>
      <c r="C333">
        <f t="shared" si="65"/>
        <v>26</v>
      </c>
      <c r="D333" t="s">
        <v>17</v>
      </c>
      <c r="E333" t="str">
        <f t="shared" si="66"/>
        <v>Contract</v>
      </c>
      <c r="F333">
        <v>6875.15</v>
      </c>
      <c r="G333">
        <f>ABS(Table1[[#This Row],[Monthly_Income]])</f>
        <v>6875.15</v>
      </c>
      <c r="H333">
        <v>4662.91</v>
      </c>
      <c r="I333" s="5">
        <f t="shared" si="67"/>
        <v>4662.91</v>
      </c>
      <c r="J333">
        <v>24</v>
      </c>
      <c r="K333">
        <v>16.690000000000001</v>
      </c>
      <c r="L333">
        <v>0</v>
      </c>
      <c r="M333">
        <f t="shared" si="68"/>
        <v>0</v>
      </c>
      <c r="N333">
        <v>4.3</v>
      </c>
      <c r="O333">
        <f t="shared" si="69"/>
        <v>4.3</v>
      </c>
      <c r="Q333" t="str">
        <f t="shared" si="70"/>
        <v>NULL</v>
      </c>
      <c r="R333" t="s">
        <v>20</v>
      </c>
      <c r="S333" t="str">
        <f t="shared" si="71"/>
        <v>Written Off</v>
      </c>
      <c r="T333" t="s">
        <v>22</v>
      </c>
      <c r="U333" s="3">
        <f t="shared" si="72"/>
        <v>2.8259444036372542E-2</v>
      </c>
      <c r="V333" t="str">
        <f t="shared" si="73"/>
        <v>Healthy</v>
      </c>
      <c r="W333" t="str">
        <f t="shared" si="74"/>
        <v>NULL</v>
      </c>
      <c r="X333" s="5" t="str">
        <f t="shared" si="75"/>
        <v>Small</v>
      </c>
      <c r="Y333" s="5" t="str">
        <f t="shared" si="76"/>
        <v>Low</v>
      </c>
      <c r="Z333" s="5" t="str">
        <f>IF(B333=120,"NULL",IF(AND(V333="High Stress", W333="High Risk", Y333="Low"),"High Risk : Reject", IF(AND(V333="Healthy", W333="Good",Y333&lt;&gt;"Low"), "Low Risk : Approve", "Medium Risk : Review")))</f>
        <v>Medium Risk : Review</v>
      </c>
      <c r="AA333" s="5" t="str">
        <f t="shared" si="77"/>
        <v>Medium</v>
      </c>
    </row>
    <row r="334" spans="1:27" x14ac:dyDescent="0.2">
      <c r="A334">
        <v>25666</v>
      </c>
      <c r="B334">
        <v>30</v>
      </c>
      <c r="C334">
        <f t="shared" si="65"/>
        <v>30</v>
      </c>
      <c r="D334" t="s">
        <v>27</v>
      </c>
      <c r="E334" t="str">
        <f t="shared" si="66"/>
        <v>Unemployed</v>
      </c>
      <c r="F334">
        <v>4174.45</v>
      </c>
      <c r="G334">
        <f>ABS(Table1[[#This Row],[Monthly_Income]])</f>
        <v>4174.45</v>
      </c>
      <c r="H334">
        <v>21094.05</v>
      </c>
      <c r="I334" s="5">
        <f t="shared" si="67"/>
        <v>21094.05</v>
      </c>
      <c r="J334">
        <v>60</v>
      </c>
      <c r="K334">
        <v>16.77</v>
      </c>
      <c r="L334">
        <v>1</v>
      </c>
      <c r="M334">
        <f t="shared" si="68"/>
        <v>1</v>
      </c>
      <c r="N334">
        <v>12.8</v>
      </c>
      <c r="O334">
        <f t="shared" si="69"/>
        <v>12.8</v>
      </c>
      <c r="P334">
        <v>15</v>
      </c>
      <c r="Q334">
        <f t="shared" si="70"/>
        <v>15</v>
      </c>
      <c r="R334" t="s">
        <v>24</v>
      </c>
      <c r="S334" t="str">
        <f t="shared" si="71"/>
        <v>Non-Performing</v>
      </c>
      <c r="T334" t="s">
        <v>19</v>
      </c>
      <c r="U334" s="3">
        <f t="shared" si="72"/>
        <v>8.4218879133778096E-2</v>
      </c>
      <c r="V334" t="str">
        <f t="shared" si="73"/>
        <v>Healthy</v>
      </c>
      <c r="W334" t="str">
        <f t="shared" si="74"/>
        <v>Good</v>
      </c>
      <c r="X334" s="5" t="str">
        <f t="shared" si="75"/>
        <v>Medium</v>
      </c>
      <c r="Y334" s="5" t="str">
        <f t="shared" si="76"/>
        <v>Low</v>
      </c>
      <c r="Z334" s="5" t="str">
        <f>IF(B334=120,"NULL",IF(AND(V334="High Stress", W334="High Risk", Y334="Low"),"High Risk : Reject", IF(AND(V334="Healthy", W334="Good",Y334&lt;&gt;"Low"), "Low Risk : Approve", "Medium Risk : Review")))</f>
        <v>Medium Risk : Review</v>
      </c>
      <c r="AA334" s="5" t="str">
        <f t="shared" si="77"/>
        <v>Medium</v>
      </c>
    </row>
    <row r="335" spans="1:27" x14ac:dyDescent="0.2">
      <c r="A335">
        <v>22825</v>
      </c>
      <c r="B335">
        <v>31</v>
      </c>
      <c r="C335">
        <f t="shared" si="65"/>
        <v>31</v>
      </c>
      <c r="D335" t="s">
        <v>27</v>
      </c>
      <c r="E335" t="str">
        <f t="shared" si="66"/>
        <v>Unemployed</v>
      </c>
      <c r="F335">
        <v>6142.51</v>
      </c>
      <c r="G335">
        <f>ABS(Table1[[#This Row],[Monthly_Income]])</f>
        <v>6142.51</v>
      </c>
      <c r="H335">
        <v>32670.47</v>
      </c>
      <c r="I335" s="5">
        <f t="shared" si="67"/>
        <v>32670.47</v>
      </c>
      <c r="J335">
        <v>6</v>
      </c>
      <c r="K335">
        <v>21.25</v>
      </c>
      <c r="L335">
        <v>0</v>
      </c>
      <c r="M335">
        <f t="shared" si="68"/>
        <v>0</v>
      </c>
      <c r="N335">
        <v>8.6999999999999993</v>
      </c>
      <c r="O335">
        <f t="shared" si="69"/>
        <v>8.6999999999999993</v>
      </c>
      <c r="P335">
        <v>90</v>
      </c>
      <c r="Q335">
        <f t="shared" si="70"/>
        <v>90</v>
      </c>
      <c r="R335" t="s">
        <v>13</v>
      </c>
      <c r="S335" t="str">
        <f t="shared" si="71"/>
        <v>Performing</v>
      </c>
      <c r="T335" t="s">
        <v>22</v>
      </c>
      <c r="U335" s="3">
        <f t="shared" si="72"/>
        <v>0.88645819597091968</v>
      </c>
      <c r="V335" t="str">
        <f t="shared" si="73"/>
        <v>High Stress</v>
      </c>
      <c r="W335" t="str">
        <f t="shared" si="74"/>
        <v>High Risk</v>
      </c>
      <c r="X335" s="5" t="str">
        <f t="shared" si="75"/>
        <v>High</v>
      </c>
      <c r="Y335" s="5" t="str">
        <f t="shared" si="76"/>
        <v>Low</v>
      </c>
      <c r="Z335" s="5" t="str">
        <f>IF(B335=120,"NULL",IF(AND(V335="High Stress", W335="High Risk", Y335="Low"),"High Risk : Reject", IF(AND(V335="Healthy", W335="Good",Y335&lt;&gt;"Low"), "Low Risk : Approve", "Medium Risk : Review")))</f>
        <v>High Risk : Reject</v>
      </c>
      <c r="AA335" s="5" t="str">
        <f t="shared" si="77"/>
        <v>Medium</v>
      </c>
    </row>
    <row r="336" spans="1:27" x14ac:dyDescent="0.2">
      <c r="A336">
        <v>22933</v>
      </c>
      <c r="B336">
        <v>34</v>
      </c>
      <c r="C336">
        <f t="shared" si="65"/>
        <v>34</v>
      </c>
      <c r="D336" t="s">
        <v>12</v>
      </c>
      <c r="E336" t="str">
        <f t="shared" si="66"/>
        <v>Self-Employed</v>
      </c>
      <c r="F336">
        <v>1994.75</v>
      </c>
      <c r="G336">
        <f>ABS(Table1[[#This Row],[Monthly_Income]])</f>
        <v>1994.75</v>
      </c>
      <c r="H336">
        <v>9849.92</v>
      </c>
      <c r="I336" s="5">
        <f t="shared" si="67"/>
        <v>9849.92</v>
      </c>
      <c r="J336">
        <v>60</v>
      </c>
      <c r="K336">
        <v>15.11</v>
      </c>
      <c r="L336">
        <v>4</v>
      </c>
      <c r="M336">
        <f t="shared" si="68"/>
        <v>4</v>
      </c>
      <c r="N336">
        <v>11.2</v>
      </c>
      <c r="O336">
        <f t="shared" si="69"/>
        <v>11.2</v>
      </c>
      <c r="P336">
        <v>60</v>
      </c>
      <c r="Q336">
        <f t="shared" si="70"/>
        <v>60</v>
      </c>
      <c r="R336" t="s">
        <v>15</v>
      </c>
      <c r="S336" t="str">
        <f t="shared" si="71"/>
        <v xml:space="preserve">Performing </v>
      </c>
      <c r="T336" t="s">
        <v>25</v>
      </c>
      <c r="U336" s="3">
        <f t="shared" si="72"/>
        <v>8.229870075615156E-2</v>
      </c>
      <c r="V336" t="str">
        <f t="shared" si="73"/>
        <v>Healthy</v>
      </c>
      <c r="W336" t="str">
        <f t="shared" si="74"/>
        <v>High Risk</v>
      </c>
      <c r="X336" s="5" t="str">
        <f t="shared" si="75"/>
        <v>Small</v>
      </c>
      <c r="Y336" s="5" t="str">
        <f t="shared" si="76"/>
        <v>Medium</v>
      </c>
      <c r="Z336" s="5" t="str">
        <f>IF(B336=120,"NULL",IF(AND(V336="High Stress", W336="High Risk", Y336="Low"),"High Risk : Reject", IF(AND(V336="Healthy", W336="Good",Y336&lt;&gt;"Low"), "Low Risk : Approve", "Medium Risk : Review")))</f>
        <v>Medium Risk : Review</v>
      </c>
      <c r="AA336" s="5" t="str">
        <f t="shared" si="77"/>
        <v>Low</v>
      </c>
    </row>
    <row r="337" spans="1:27" x14ac:dyDescent="0.2">
      <c r="A337">
        <v>24816</v>
      </c>
      <c r="B337">
        <v>22</v>
      </c>
      <c r="C337">
        <f t="shared" si="65"/>
        <v>22</v>
      </c>
      <c r="D337" t="s">
        <v>26</v>
      </c>
      <c r="E337" t="str">
        <f t="shared" si="66"/>
        <v>Salaried</v>
      </c>
      <c r="F337">
        <v>7433.81</v>
      </c>
      <c r="G337">
        <f>ABS(Table1[[#This Row],[Monthly_Income]])</f>
        <v>7433.81</v>
      </c>
      <c r="H337">
        <v>30225.14</v>
      </c>
      <c r="I337" s="5">
        <f t="shared" si="67"/>
        <v>30225.14</v>
      </c>
      <c r="J337">
        <v>36</v>
      </c>
      <c r="K337">
        <v>12.5</v>
      </c>
      <c r="M337" t="str">
        <f t="shared" si="68"/>
        <v>NULL</v>
      </c>
      <c r="N337">
        <v>-1.3</v>
      </c>
      <c r="O337">
        <f t="shared" si="69"/>
        <v>1.3</v>
      </c>
      <c r="P337">
        <v>0</v>
      </c>
      <c r="Q337">
        <f t="shared" si="70"/>
        <v>0</v>
      </c>
      <c r="R337" t="s">
        <v>18</v>
      </c>
      <c r="S337" t="str">
        <f t="shared" si="71"/>
        <v>Non-Performing</v>
      </c>
      <c r="T337" t="s">
        <v>19</v>
      </c>
      <c r="U337" s="3">
        <f t="shared" si="72"/>
        <v>0.11294171121164276</v>
      </c>
      <c r="V337" t="str">
        <f t="shared" si="73"/>
        <v>Healthy</v>
      </c>
      <c r="W337" t="str">
        <f t="shared" si="74"/>
        <v>Good</v>
      </c>
      <c r="X337" s="5" t="str">
        <f t="shared" si="75"/>
        <v>High</v>
      </c>
      <c r="Y337" s="5" t="str">
        <f t="shared" si="76"/>
        <v>High</v>
      </c>
      <c r="Z337" s="5" t="str">
        <f>IF(B337=120,"NULL",IF(AND(V337="High Stress", W337="High Risk", Y337="Low"),"High Risk : Reject", IF(AND(V337="Healthy", W337="Good",Y337&lt;&gt;"Low"), "Low Risk : Approve", "Medium Risk : Review")))</f>
        <v>Low Risk : Approve</v>
      </c>
      <c r="AA337" s="5" t="str">
        <f t="shared" si="77"/>
        <v>Medium</v>
      </c>
    </row>
    <row r="338" spans="1:27" x14ac:dyDescent="0.2">
      <c r="A338">
        <v>21995</v>
      </c>
      <c r="B338">
        <v>56</v>
      </c>
      <c r="C338">
        <f t="shared" si="65"/>
        <v>56</v>
      </c>
      <c r="D338" t="s">
        <v>17</v>
      </c>
      <c r="E338" t="str">
        <f t="shared" si="66"/>
        <v>Contract</v>
      </c>
      <c r="F338">
        <v>1367.17</v>
      </c>
      <c r="G338">
        <f>ABS(Table1[[#This Row],[Monthly_Income]])</f>
        <v>1367.17</v>
      </c>
      <c r="H338">
        <v>8191.93</v>
      </c>
      <c r="I338" s="5">
        <f t="shared" si="67"/>
        <v>8191.93</v>
      </c>
      <c r="J338">
        <v>12</v>
      </c>
      <c r="K338">
        <v>11.34</v>
      </c>
      <c r="L338">
        <v>3</v>
      </c>
      <c r="M338">
        <f t="shared" si="68"/>
        <v>3</v>
      </c>
      <c r="N338">
        <v>1</v>
      </c>
      <c r="O338">
        <f t="shared" si="69"/>
        <v>1</v>
      </c>
      <c r="P338">
        <v>0</v>
      </c>
      <c r="Q338">
        <f t="shared" si="70"/>
        <v>0</v>
      </c>
      <c r="R338" t="s">
        <v>24</v>
      </c>
      <c r="S338" t="str">
        <f t="shared" si="71"/>
        <v>Non-Performing</v>
      </c>
      <c r="T338" t="s">
        <v>22</v>
      </c>
      <c r="U338" s="3">
        <f t="shared" si="72"/>
        <v>0.49932402944281495</v>
      </c>
      <c r="V338" t="str">
        <f t="shared" si="73"/>
        <v>High Stress</v>
      </c>
      <c r="W338" t="str">
        <f t="shared" si="74"/>
        <v>Good</v>
      </c>
      <c r="X338" s="5" t="str">
        <f t="shared" si="75"/>
        <v>Small</v>
      </c>
      <c r="Y338" s="5" t="str">
        <f t="shared" si="76"/>
        <v>Low</v>
      </c>
      <c r="Z338" s="5" t="str">
        <f>IF(B338=120,"NULL",IF(AND(V338="High Stress", W338="High Risk", Y338="Low"),"High Risk : Reject", IF(AND(V338="Healthy", W338="Good",Y338&lt;&gt;"Low"), "Low Risk : Approve", "Medium Risk : Review")))</f>
        <v>Medium Risk : Review</v>
      </c>
      <c r="AA338" s="5" t="str">
        <f t="shared" si="77"/>
        <v>Low</v>
      </c>
    </row>
    <row r="339" spans="1:27" x14ac:dyDescent="0.2">
      <c r="A339">
        <v>21811</v>
      </c>
      <c r="B339">
        <v>26</v>
      </c>
      <c r="C339">
        <f t="shared" si="65"/>
        <v>26</v>
      </c>
      <c r="D339" t="s">
        <v>21</v>
      </c>
      <c r="E339" t="str">
        <f t="shared" si="66"/>
        <v>Salaried</v>
      </c>
      <c r="F339">
        <v>5040.05</v>
      </c>
      <c r="G339">
        <f>ABS(Table1[[#This Row],[Monthly_Income]])</f>
        <v>5040.05</v>
      </c>
      <c r="H339">
        <v>9362.0400000000009</v>
      </c>
      <c r="I339" s="5">
        <f t="shared" si="67"/>
        <v>9362.0400000000009</v>
      </c>
      <c r="J339">
        <v>60</v>
      </c>
      <c r="K339">
        <v>13.67</v>
      </c>
      <c r="L339">
        <v>1</v>
      </c>
      <c r="M339">
        <f t="shared" si="68"/>
        <v>1</v>
      </c>
      <c r="N339">
        <v>2.7</v>
      </c>
      <c r="O339">
        <f t="shared" si="69"/>
        <v>2.7</v>
      </c>
      <c r="P339">
        <v>60</v>
      </c>
      <c r="Q339">
        <f t="shared" si="70"/>
        <v>60</v>
      </c>
      <c r="R339" t="s">
        <v>18</v>
      </c>
      <c r="S339" t="str">
        <f t="shared" si="71"/>
        <v>Non-Performing</v>
      </c>
      <c r="T339" t="s">
        <v>14</v>
      </c>
      <c r="U339" s="3">
        <f t="shared" si="72"/>
        <v>3.0958819852977652E-2</v>
      </c>
      <c r="V339" t="str">
        <f t="shared" si="73"/>
        <v>Healthy</v>
      </c>
      <c r="W339" t="str">
        <f t="shared" si="74"/>
        <v>High Risk</v>
      </c>
      <c r="X339" s="5" t="str">
        <f t="shared" si="75"/>
        <v>Small</v>
      </c>
      <c r="Y339" s="5" t="str">
        <f t="shared" si="76"/>
        <v>High</v>
      </c>
      <c r="Z339" s="5" t="str">
        <f>IF(B339=120,"NULL",IF(AND(V339="High Stress", W339="High Risk", Y339="Low"),"High Risk : Reject", IF(AND(V339="Healthy", W339="Good",Y339&lt;&gt;"Low"), "Low Risk : Approve", "Medium Risk : Review")))</f>
        <v>Medium Risk : Review</v>
      </c>
      <c r="AA339" s="5" t="str">
        <f t="shared" si="77"/>
        <v>Medium</v>
      </c>
    </row>
    <row r="340" spans="1:27" x14ac:dyDescent="0.2">
      <c r="A340">
        <v>23036</v>
      </c>
      <c r="B340">
        <v>25</v>
      </c>
      <c r="C340">
        <f t="shared" si="65"/>
        <v>25</v>
      </c>
      <c r="D340" t="s">
        <v>26</v>
      </c>
      <c r="E340" t="str">
        <f t="shared" si="66"/>
        <v>Salaried</v>
      </c>
      <c r="F340">
        <v>8989.5499999999993</v>
      </c>
      <c r="G340">
        <f>ABS(Table1[[#This Row],[Monthly_Income]])</f>
        <v>8989.5499999999993</v>
      </c>
      <c r="H340"/>
      <c r="I340" s="5" t="str">
        <f t="shared" si="67"/>
        <v>NULL</v>
      </c>
      <c r="J340">
        <v>48</v>
      </c>
      <c r="K340">
        <v>15.74</v>
      </c>
      <c r="L340">
        <v>3</v>
      </c>
      <c r="M340">
        <f t="shared" si="68"/>
        <v>3</v>
      </c>
      <c r="N340">
        <v>11.5</v>
      </c>
      <c r="O340">
        <f t="shared" si="69"/>
        <v>11.5</v>
      </c>
      <c r="P340">
        <v>0</v>
      </c>
      <c r="Q340">
        <f t="shared" si="70"/>
        <v>0</v>
      </c>
      <c r="R340" t="s">
        <v>13</v>
      </c>
      <c r="S340" t="str">
        <f t="shared" si="71"/>
        <v>Performing</v>
      </c>
      <c r="T340" t="s">
        <v>14</v>
      </c>
      <c r="U340" s="3" t="str">
        <f t="shared" si="72"/>
        <v>NULL</v>
      </c>
      <c r="V340" t="str">
        <f t="shared" si="73"/>
        <v>NULL</v>
      </c>
      <c r="W340" t="str">
        <f t="shared" si="74"/>
        <v>Good</v>
      </c>
      <c r="X340" s="5" t="str">
        <f t="shared" si="75"/>
        <v>High</v>
      </c>
      <c r="Y340" s="5" t="str">
        <f t="shared" si="76"/>
        <v>High</v>
      </c>
      <c r="Z340" s="5" t="str">
        <f>IF(B340=120,"NULL",IF(AND(V340="High Stress", W340="High Risk", Y340="Low"),"High Risk : Reject", IF(AND(V340="Healthy", W340="Good",Y340&lt;&gt;"Low"), "Low Risk : Approve", "Medium Risk : Review")))</f>
        <v>Medium Risk : Review</v>
      </c>
      <c r="AA340" s="5" t="str">
        <f t="shared" si="77"/>
        <v>High</v>
      </c>
    </row>
    <row r="341" spans="1:27" x14ac:dyDescent="0.2">
      <c r="A341">
        <v>22492</v>
      </c>
      <c r="B341">
        <v>32</v>
      </c>
      <c r="C341">
        <f t="shared" si="65"/>
        <v>32</v>
      </c>
      <c r="D341" t="s">
        <v>23</v>
      </c>
      <c r="E341" t="str">
        <f t="shared" si="66"/>
        <v>Self-Employed</v>
      </c>
      <c r="F341">
        <v>4805.42</v>
      </c>
      <c r="G341">
        <f>ABS(Table1[[#This Row],[Monthly_Income]])</f>
        <v>4805.42</v>
      </c>
      <c r="H341">
        <v>17184.669999999998</v>
      </c>
      <c r="I341" s="5">
        <f t="shared" si="67"/>
        <v>17184.669999999998</v>
      </c>
      <c r="J341">
        <v>36</v>
      </c>
      <c r="K341">
        <v>16.420000000000002</v>
      </c>
      <c r="M341" t="str">
        <f t="shared" si="68"/>
        <v>NULL</v>
      </c>
      <c r="N341">
        <v>2</v>
      </c>
      <c r="O341">
        <f t="shared" si="69"/>
        <v>2</v>
      </c>
      <c r="P341">
        <v>60</v>
      </c>
      <c r="Q341">
        <f t="shared" si="70"/>
        <v>60</v>
      </c>
      <c r="R341" t="s">
        <v>20</v>
      </c>
      <c r="S341" t="str">
        <f t="shared" si="71"/>
        <v>Written Off</v>
      </c>
      <c r="T341" t="s">
        <v>14</v>
      </c>
      <c r="U341" s="3">
        <f t="shared" si="72"/>
        <v>9.9336154684594558E-2</v>
      </c>
      <c r="V341" t="str">
        <f t="shared" si="73"/>
        <v>Healthy</v>
      </c>
      <c r="W341" t="str">
        <f t="shared" si="74"/>
        <v>High Risk</v>
      </c>
      <c r="X341" s="5" t="str">
        <f t="shared" si="75"/>
        <v>Medium</v>
      </c>
      <c r="Y341" s="5" t="str">
        <f t="shared" si="76"/>
        <v>Medium</v>
      </c>
      <c r="Z341" s="5" t="str">
        <f>IF(B341=120,"NULL",IF(AND(V341="High Stress", W341="High Risk", Y341="Low"),"High Risk : Reject", IF(AND(V341="Healthy", W341="Good",Y341&lt;&gt;"Low"), "Low Risk : Approve", "Medium Risk : Review")))</f>
        <v>Medium Risk : Review</v>
      </c>
      <c r="AA341" s="5" t="str">
        <f t="shared" si="77"/>
        <v>Medium</v>
      </c>
    </row>
    <row r="342" spans="1:27" x14ac:dyDescent="0.2">
      <c r="A342">
        <v>22011</v>
      </c>
      <c r="B342">
        <v>39</v>
      </c>
      <c r="C342">
        <f t="shared" si="65"/>
        <v>39</v>
      </c>
      <c r="D342" t="s">
        <v>23</v>
      </c>
      <c r="E342" t="str">
        <f t="shared" si="66"/>
        <v>Self-Employed</v>
      </c>
      <c r="F342">
        <v>5243.43</v>
      </c>
      <c r="G342">
        <f>ABS(Table1[[#This Row],[Monthly_Income]])</f>
        <v>5243.43</v>
      </c>
      <c r="H342">
        <v>9135.9500000000007</v>
      </c>
      <c r="I342" s="5">
        <f t="shared" si="67"/>
        <v>9135.9500000000007</v>
      </c>
      <c r="J342">
        <v>12</v>
      </c>
      <c r="K342">
        <v>15.34</v>
      </c>
      <c r="L342">
        <v>1</v>
      </c>
      <c r="M342">
        <f t="shared" si="68"/>
        <v>1</v>
      </c>
      <c r="N342">
        <v>8.6999999999999993</v>
      </c>
      <c r="O342">
        <f t="shared" si="69"/>
        <v>8.6999999999999993</v>
      </c>
      <c r="P342">
        <v>30</v>
      </c>
      <c r="Q342">
        <f t="shared" si="70"/>
        <v>30</v>
      </c>
      <c r="R342" t="s">
        <v>20</v>
      </c>
      <c r="S342" t="str">
        <f t="shared" si="71"/>
        <v>Written Off</v>
      </c>
      <c r="T342" t="s">
        <v>22</v>
      </c>
      <c r="U342" s="3">
        <f t="shared" si="72"/>
        <v>0.14519678276751413</v>
      </c>
      <c r="V342" t="str">
        <f t="shared" si="73"/>
        <v>Healthy</v>
      </c>
      <c r="W342" t="str">
        <f t="shared" si="74"/>
        <v>At Risk</v>
      </c>
      <c r="X342" s="5" t="str">
        <f t="shared" si="75"/>
        <v>Small</v>
      </c>
      <c r="Y342" s="5" t="str">
        <f t="shared" si="76"/>
        <v>Medium</v>
      </c>
      <c r="Z342" s="5" t="str">
        <f>IF(B342=120,"NULL",IF(AND(V342="High Stress", W342="High Risk", Y342="Low"),"High Risk : Reject", IF(AND(V342="Healthy", W342="Good",Y342&lt;&gt;"Low"), "Low Risk : Approve", "Medium Risk : Review")))</f>
        <v>Medium Risk : Review</v>
      </c>
      <c r="AA342" s="5" t="str">
        <f t="shared" si="77"/>
        <v>Medium</v>
      </c>
    </row>
    <row r="343" spans="1:27" x14ac:dyDescent="0.2">
      <c r="A343">
        <v>22152</v>
      </c>
      <c r="B343">
        <v>30</v>
      </c>
      <c r="C343">
        <f t="shared" si="65"/>
        <v>30</v>
      </c>
      <c r="D343" t="s">
        <v>17</v>
      </c>
      <c r="E343" t="str">
        <f t="shared" si="66"/>
        <v>Contract</v>
      </c>
      <c r="F343">
        <v>7607.26</v>
      </c>
      <c r="G343">
        <f>ABS(Table1[[#This Row],[Monthly_Income]])</f>
        <v>7607.26</v>
      </c>
      <c r="H343">
        <v>10027.14</v>
      </c>
      <c r="I343" s="5">
        <f t="shared" si="67"/>
        <v>10027.14</v>
      </c>
      <c r="J343">
        <v>36</v>
      </c>
      <c r="K343">
        <v>20.66</v>
      </c>
      <c r="L343">
        <v>4</v>
      </c>
      <c r="M343">
        <f t="shared" si="68"/>
        <v>4</v>
      </c>
      <c r="N343">
        <v>3.9</v>
      </c>
      <c r="O343">
        <f t="shared" si="69"/>
        <v>3.9</v>
      </c>
      <c r="P343">
        <v>0</v>
      </c>
      <c r="Q343">
        <f t="shared" si="70"/>
        <v>0</v>
      </c>
      <c r="R343" t="s">
        <v>13</v>
      </c>
      <c r="S343" t="str">
        <f t="shared" si="71"/>
        <v>Performing</v>
      </c>
      <c r="T343" t="s">
        <v>25</v>
      </c>
      <c r="U343" s="3">
        <f t="shared" si="72"/>
        <v>3.6613927572695909E-2</v>
      </c>
      <c r="V343" t="str">
        <f t="shared" si="73"/>
        <v>Healthy</v>
      </c>
      <c r="W343" t="str">
        <f t="shared" si="74"/>
        <v>Good</v>
      </c>
      <c r="X343" s="5" t="str">
        <f t="shared" si="75"/>
        <v>Medium</v>
      </c>
      <c r="Y343" s="5" t="str">
        <f t="shared" si="76"/>
        <v>Low</v>
      </c>
      <c r="Z343" s="5" t="str">
        <f>IF(B343=120,"NULL",IF(AND(V343="High Stress", W343="High Risk", Y343="Low"),"High Risk : Reject", IF(AND(V343="Healthy", W343="Good",Y343&lt;&gt;"Low"), "Low Risk : Approve", "Medium Risk : Review")))</f>
        <v>Medium Risk : Review</v>
      </c>
      <c r="AA343" s="5" t="str">
        <f t="shared" si="77"/>
        <v>Medium</v>
      </c>
    </row>
    <row r="344" spans="1:27" x14ac:dyDescent="0.2">
      <c r="A344">
        <v>23969</v>
      </c>
      <c r="B344">
        <v>25</v>
      </c>
      <c r="C344">
        <f t="shared" si="65"/>
        <v>25</v>
      </c>
      <c r="D344" t="s">
        <v>26</v>
      </c>
      <c r="E344" t="str">
        <f t="shared" si="66"/>
        <v>Salaried</v>
      </c>
      <c r="F344">
        <v>7964.25</v>
      </c>
      <c r="G344">
        <f>ABS(Table1[[#This Row],[Monthly_Income]])</f>
        <v>7964.25</v>
      </c>
      <c r="H344">
        <v>9486.2900000000009</v>
      </c>
      <c r="I344" s="5">
        <f t="shared" si="67"/>
        <v>9486.2900000000009</v>
      </c>
      <c r="J344">
        <v>60</v>
      </c>
      <c r="K344">
        <v>13.54</v>
      </c>
      <c r="L344">
        <v>3</v>
      </c>
      <c r="M344">
        <f t="shared" si="68"/>
        <v>3</v>
      </c>
      <c r="N344">
        <v>3.6</v>
      </c>
      <c r="O344">
        <f t="shared" si="69"/>
        <v>3.6</v>
      </c>
      <c r="P344">
        <v>90</v>
      </c>
      <c r="Q344">
        <f t="shared" si="70"/>
        <v>90</v>
      </c>
      <c r="R344" t="s">
        <v>20</v>
      </c>
      <c r="S344" t="str">
        <f t="shared" si="71"/>
        <v>Written Off</v>
      </c>
      <c r="T344" t="s">
        <v>14</v>
      </c>
      <c r="U344" s="3">
        <f t="shared" si="72"/>
        <v>1.9851816973768196E-2</v>
      </c>
      <c r="V344" t="str">
        <f t="shared" si="73"/>
        <v>Healthy</v>
      </c>
      <c r="W344" t="str">
        <f t="shared" si="74"/>
        <v>High Risk</v>
      </c>
      <c r="X344" s="5" t="str">
        <f t="shared" si="75"/>
        <v>Small</v>
      </c>
      <c r="Y344" s="5" t="str">
        <f t="shared" si="76"/>
        <v>High</v>
      </c>
      <c r="Z344" s="5" t="str">
        <f>IF(B344=120,"NULL",IF(AND(V344="High Stress", W344="High Risk", Y344="Low"),"High Risk : Reject", IF(AND(V344="Healthy", W344="Good",Y344&lt;&gt;"Low"), "Low Risk : Approve", "Medium Risk : Review")))</f>
        <v>Medium Risk : Review</v>
      </c>
      <c r="AA344" s="5" t="str">
        <f t="shared" si="77"/>
        <v>Medium</v>
      </c>
    </row>
    <row r="345" spans="1:27" x14ac:dyDescent="0.2">
      <c r="A345">
        <v>25006</v>
      </c>
      <c r="B345">
        <v>48</v>
      </c>
      <c r="C345">
        <f t="shared" si="65"/>
        <v>48</v>
      </c>
      <c r="D345" t="s">
        <v>26</v>
      </c>
      <c r="E345" t="str">
        <f t="shared" si="66"/>
        <v>Salaried</v>
      </c>
      <c r="F345">
        <v>3275.03</v>
      </c>
      <c r="G345">
        <f>ABS(Table1[[#This Row],[Monthly_Income]])</f>
        <v>3275.03</v>
      </c>
      <c r="H345">
        <v>24842.880000000001</v>
      </c>
      <c r="I345" s="5">
        <f t="shared" si="67"/>
        <v>24842.880000000001</v>
      </c>
      <c r="J345">
        <v>24</v>
      </c>
      <c r="K345">
        <v>28.88</v>
      </c>
      <c r="M345" t="str">
        <f t="shared" si="68"/>
        <v>NULL</v>
      </c>
      <c r="N345">
        <v>11.8</v>
      </c>
      <c r="O345">
        <f t="shared" si="69"/>
        <v>11.8</v>
      </c>
      <c r="P345">
        <v>90</v>
      </c>
      <c r="Q345">
        <f t="shared" si="70"/>
        <v>90</v>
      </c>
      <c r="R345" t="s">
        <v>13</v>
      </c>
      <c r="S345" t="str">
        <f t="shared" si="71"/>
        <v>Performing</v>
      </c>
      <c r="T345" t="s">
        <v>19</v>
      </c>
      <c r="U345" s="3">
        <f t="shared" si="72"/>
        <v>0.31606428032720313</v>
      </c>
      <c r="V345" t="str">
        <f t="shared" si="73"/>
        <v>Stretched</v>
      </c>
      <c r="W345" t="str">
        <f t="shared" si="74"/>
        <v>High Risk</v>
      </c>
      <c r="X345" s="5" t="str">
        <f t="shared" si="75"/>
        <v>Medium</v>
      </c>
      <c r="Y345" s="5" t="str">
        <f t="shared" si="76"/>
        <v>High</v>
      </c>
      <c r="Z345" s="5" t="str">
        <f>IF(B345=120,"NULL",IF(AND(V345="High Stress", W345="High Risk", Y345="Low"),"High Risk : Reject", IF(AND(V345="Healthy", W345="Good",Y345&lt;&gt;"Low"), "Low Risk : Approve", "Medium Risk : Review")))</f>
        <v>Medium Risk : Review</v>
      </c>
      <c r="AA345" s="5" t="str">
        <f t="shared" si="77"/>
        <v>Medium</v>
      </c>
    </row>
    <row r="346" spans="1:27" x14ac:dyDescent="0.2">
      <c r="A346">
        <v>21177</v>
      </c>
      <c r="B346">
        <v>46</v>
      </c>
      <c r="C346">
        <f t="shared" si="65"/>
        <v>46</v>
      </c>
      <c r="D346" t="s">
        <v>21</v>
      </c>
      <c r="E346" t="str">
        <f t="shared" si="66"/>
        <v>Salaried</v>
      </c>
      <c r="F346">
        <v>2776.05</v>
      </c>
      <c r="G346">
        <f>ABS(Table1[[#This Row],[Monthly_Income]])</f>
        <v>2776.05</v>
      </c>
      <c r="H346">
        <v>30724.39</v>
      </c>
      <c r="I346" s="5">
        <f t="shared" si="67"/>
        <v>30724.39</v>
      </c>
      <c r="J346">
        <v>18</v>
      </c>
      <c r="K346">
        <v>14.95</v>
      </c>
      <c r="L346">
        <v>0</v>
      </c>
      <c r="M346">
        <f t="shared" si="68"/>
        <v>0</v>
      </c>
      <c r="N346">
        <v>4.7</v>
      </c>
      <c r="O346">
        <f t="shared" si="69"/>
        <v>4.7</v>
      </c>
      <c r="P346">
        <v>15</v>
      </c>
      <c r="Q346">
        <f t="shared" si="70"/>
        <v>15</v>
      </c>
      <c r="R346" t="s">
        <v>24</v>
      </c>
      <c r="S346" t="str">
        <f t="shared" si="71"/>
        <v>Non-Performing</v>
      </c>
      <c r="T346" t="s">
        <v>14</v>
      </c>
      <c r="U346" s="3">
        <f t="shared" si="72"/>
        <v>0.61487024929506151</v>
      </c>
      <c r="V346" t="str">
        <f t="shared" si="73"/>
        <v>High Stress</v>
      </c>
      <c r="W346" t="str">
        <f t="shared" si="74"/>
        <v>Good</v>
      </c>
      <c r="X346" s="5" t="str">
        <f t="shared" si="75"/>
        <v>High</v>
      </c>
      <c r="Y346" s="5" t="str">
        <f t="shared" si="76"/>
        <v>High</v>
      </c>
      <c r="Z346" s="5" t="str">
        <f>IF(B346=120,"NULL",IF(AND(V346="High Stress", W346="High Risk", Y346="Low"),"High Risk : Reject", IF(AND(V346="Healthy", W346="Good",Y346&lt;&gt;"Low"), "Low Risk : Approve", "Medium Risk : Review")))</f>
        <v>Medium Risk : Review</v>
      </c>
      <c r="AA346" s="5" t="str">
        <f t="shared" si="77"/>
        <v>Medium</v>
      </c>
    </row>
    <row r="347" spans="1:27" x14ac:dyDescent="0.2">
      <c r="A347">
        <v>25810</v>
      </c>
      <c r="B347">
        <v>23</v>
      </c>
      <c r="C347">
        <f t="shared" si="65"/>
        <v>23</v>
      </c>
      <c r="D347" t="s">
        <v>17</v>
      </c>
      <c r="E347" t="str">
        <f t="shared" si="66"/>
        <v>Contract</v>
      </c>
      <c r="F347">
        <v>2404.86</v>
      </c>
      <c r="G347">
        <f>ABS(Table1[[#This Row],[Monthly_Income]])</f>
        <v>2404.86</v>
      </c>
      <c r="H347">
        <v>19971.349999999999</v>
      </c>
      <c r="I347" s="5">
        <f t="shared" si="67"/>
        <v>19971.349999999999</v>
      </c>
      <c r="J347">
        <v>18</v>
      </c>
      <c r="K347">
        <v>20.49</v>
      </c>
      <c r="L347">
        <v>4</v>
      </c>
      <c r="M347">
        <f t="shared" si="68"/>
        <v>4</v>
      </c>
      <c r="N347">
        <v>7</v>
      </c>
      <c r="O347">
        <f t="shared" si="69"/>
        <v>7</v>
      </c>
      <c r="P347">
        <v>0</v>
      </c>
      <c r="Q347">
        <f t="shared" si="70"/>
        <v>0</v>
      </c>
      <c r="R347" t="s">
        <v>13</v>
      </c>
      <c r="S347" t="str">
        <f t="shared" si="71"/>
        <v>Performing</v>
      </c>
      <c r="T347" t="s">
        <v>22</v>
      </c>
      <c r="U347" s="3">
        <f t="shared" si="72"/>
        <v>0.46136550337418575</v>
      </c>
      <c r="V347" t="str">
        <f t="shared" si="73"/>
        <v>High Stress</v>
      </c>
      <c r="W347" t="str">
        <f t="shared" si="74"/>
        <v>Good</v>
      </c>
      <c r="X347" s="5" t="str">
        <f t="shared" si="75"/>
        <v>Medium</v>
      </c>
      <c r="Y347" s="5" t="str">
        <f t="shared" si="76"/>
        <v>Low</v>
      </c>
      <c r="Z347" s="5" t="str">
        <f>IF(B347=120,"NULL",IF(AND(V347="High Stress", W347="High Risk", Y347="Low"),"High Risk : Reject", IF(AND(V347="Healthy", W347="Good",Y347&lt;&gt;"Low"), "Low Risk : Approve", "Medium Risk : Review")))</f>
        <v>Medium Risk : Review</v>
      </c>
      <c r="AA347" s="5" t="str">
        <f t="shared" si="77"/>
        <v>Medium</v>
      </c>
    </row>
    <row r="348" spans="1:27" x14ac:dyDescent="0.2">
      <c r="A348">
        <v>22244</v>
      </c>
      <c r="B348">
        <v>60</v>
      </c>
      <c r="C348">
        <f t="shared" si="65"/>
        <v>60</v>
      </c>
      <c r="D348" t="s">
        <v>21</v>
      </c>
      <c r="E348" t="str">
        <f t="shared" si="66"/>
        <v>Salaried</v>
      </c>
      <c r="F348">
        <v>3120.6</v>
      </c>
      <c r="G348">
        <f>ABS(Table1[[#This Row],[Monthly_Income]])</f>
        <v>3120.6</v>
      </c>
      <c r="H348">
        <v>16260.73</v>
      </c>
      <c r="I348" s="5">
        <f t="shared" si="67"/>
        <v>16260.73</v>
      </c>
      <c r="J348">
        <v>24</v>
      </c>
      <c r="K348">
        <v>17.46</v>
      </c>
      <c r="L348">
        <v>3</v>
      </c>
      <c r="M348">
        <f t="shared" si="68"/>
        <v>3</v>
      </c>
      <c r="N348">
        <v>10.9</v>
      </c>
      <c r="O348">
        <f t="shared" si="69"/>
        <v>10.9</v>
      </c>
      <c r="P348">
        <v>15</v>
      </c>
      <c r="Q348">
        <f t="shared" si="70"/>
        <v>15</v>
      </c>
      <c r="R348" t="s">
        <v>20</v>
      </c>
      <c r="S348" t="str">
        <f t="shared" si="71"/>
        <v>Written Off</v>
      </c>
      <c r="T348" t="s">
        <v>14</v>
      </c>
      <c r="U348" s="3">
        <f t="shared" si="72"/>
        <v>0.21711543186139418</v>
      </c>
      <c r="V348" t="str">
        <f t="shared" si="73"/>
        <v>Healthy</v>
      </c>
      <c r="W348" t="str">
        <f t="shared" si="74"/>
        <v>Good</v>
      </c>
      <c r="X348" s="5" t="str">
        <f t="shared" si="75"/>
        <v>Medium</v>
      </c>
      <c r="Y348" s="5" t="str">
        <f t="shared" si="76"/>
        <v>High</v>
      </c>
      <c r="Z348" s="5" t="str">
        <f>IF(B348=120,"NULL",IF(AND(V348="High Stress", W348="High Risk", Y348="Low"),"High Risk : Reject", IF(AND(V348="Healthy", W348="Good",Y348&lt;&gt;"Low"), "Low Risk : Approve", "Medium Risk : Review")))</f>
        <v>Low Risk : Approve</v>
      </c>
      <c r="AA348" s="5" t="str">
        <f t="shared" si="77"/>
        <v>Medium</v>
      </c>
    </row>
    <row r="349" spans="1:27" x14ac:dyDescent="0.2">
      <c r="A349">
        <v>21149</v>
      </c>
      <c r="B349">
        <v>62</v>
      </c>
      <c r="C349">
        <f t="shared" si="65"/>
        <v>62</v>
      </c>
      <c r="D349" t="s">
        <v>27</v>
      </c>
      <c r="E349" t="str">
        <f t="shared" si="66"/>
        <v>Unemployed</v>
      </c>
      <c r="F349">
        <v>9085.89</v>
      </c>
      <c r="G349">
        <f>ABS(Table1[[#This Row],[Monthly_Income]])</f>
        <v>9085.89</v>
      </c>
      <c r="H349">
        <v>13043.32</v>
      </c>
      <c r="I349" s="5">
        <f t="shared" si="67"/>
        <v>13043.32</v>
      </c>
      <c r="J349">
        <v>18</v>
      </c>
      <c r="K349">
        <v>20.12</v>
      </c>
      <c r="L349">
        <v>3</v>
      </c>
      <c r="M349">
        <f t="shared" si="68"/>
        <v>3</v>
      </c>
      <c r="N349">
        <v>0.7</v>
      </c>
      <c r="O349">
        <f t="shared" si="69"/>
        <v>0.7</v>
      </c>
      <c r="P349">
        <v>30</v>
      </c>
      <c r="Q349">
        <f t="shared" si="70"/>
        <v>30</v>
      </c>
      <c r="R349" t="s">
        <v>13</v>
      </c>
      <c r="S349" t="str">
        <f t="shared" si="71"/>
        <v>Performing</v>
      </c>
      <c r="T349" t="s">
        <v>22</v>
      </c>
      <c r="U349" s="3">
        <f t="shared" si="72"/>
        <v>7.9753209524756397E-2</v>
      </c>
      <c r="V349" t="str">
        <f t="shared" si="73"/>
        <v>Healthy</v>
      </c>
      <c r="W349" t="str">
        <f t="shared" si="74"/>
        <v>At Risk</v>
      </c>
      <c r="X349" s="5" t="str">
        <f t="shared" si="75"/>
        <v>Medium</v>
      </c>
      <c r="Y349" s="5" t="str">
        <f t="shared" si="76"/>
        <v>Low</v>
      </c>
      <c r="Z349" s="5" t="str">
        <f>IF(B349=120,"NULL",IF(AND(V349="High Stress", W349="High Risk", Y349="Low"),"High Risk : Reject", IF(AND(V349="Healthy", W349="Good",Y349&lt;&gt;"Low"), "Low Risk : Approve", "Medium Risk : Review")))</f>
        <v>Medium Risk : Review</v>
      </c>
      <c r="AA349" s="5" t="str">
        <f t="shared" si="77"/>
        <v>High</v>
      </c>
    </row>
    <row r="350" spans="1:27" x14ac:dyDescent="0.2">
      <c r="A350">
        <v>24705</v>
      </c>
      <c r="B350">
        <v>37</v>
      </c>
      <c r="C350">
        <f t="shared" si="65"/>
        <v>37</v>
      </c>
      <c r="D350" t="s">
        <v>17</v>
      </c>
      <c r="E350" t="str">
        <f t="shared" si="66"/>
        <v>Contract</v>
      </c>
      <c r="F350">
        <v>3481.92</v>
      </c>
      <c r="G350">
        <f>ABS(Table1[[#This Row],[Monthly_Income]])</f>
        <v>3481.92</v>
      </c>
      <c r="H350">
        <v>15677.88</v>
      </c>
      <c r="I350" s="5">
        <f t="shared" si="67"/>
        <v>15677.88</v>
      </c>
      <c r="J350">
        <v>36</v>
      </c>
      <c r="K350">
        <v>23.02</v>
      </c>
      <c r="L350">
        <v>1</v>
      </c>
      <c r="M350">
        <f t="shared" si="68"/>
        <v>1</v>
      </c>
      <c r="N350">
        <v>9.8000000000000007</v>
      </c>
      <c r="O350">
        <f t="shared" si="69"/>
        <v>9.8000000000000007</v>
      </c>
      <c r="P350">
        <v>120</v>
      </c>
      <c r="Q350">
        <f t="shared" si="70"/>
        <v>120</v>
      </c>
      <c r="R350" t="s">
        <v>24</v>
      </c>
      <c r="S350" t="str">
        <f t="shared" si="71"/>
        <v>Non-Performing</v>
      </c>
      <c r="T350" t="s">
        <v>16</v>
      </c>
      <c r="U350" s="3">
        <f t="shared" si="72"/>
        <v>0.12507371411941304</v>
      </c>
      <c r="V350" t="str">
        <f t="shared" si="73"/>
        <v>Healthy</v>
      </c>
      <c r="W350" t="str">
        <f t="shared" si="74"/>
        <v>High Risk</v>
      </c>
      <c r="X350" s="5" t="str">
        <f t="shared" si="75"/>
        <v>Medium</v>
      </c>
      <c r="Y350" s="5" t="str">
        <f t="shared" si="76"/>
        <v>Low</v>
      </c>
      <c r="Z350" s="5" t="str">
        <f>IF(B350=120,"NULL",IF(AND(V350="High Stress", W350="High Risk", Y350="Low"),"High Risk : Reject", IF(AND(V350="Healthy", W350="Good",Y350&lt;&gt;"Low"), "Low Risk : Approve", "Medium Risk : Review")))</f>
        <v>Medium Risk : Review</v>
      </c>
      <c r="AA350" s="5" t="str">
        <f t="shared" si="77"/>
        <v>Medium</v>
      </c>
    </row>
    <row r="351" spans="1:27" x14ac:dyDescent="0.2">
      <c r="A351">
        <v>24827</v>
      </c>
      <c r="B351">
        <v>22</v>
      </c>
      <c r="C351">
        <f t="shared" si="65"/>
        <v>22</v>
      </c>
      <c r="D351" t="s">
        <v>23</v>
      </c>
      <c r="E351" t="str">
        <f t="shared" si="66"/>
        <v>Self-Employed</v>
      </c>
      <c r="F351">
        <v>7061.74</v>
      </c>
      <c r="G351">
        <f>ABS(Table1[[#This Row],[Monthly_Income]])</f>
        <v>7061.74</v>
      </c>
      <c r="H351">
        <v>22730.560000000001</v>
      </c>
      <c r="I351" s="5">
        <f t="shared" si="67"/>
        <v>22730.560000000001</v>
      </c>
      <c r="J351">
        <v>60</v>
      </c>
      <c r="K351">
        <v>21.96</v>
      </c>
      <c r="L351">
        <v>3</v>
      </c>
      <c r="M351">
        <f t="shared" si="68"/>
        <v>3</v>
      </c>
      <c r="N351">
        <v>8.1</v>
      </c>
      <c r="O351">
        <f t="shared" si="69"/>
        <v>8.1</v>
      </c>
      <c r="P351">
        <v>0</v>
      </c>
      <c r="Q351">
        <f t="shared" si="70"/>
        <v>0</v>
      </c>
      <c r="R351" t="s">
        <v>18</v>
      </c>
      <c r="S351" t="str">
        <f t="shared" si="71"/>
        <v>Non-Performing</v>
      </c>
      <c r="T351" t="s">
        <v>22</v>
      </c>
      <c r="U351" s="3">
        <f t="shared" si="72"/>
        <v>5.3647212537797584E-2</v>
      </c>
      <c r="V351" t="str">
        <f t="shared" si="73"/>
        <v>Healthy</v>
      </c>
      <c r="W351" t="str">
        <f t="shared" si="74"/>
        <v>Good</v>
      </c>
      <c r="X351" s="5" t="str">
        <f t="shared" si="75"/>
        <v>Medium</v>
      </c>
      <c r="Y351" s="5" t="str">
        <f t="shared" si="76"/>
        <v>Medium</v>
      </c>
      <c r="Z351" s="5" t="str">
        <f>IF(B351=120,"NULL",IF(AND(V351="High Stress", W351="High Risk", Y351="Low"),"High Risk : Reject", IF(AND(V351="Healthy", W351="Good",Y351&lt;&gt;"Low"), "Low Risk : Approve", "Medium Risk : Review")))</f>
        <v>Low Risk : Approve</v>
      </c>
      <c r="AA351" s="5" t="str">
        <f t="shared" si="77"/>
        <v>Medium</v>
      </c>
    </row>
    <row r="352" spans="1:27" x14ac:dyDescent="0.2">
      <c r="A352">
        <v>20338</v>
      </c>
      <c r="B352">
        <v>18</v>
      </c>
      <c r="C352">
        <f t="shared" si="65"/>
        <v>18</v>
      </c>
      <c r="D352" t="s">
        <v>23</v>
      </c>
      <c r="E352" t="str">
        <f t="shared" si="66"/>
        <v>Self-Employed</v>
      </c>
      <c r="F352">
        <v>7245.5</v>
      </c>
      <c r="G352">
        <f>ABS(Table1[[#This Row],[Monthly_Income]])</f>
        <v>7245.5</v>
      </c>
      <c r="H352">
        <v>21067.15</v>
      </c>
      <c r="I352" s="5">
        <f t="shared" si="67"/>
        <v>21067.15</v>
      </c>
      <c r="J352">
        <v>48</v>
      </c>
      <c r="K352">
        <v>11.35</v>
      </c>
      <c r="M352" t="str">
        <f t="shared" si="68"/>
        <v>NULL</v>
      </c>
      <c r="N352">
        <v>11.4</v>
      </c>
      <c r="O352">
        <f t="shared" si="69"/>
        <v>11.4</v>
      </c>
      <c r="P352">
        <v>60</v>
      </c>
      <c r="Q352">
        <f t="shared" si="70"/>
        <v>60</v>
      </c>
      <c r="R352" t="s">
        <v>13</v>
      </c>
      <c r="S352" t="str">
        <f t="shared" si="71"/>
        <v>Performing</v>
      </c>
      <c r="T352" t="s">
        <v>25</v>
      </c>
      <c r="U352" s="3">
        <f t="shared" si="72"/>
        <v>6.0575385871690479E-2</v>
      </c>
      <c r="V352" t="str">
        <f t="shared" si="73"/>
        <v>Healthy</v>
      </c>
      <c r="W352" t="str">
        <f t="shared" si="74"/>
        <v>High Risk</v>
      </c>
      <c r="X352" s="5" t="str">
        <f t="shared" si="75"/>
        <v>Medium</v>
      </c>
      <c r="Y352" s="5" t="str">
        <f t="shared" si="76"/>
        <v>Medium</v>
      </c>
      <c r="Z352" s="5" t="str">
        <f>IF(B352=120,"NULL",IF(AND(V352="High Stress", W352="High Risk", Y352="Low"),"High Risk : Reject", IF(AND(V352="Healthy", W352="Good",Y352&lt;&gt;"Low"), "Low Risk : Approve", "Medium Risk : Review")))</f>
        <v>Medium Risk : Review</v>
      </c>
      <c r="AA352" s="5" t="str">
        <f t="shared" si="77"/>
        <v>Medium</v>
      </c>
    </row>
    <row r="353" spans="1:27" x14ac:dyDescent="0.2">
      <c r="A353">
        <v>25836</v>
      </c>
      <c r="B353">
        <v>55</v>
      </c>
      <c r="C353">
        <f t="shared" si="65"/>
        <v>55</v>
      </c>
      <c r="D353" t="s">
        <v>26</v>
      </c>
      <c r="E353" t="str">
        <f t="shared" si="66"/>
        <v>Salaried</v>
      </c>
      <c r="F353">
        <v>7829.7</v>
      </c>
      <c r="G353">
        <f>ABS(Table1[[#This Row],[Monthly_Income]])</f>
        <v>7829.7</v>
      </c>
      <c r="H353">
        <v>23287.68</v>
      </c>
      <c r="I353" s="5">
        <f t="shared" si="67"/>
        <v>23287.68</v>
      </c>
      <c r="J353">
        <v>60</v>
      </c>
      <c r="K353">
        <v>21.15</v>
      </c>
      <c r="L353">
        <v>0</v>
      </c>
      <c r="M353">
        <f t="shared" si="68"/>
        <v>0</v>
      </c>
      <c r="O353" t="str">
        <f t="shared" si="69"/>
        <v>NULL</v>
      </c>
      <c r="P353">
        <v>30</v>
      </c>
      <c r="Q353">
        <f t="shared" si="70"/>
        <v>30</v>
      </c>
      <c r="R353" t="s">
        <v>20</v>
      </c>
      <c r="S353" t="str">
        <f t="shared" si="71"/>
        <v>Written Off</v>
      </c>
      <c r="T353" t="s">
        <v>19</v>
      </c>
      <c r="U353" s="3">
        <f t="shared" si="72"/>
        <v>4.9571247940534122E-2</v>
      </c>
      <c r="V353" t="str">
        <f t="shared" si="73"/>
        <v>Healthy</v>
      </c>
      <c r="W353" t="str">
        <f t="shared" si="74"/>
        <v>At Risk</v>
      </c>
      <c r="X353" s="5" t="str">
        <f t="shared" si="75"/>
        <v>Medium</v>
      </c>
      <c r="Y353" s="5" t="str">
        <f t="shared" si="76"/>
        <v>High</v>
      </c>
      <c r="Z353" s="5" t="str">
        <f>IF(B353=120,"NULL",IF(AND(V353="High Stress", W353="High Risk", Y353="Low"),"High Risk : Reject", IF(AND(V353="Healthy", W353="Good",Y353&lt;&gt;"Low"), "Low Risk : Approve", "Medium Risk : Review")))</f>
        <v>Medium Risk : Review</v>
      </c>
      <c r="AA353" s="5" t="str">
        <f t="shared" si="77"/>
        <v>Medium</v>
      </c>
    </row>
    <row r="354" spans="1:27" x14ac:dyDescent="0.2">
      <c r="A354">
        <v>22178</v>
      </c>
      <c r="B354">
        <v>51</v>
      </c>
      <c r="C354">
        <f t="shared" si="65"/>
        <v>51</v>
      </c>
      <c r="D354" t="s">
        <v>21</v>
      </c>
      <c r="E354" t="str">
        <f t="shared" si="66"/>
        <v>Salaried</v>
      </c>
      <c r="F354">
        <v>7631.74</v>
      </c>
      <c r="G354">
        <f>ABS(Table1[[#This Row],[Monthly_Income]])</f>
        <v>7631.74</v>
      </c>
      <c r="H354">
        <v>26511.29</v>
      </c>
      <c r="I354" s="5">
        <f t="shared" si="67"/>
        <v>26511.29</v>
      </c>
      <c r="J354">
        <v>18</v>
      </c>
      <c r="K354">
        <v>6.05</v>
      </c>
      <c r="L354">
        <v>4</v>
      </c>
      <c r="M354">
        <f t="shared" si="68"/>
        <v>4</v>
      </c>
      <c r="N354">
        <v>15.1</v>
      </c>
      <c r="O354">
        <f t="shared" si="69"/>
        <v>15.1</v>
      </c>
      <c r="P354">
        <v>90</v>
      </c>
      <c r="Q354">
        <f t="shared" si="70"/>
        <v>90</v>
      </c>
      <c r="R354" t="s">
        <v>20</v>
      </c>
      <c r="S354" t="str">
        <f t="shared" si="71"/>
        <v>Written Off</v>
      </c>
      <c r="T354" t="s">
        <v>22</v>
      </c>
      <c r="U354" s="3">
        <f t="shared" si="72"/>
        <v>0.19298999237977768</v>
      </c>
      <c r="V354" t="str">
        <f t="shared" si="73"/>
        <v>Healthy</v>
      </c>
      <c r="W354" t="str">
        <f t="shared" si="74"/>
        <v>High Risk</v>
      </c>
      <c r="X354" s="5" t="str">
        <f t="shared" si="75"/>
        <v>Medium</v>
      </c>
      <c r="Y354" s="5" t="str">
        <f t="shared" si="76"/>
        <v>High</v>
      </c>
      <c r="Z354" s="5" t="str">
        <f>IF(B354=120,"NULL",IF(AND(V354="High Stress", W354="High Risk", Y354="Low"),"High Risk : Reject", IF(AND(V354="Healthy", W354="Good",Y354&lt;&gt;"Low"), "Low Risk : Approve", "Medium Risk : Review")))</f>
        <v>Medium Risk : Review</v>
      </c>
      <c r="AA354" s="5" t="str">
        <f t="shared" si="77"/>
        <v>Medium</v>
      </c>
    </row>
    <row r="355" spans="1:27" x14ac:dyDescent="0.2">
      <c r="A355">
        <v>21830</v>
      </c>
      <c r="B355">
        <v>26</v>
      </c>
      <c r="C355">
        <f t="shared" si="65"/>
        <v>26</v>
      </c>
      <c r="D355" t="s">
        <v>27</v>
      </c>
      <c r="E355" t="str">
        <f t="shared" si="66"/>
        <v>Unemployed</v>
      </c>
      <c r="F355">
        <v>3374.58</v>
      </c>
      <c r="G355">
        <f>ABS(Table1[[#This Row],[Monthly_Income]])</f>
        <v>3374.58</v>
      </c>
      <c r="H355">
        <v>15169.91</v>
      </c>
      <c r="I355" s="5">
        <f t="shared" si="67"/>
        <v>15169.91</v>
      </c>
      <c r="J355">
        <v>12</v>
      </c>
      <c r="K355">
        <v>26.5</v>
      </c>
      <c r="L355">
        <v>1</v>
      </c>
      <c r="M355">
        <f t="shared" si="68"/>
        <v>1</v>
      </c>
      <c r="N355">
        <v>4</v>
      </c>
      <c r="O355">
        <f t="shared" si="69"/>
        <v>4</v>
      </c>
      <c r="P355">
        <v>0</v>
      </c>
      <c r="Q355">
        <f t="shared" si="70"/>
        <v>0</v>
      </c>
      <c r="R355" t="s">
        <v>20</v>
      </c>
      <c r="S355" t="str">
        <f t="shared" si="71"/>
        <v>Written Off</v>
      </c>
      <c r="T355" t="s">
        <v>16</v>
      </c>
      <c r="U355" s="3">
        <f t="shared" si="72"/>
        <v>0.37461229743158159</v>
      </c>
      <c r="V355" t="str">
        <f t="shared" si="73"/>
        <v>Stretched</v>
      </c>
      <c r="W355" t="str">
        <f t="shared" si="74"/>
        <v>Good</v>
      </c>
      <c r="X355" s="5" t="str">
        <f t="shared" si="75"/>
        <v>Medium</v>
      </c>
      <c r="Y355" s="5" t="str">
        <f t="shared" si="76"/>
        <v>Low</v>
      </c>
      <c r="Z355" s="5" t="str">
        <f>IF(B355=120,"NULL",IF(AND(V355="High Stress", W355="High Risk", Y355="Low"),"High Risk : Reject", IF(AND(V355="Healthy", W355="Good",Y355&lt;&gt;"Low"), "Low Risk : Approve", "Medium Risk : Review")))</f>
        <v>Medium Risk : Review</v>
      </c>
      <c r="AA355" s="5" t="str">
        <f t="shared" si="77"/>
        <v>Medium</v>
      </c>
    </row>
    <row r="356" spans="1:27" x14ac:dyDescent="0.2">
      <c r="A356">
        <v>24902</v>
      </c>
      <c r="B356">
        <v>120</v>
      </c>
      <c r="C356" t="str">
        <f t="shared" si="65"/>
        <v>NULL</v>
      </c>
      <c r="D356" t="s">
        <v>26</v>
      </c>
      <c r="E356" t="str">
        <f t="shared" si="66"/>
        <v>Salaried</v>
      </c>
      <c r="F356">
        <v>-773.4</v>
      </c>
      <c r="G356">
        <f>ABS(Table1[[#This Row],[Monthly_Income]])</f>
        <v>773.4</v>
      </c>
      <c r="H356">
        <v>20286.59</v>
      </c>
      <c r="I356" s="5">
        <f t="shared" si="67"/>
        <v>20286.59</v>
      </c>
      <c r="J356">
        <v>24</v>
      </c>
      <c r="K356">
        <v>25.98</v>
      </c>
      <c r="M356" t="str">
        <f t="shared" si="68"/>
        <v>NULL</v>
      </c>
      <c r="N356">
        <v>7.3</v>
      </c>
      <c r="O356">
        <f t="shared" si="69"/>
        <v>7.3</v>
      </c>
      <c r="P356">
        <v>60</v>
      </c>
      <c r="Q356">
        <f t="shared" si="70"/>
        <v>60</v>
      </c>
      <c r="R356" t="s">
        <v>18</v>
      </c>
      <c r="S356" t="str">
        <f t="shared" si="71"/>
        <v>Non-Performing</v>
      </c>
      <c r="T356" t="s">
        <v>14</v>
      </c>
      <c r="U356" s="3">
        <f t="shared" si="72"/>
        <v>1.0929332600637878</v>
      </c>
      <c r="V356" t="str">
        <f t="shared" si="73"/>
        <v>High Stress</v>
      </c>
      <c r="W356" t="str">
        <f t="shared" si="74"/>
        <v>High Risk</v>
      </c>
      <c r="X356" s="5" t="str">
        <f t="shared" si="75"/>
        <v>Medium</v>
      </c>
      <c r="Y356" s="5" t="str">
        <f t="shared" si="76"/>
        <v>High</v>
      </c>
      <c r="Z356" s="5" t="str">
        <f>IF(B356=120,"NULL",IF(AND(V356="High Stress", W356="High Risk", Y356="Low"),"High Risk : Reject", IF(AND(V356="Healthy", W356="Good",Y356&lt;&gt;"Low"), "Low Risk : Approve", "Medium Risk : Review")))</f>
        <v>NULL</v>
      </c>
      <c r="AA356" s="5" t="str">
        <f t="shared" si="77"/>
        <v>Low</v>
      </c>
    </row>
    <row r="357" spans="1:27" x14ac:dyDescent="0.2">
      <c r="A357">
        <v>25047</v>
      </c>
      <c r="B357">
        <v>59</v>
      </c>
      <c r="C357">
        <f t="shared" si="65"/>
        <v>59</v>
      </c>
      <c r="D357" t="s">
        <v>23</v>
      </c>
      <c r="E357" t="str">
        <f t="shared" si="66"/>
        <v>Self-Employed</v>
      </c>
      <c r="F357">
        <v>4813.78</v>
      </c>
      <c r="G357">
        <f>ABS(Table1[[#This Row],[Monthly_Income]])</f>
        <v>4813.78</v>
      </c>
      <c r="H357">
        <v>35738.089999999997</v>
      </c>
      <c r="I357" s="5">
        <f t="shared" si="67"/>
        <v>35738.089999999997</v>
      </c>
      <c r="J357">
        <v>60</v>
      </c>
      <c r="K357">
        <v>17.350000000000001</v>
      </c>
      <c r="L357">
        <v>2</v>
      </c>
      <c r="M357">
        <f t="shared" si="68"/>
        <v>2</v>
      </c>
      <c r="N357">
        <v>3.1</v>
      </c>
      <c r="O357">
        <f t="shared" si="69"/>
        <v>3.1</v>
      </c>
      <c r="P357">
        <v>0</v>
      </c>
      <c r="Q357">
        <f t="shared" si="70"/>
        <v>0</v>
      </c>
      <c r="R357" t="s">
        <v>18</v>
      </c>
      <c r="S357" t="str">
        <f t="shared" si="71"/>
        <v>Non-Performing</v>
      </c>
      <c r="T357" t="s">
        <v>25</v>
      </c>
      <c r="U357" s="3">
        <f t="shared" si="72"/>
        <v>0.12373536666265041</v>
      </c>
      <c r="V357" t="str">
        <f t="shared" si="73"/>
        <v>Healthy</v>
      </c>
      <c r="W357" t="str">
        <f t="shared" si="74"/>
        <v>Good</v>
      </c>
      <c r="X357" s="5" t="str">
        <f t="shared" si="75"/>
        <v>High</v>
      </c>
      <c r="Y357" s="5" t="str">
        <f t="shared" si="76"/>
        <v>Medium</v>
      </c>
      <c r="Z357" s="5" t="str">
        <f>IF(B357=120,"NULL",IF(AND(V357="High Stress", W357="High Risk", Y357="Low"),"High Risk : Reject", IF(AND(V357="Healthy", W357="Good",Y357&lt;&gt;"Low"), "Low Risk : Approve", "Medium Risk : Review")))</f>
        <v>Low Risk : Approve</v>
      </c>
      <c r="AA357" s="5" t="str">
        <f t="shared" si="77"/>
        <v>Medium</v>
      </c>
    </row>
    <row r="358" spans="1:27" x14ac:dyDescent="0.2">
      <c r="A358">
        <v>20497</v>
      </c>
      <c r="B358">
        <v>47</v>
      </c>
      <c r="C358">
        <f t="shared" si="65"/>
        <v>47</v>
      </c>
      <c r="D358" t="s">
        <v>12</v>
      </c>
      <c r="E358" t="str">
        <f t="shared" si="66"/>
        <v>Self-Employed</v>
      </c>
      <c r="F358">
        <v>2620.79</v>
      </c>
      <c r="G358">
        <f>ABS(Table1[[#This Row],[Monthly_Income]])</f>
        <v>2620.79</v>
      </c>
      <c r="H358">
        <v>7377.43</v>
      </c>
      <c r="I358" s="5">
        <f t="shared" si="67"/>
        <v>7377.43</v>
      </c>
      <c r="J358">
        <v>36</v>
      </c>
      <c r="K358">
        <v>22.35</v>
      </c>
      <c r="L358">
        <v>0</v>
      </c>
      <c r="M358">
        <f t="shared" si="68"/>
        <v>0</v>
      </c>
      <c r="N358">
        <v>-2.1</v>
      </c>
      <c r="O358">
        <f t="shared" si="69"/>
        <v>2.1</v>
      </c>
      <c r="P358">
        <v>0</v>
      </c>
      <c r="Q358">
        <f t="shared" si="70"/>
        <v>0</v>
      </c>
      <c r="R358" t="s">
        <v>24</v>
      </c>
      <c r="S358" t="str">
        <f t="shared" si="71"/>
        <v>Non-Performing</v>
      </c>
      <c r="T358" t="s">
        <v>25</v>
      </c>
      <c r="U358" s="3">
        <f t="shared" si="72"/>
        <v>7.8193449727414682E-2</v>
      </c>
      <c r="V358" t="str">
        <f t="shared" si="73"/>
        <v>Healthy</v>
      </c>
      <c r="W358" t="str">
        <f t="shared" si="74"/>
        <v>Good</v>
      </c>
      <c r="X358" s="5" t="str">
        <f t="shared" si="75"/>
        <v>Small</v>
      </c>
      <c r="Y358" s="5" t="str">
        <f t="shared" si="76"/>
        <v>Medium</v>
      </c>
      <c r="Z358" s="5" t="str">
        <f>IF(B358=120,"NULL",IF(AND(V358="High Stress", W358="High Risk", Y358="Low"),"High Risk : Reject", IF(AND(V358="Healthy", W358="Good",Y358&lt;&gt;"Low"), "Low Risk : Approve", "Medium Risk : Review")))</f>
        <v>Low Risk : Approve</v>
      </c>
      <c r="AA358" s="5" t="str">
        <f t="shared" si="77"/>
        <v>Medium</v>
      </c>
    </row>
    <row r="359" spans="1:27" x14ac:dyDescent="0.2">
      <c r="A359">
        <v>20970</v>
      </c>
      <c r="B359">
        <v>32</v>
      </c>
      <c r="C359">
        <f t="shared" si="65"/>
        <v>32</v>
      </c>
      <c r="D359" t="s">
        <v>23</v>
      </c>
      <c r="E359" t="str">
        <f t="shared" si="66"/>
        <v>Self-Employed</v>
      </c>
      <c r="F359">
        <v>9116.8799999999992</v>
      </c>
      <c r="G359">
        <f>ABS(Table1[[#This Row],[Monthly_Income]])</f>
        <v>9116.8799999999992</v>
      </c>
      <c r="H359">
        <v>9152.86</v>
      </c>
      <c r="I359" s="5">
        <f t="shared" si="67"/>
        <v>9152.86</v>
      </c>
      <c r="J359">
        <v>6</v>
      </c>
      <c r="K359">
        <v>18.02</v>
      </c>
      <c r="M359" t="str">
        <f t="shared" si="68"/>
        <v>NULL</v>
      </c>
      <c r="O359" t="str">
        <f t="shared" si="69"/>
        <v>NULL</v>
      </c>
      <c r="P359">
        <v>0</v>
      </c>
      <c r="Q359">
        <f t="shared" si="70"/>
        <v>0</v>
      </c>
      <c r="R359" t="s">
        <v>18</v>
      </c>
      <c r="S359" t="str">
        <f t="shared" si="71"/>
        <v>Non-Performing</v>
      </c>
      <c r="T359" t="s">
        <v>22</v>
      </c>
      <c r="U359" s="3">
        <f t="shared" si="72"/>
        <v>0.16732442092762731</v>
      </c>
      <c r="V359" t="str">
        <f t="shared" si="73"/>
        <v>Healthy</v>
      </c>
      <c r="W359" t="str">
        <f t="shared" si="74"/>
        <v>Good</v>
      </c>
      <c r="X359" s="5" t="str">
        <f t="shared" si="75"/>
        <v>Small</v>
      </c>
      <c r="Y359" s="5" t="str">
        <f t="shared" si="76"/>
        <v>Medium</v>
      </c>
      <c r="Z359" s="5" t="str">
        <f>IF(B359=120,"NULL",IF(AND(V359="High Stress", W359="High Risk", Y359="Low"),"High Risk : Reject", IF(AND(V359="Healthy", W359="Good",Y359&lt;&gt;"Low"), "Low Risk : Approve", "Medium Risk : Review")))</f>
        <v>Low Risk : Approve</v>
      </c>
      <c r="AA359" s="5" t="str">
        <f t="shared" si="77"/>
        <v>High</v>
      </c>
    </row>
    <row r="360" spans="1:27" x14ac:dyDescent="0.2">
      <c r="A360">
        <v>22908</v>
      </c>
      <c r="B360">
        <v>24</v>
      </c>
      <c r="C360">
        <f t="shared" si="65"/>
        <v>24</v>
      </c>
      <c r="D360" t="s">
        <v>17</v>
      </c>
      <c r="E360" t="str">
        <f t="shared" si="66"/>
        <v>Contract</v>
      </c>
      <c r="F360">
        <v>3061.42</v>
      </c>
      <c r="G360">
        <f>ABS(Table1[[#This Row],[Monthly_Income]])</f>
        <v>3061.42</v>
      </c>
      <c r="H360">
        <v>11638.66</v>
      </c>
      <c r="I360" s="5">
        <f t="shared" si="67"/>
        <v>11638.66</v>
      </c>
      <c r="J360">
        <v>6</v>
      </c>
      <c r="K360">
        <v>26.72</v>
      </c>
      <c r="L360">
        <v>1</v>
      </c>
      <c r="M360">
        <f t="shared" si="68"/>
        <v>1</v>
      </c>
      <c r="N360">
        <v>3</v>
      </c>
      <c r="O360">
        <f t="shared" si="69"/>
        <v>3</v>
      </c>
      <c r="P360">
        <v>0</v>
      </c>
      <c r="Q360">
        <f t="shared" si="70"/>
        <v>0</v>
      </c>
      <c r="R360" t="s">
        <v>13</v>
      </c>
      <c r="S360" t="str">
        <f t="shared" si="71"/>
        <v>Performing</v>
      </c>
      <c r="T360" t="s">
        <v>16</v>
      </c>
      <c r="U360" s="3">
        <f t="shared" si="72"/>
        <v>0.63361991058615497</v>
      </c>
      <c r="V360" t="str">
        <f t="shared" si="73"/>
        <v>High Stress</v>
      </c>
      <c r="W360" t="str">
        <f t="shared" si="74"/>
        <v>Good</v>
      </c>
      <c r="X360" s="5" t="str">
        <f t="shared" si="75"/>
        <v>Medium</v>
      </c>
      <c r="Y360" s="5" t="str">
        <f t="shared" si="76"/>
        <v>Low</v>
      </c>
      <c r="Z360" s="5" t="str">
        <f>IF(B360=120,"NULL",IF(AND(V360="High Stress", W360="High Risk", Y360="Low"),"High Risk : Reject", IF(AND(V360="Healthy", W360="Good",Y360&lt;&gt;"Low"), "Low Risk : Approve", "Medium Risk : Review")))</f>
        <v>Medium Risk : Review</v>
      </c>
      <c r="AA360" s="5" t="str">
        <f t="shared" si="77"/>
        <v>Medium</v>
      </c>
    </row>
    <row r="361" spans="1:27" x14ac:dyDescent="0.2">
      <c r="A361">
        <v>24820</v>
      </c>
      <c r="B361">
        <v>54</v>
      </c>
      <c r="C361">
        <f t="shared" si="65"/>
        <v>54</v>
      </c>
      <c r="D361" t="s">
        <v>23</v>
      </c>
      <c r="E361" t="str">
        <f t="shared" si="66"/>
        <v>Self-Employed</v>
      </c>
      <c r="F361">
        <v>6120.15</v>
      </c>
      <c r="G361">
        <f>ABS(Table1[[#This Row],[Monthly_Income]])</f>
        <v>6120.15</v>
      </c>
      <c r="H361">
        <v>35183.300000000003</v>
      </c>
      <c r="I361" s="5">
        <f t="shared" si="67"/>
        <v>35183.300000000003</v>
      </c>
      <c r="J361">
        <v>36</v>
      </c>
      <c r="K361">
        <v>55</v>
      </c>
      <c r="L361">
        <v>1</v>
      </c>
      <c r="M361">
        <f t="shared" si="68"/>
        <v>1</v>
      </c>
      <c r="N361">
        <v>5.5</v>
      </c>
      <c r="O361">
        <f t="shared" si="69"/>
        <v>5.5</v>
      </c>
      <c r="P361">
        <v>0</v>
      </c>
      <c r="Q361">
        <f t="shared" si="70"/>
        <v>0</v>
      </c>
      <c r="R361" t="s">
        <v>15</v>
      </c>
      <c r="S361" t="str">
        <f t="shared" si="71"/>
        <v xml:space="preserve">Performing </v>
      </c>
      <c r="T361" t="s">
        <v>19</v>
      </c>
      <c r="U361" s="3">
        <f t="shared" si="72"/>
        <v>0.15968789799088079</v>
      </c>
      <c r="V361" t="str">
        <f t="shared" si="73"/>
        <v>Healthy</v>
      </c>
      <c r="W361" t="str">
        <f t="shared" si="74"/>
        <v>Good</v>
      </c>
      <c r="X361" s="5" t="str">
        <f t="shared" si="75"/>
        <v>High</v>
      </c>
      <c r="Y361" s="5" t="str">
        <f t="shared" si="76"/>
        <v>Medium</v>
      </c>
      <c r="Z361" s="5" t="str">
        <f>IF(B361=120,"NULL",IF(AND(V361="High Stress", W361="High Risk", Y361="Low"),"High Risk : Reject", IF(AND(V361="Healthy", W361="Good",Y361&lt;&gt;"Low"), "Low Risk : Approve", "Medium Risk : Review")))</f>
        <v>Low Risk : Approve</v>
      </c>
      <c r="AA361" s="5" t="str">
        <f t="shared" si="77"/>
        <v>Medium</v>
      </c>
    </row>
    <row r="362" spans="1:27" x14ac:dyDescent="0.2">
      <c r="A362">
        <v>23267</v>
      </c>
      <c r="B362">
        <v>45</v>
      </c>
      <c r="C362">
        <f t="shared" si="65"/>
        <v>45</v>
      </c>
      <c r="D362" t="s">
        <v>12</v>
      </c>
      <c r="E362" t="str">
        <f t="shared" si="66"/>
        <v>Self-Employed</v>
      </c>
      <c r="F362">
        <v>2644.85</v>
      </c>
      <c r="G362">
        <f>ABS(Table1[[#This Row],[Monthly_Income]])</f>
        <v>2644.85</v>
      </c>
      <c r="H362">
        <v>14926.85</v>
      </c>
      <c r="I362" s="5">
        <f t="shared" si="67"/>
        <v>14926.85</v>
      </c>
      <c r="J362">
        <v>12</v>
      </c>
      <c r="K362">
        <v>15.46</v>
      </c>
      <c r="L362">
        <v>3</v>
      </c>
      <c r="M362">
        <f t="shared" si="68"/>
        <v>3</v>
      </c>
      <c r="N362">
        <v>7</v>
      </c>
      <c r="O362">
        <f t="shared" si="69"/>
        <v>7</v>
      </c>
      <c r="P362">
        <v>90</v>
      </c>
      <c r="Q362">
        <f t="shared" si="70"/>
        <v>90</v>
      </c>
      <c r="R362" t="s">
        <v>13</v>
      </c>
      <c r="S362" t="str">
        <f t="shared" si="71"/>
        <v>Performing</v>
      </c>
      <c r="T362" t="s">
        <v>14</v>
      </c>
      <c r="U362" s="3">
        <f t="shared" si="72"/>
        <v>0.47031180092128733</v>
      </c>
      <c r="V362" t="str">
        <f t="shared" si="73"/>
        <v>High Stress</v>
      </c>
      <c r="W362" t="str">
        <f t="shared" si="74"/>
        <v>High Risk</v>
      </c>
      <c r="X362" s="5" t="str">
        <f t="shared" si="75"/>
        <v>Medium</v>
      </c>
      <c r="Y362" s="5" t="str">
        <f t="shared" si="76"/>
        <v>Medium</v>
      </c>
      <c r="Z362" s="5" t="str">
        <f>IF(B362=120,"NULL",IF(AND(V362="High Stress", W362="High Risk", Y362="Low"),"High Risk : Reject", IF(AND(V362="Healthy", W362="Good",Y362&lt;&gt;"Low"), "Low Risk : Approve", "Medium Risk : Review")))</f>
        <v>Medium Risk : Review</v>
      </c>
      <c r="AA362" s="5" t="str">
        <f t="shared" si="77"/>
        <v>Medium</v>
      </c>
    </row>
    <row r="363" spans="1:27" x14ac:dyDescent="0.2">
      <c r="A363">
        <v>23184</v>
      </c>
      <c r="B363">
        <v>35</v>
      </c>
      <c r="C363">
        <f t="shared" si="65"/>
        <v>35</v>
      </c>
      <c r="D363" t="s">
        <v>27</v>
      </c>
      <c r="E363" t="str">
        <f t="shared" si="66"/>
        <v>Unemployed</v>
      </c>
      <c r="F363">
        <v>4344.6899999999996</v>
      </c>
      <c r="G363">
        <f>ABS(Table1[[#This Row],[Monthly_Income]])</f>
        <v>4344.6899999999996</v>
      </c>
      <c r="H363">
        <v>20637.900000000001</v>
      </c>
      <c r="I363" s="5">
        <f t="shared" si="67"/>
        <v>20637.900000000001</v>
      </c>
      <c r="J363">
        <v>36</v>
      </c>
      <c r="K363">
        <v>18.48</v>
      </c>
      <c r="L363">
        <v>1</v>
      </c>
      <c r="M363">
        <f t="shared" si="68"/>
        <v>1</v>
      </c>
      <c r="N363">
        <v>5.4</v>
      </c>
      <c r="O363">
        <f t="shared" si="69"/>
        <v>5.4</v>
      </c>
      <c r="P363">
        <v>0</v>
      </c>
      <c r="Q363">
        <f t="shared" si="70"/>
        <v>0</v>
      </c>
      <c r="R363" t="s">
        <v>13</v>
      </c>
      <c r="S363" t="str">
        <f t="shared" si="71"/>
        <v>Performing</v>
      </c>
      <c r="T363" t="s">
        <v>19</v>
      </c>
      <c r="U363" s="3">
        <f t="shared" si="72"/>
        <v>0.13194842439851867</v>
      </c>
      <c r="V363" t="str">
        <f t="shared" si="73"/>
        <v>Healthy</v>
      </c>
      <c r="W363" t="str">
        <f t="shared" si="74"/>
        <v>Good</v>
      </c>
      <c r="X363" s="5" t="str">
        <f t="shared" si="75"/>
        <v>Medium</v>
      </c>
      <c r="Y363" s="5" t="str">
        <f t="shared" si="76"/>
        <v>Low</v>
      </c>
      <c r="Z363" s="5" t="str">
        <f>IF(B363=120,"NULL",IF(AND(V363="High Stress", W363="High Risk", Y363="Low"),"High Risk : Reject", IF(AND(V363="Healthy", W363="Good",Y363&lt;&gt;"Low"), "Low Risk : Approve", "Medium Risk : Review")))</f>
        <v>Medium Risk : Review</v>
      </c>
      <c r="AA363" s="5" t="str">
        <f t="shared" si="77"/>
        <v>Medium</v>
      </c>
    </row>
    <row r="364" spans="1:27" x14ac:dyDescent="0.2">
      <c r="A364">
        <v>25883</v>
      </c>
      <c r="B364">
        <v>38</v>
      </c>
      <c r="C364">
        <f t="shared" si="65"/>
        <v>38</v>
      </c>
      <c r="D364" t="s">
        <v>27</v>
      </c>
      <c r="E364" t="str">
        <f t="shared" si="66"/>
        <v>Unemployed</v>
      </c>
      <c r="F364">
        <v>3036.09</v>
      </c>
      <c r="G364">
        <f>ABS(Table1[[#This Row],[Monthly_Income]])</f>
        <v>3036.09</v>
      </c>
      <c r="H364">
        <v>29265.02</v>
      </c>
      <c r="I364" s="5">
        <f t="shared" si="67"/>
        <v>29265.02</v>
      </c>
      <c r="J364">
        <v>60</v>
      </c>
      <c r="K364">
        <v>17.73</v>
      </c>
      <c r="L364">
        <v>3</v>
      </c>
      <c r="M364">
        <f t="shared" si="68"/>
        <v>3</v>
      </c>
      <c r="N364">
        <v>10.1</v>
      </c>
      <c r="O364">
        <f t="shared" si="69"/>
        <v>10.1</v>
      </c>
      <c r="P364">
        <v>0</v>
      </c>
      <c r="Q364">
        <f t="shared" si="70"/>
        <v>0</v>
      </c>
      <c r="R364" t="s">
        <v>13</v>
      </c>
      <c r="S364" t="str">
        <f t="shared" si="71"/>
        <v>Performing</v>
      </c>
      <c r="T364" t="s">
        <v>25</v>
      </c>
      <c r="U364" s="3">
        <f t="shared" si="72"/>
        <v>0.16065081513833032</v>
      </c>
      <c r="V364" t="str">
        <f t="shared" si="73"/>
        <v>Healthy</v>
      </c>
      <c r="W364" t="str">
        <f t="shared" si="74"/>
        <v>Good</v>
      </c>
      <c r="X364" s="5" t="str">
        <f t="shared" si="75"/>
        <v>Medium</v>
      </c>
      <c r="Y364" s="5" t="str">
        <f t="shared" si="76"/>
        <v>Low</v>
      </c>
      <c r="Z364" s="5" t="str">
        <f>IF(B364=120,"NULL",IF(AND(V364="High Stress", W364="High Risk", Y364="Low"),"High Risk : Reject", IF(AND(V364="Healthy", W364="Good",Y364&lt;&gt;"Low"), "Low Risk : Approve", "Medium Risk : Review")))</f>
        <v>Medium Risk : Review</v>
      </c>
      <c r="AA364" s="5" t="str">
        <f t="shared" si="77"/>
        <v>Medium</v>
      </c>
    </row>
    <row r="365" spans="1:27" x14ac:dyDescent="0.2">
      <c r="A365">
        <v>25504</v>
      </c>
      <c r="B365">
        <v>53</v>
      </c>
      <c r="C365">
        <f t="shared" si="65"/>
        <v>53</v>
      </c>
      <c r="D365" t="s">
        <v>23</v>
      </c>
      <c r="E365" t="str">
        <f t="shared" si="66"/>
        <v>Self-Employed</v>
      </c>
      <c r="F365">
        <v>4613.37</v>
      </c>
      <c r="G365">
        <f>ABS(Table1[[#This Row],[Monthly_Income]])</f>
        <v>4613.37</v>
      </c>
      <c r="H365">
        <v>13174.41</v>
      </c>
      <c r="I365" s="5">
        <f t="shared" si="67"/>
        <v>13174.41</v>
      </c>
      <c r="J365">
        <v>36</v>
      </c>
      <c r="K365">
        <v>6.09</v>
      </c>
      <c r="L365">
        <v>0</v>
      </c>
      <c r="M365">
        <f t="shared" si="68"/>
        <v>0</v>
      </c>
      <c r="N365">
        <v>7.4</v>
      </c>
      <c r="O365">
        <f t="shared" si="69"/>
        <v>7.4</v>
      </c>
      <c r="P365">
        <v>60</v>
      </c>
      <c r="Q365">
        <f t="shared" si="70"/>
        <v>60</v>
      </c>
      <c r="R365" t="s">
        <v>24</v>
      </c>
      <c r="S365" t="str">
        <f t="shared" si="71"/>
        <v>Non-Performing</v>
      </c>
      <c r="T365" t="s">
        <v>19</v>
      </c>
      <c r="U365" s="3">
        <f t="shared" si="72"/>
        <v>7.9325055942474437E-2</v>
      </c>
      <c r="V365" t="str">
        <f t="shared" si="73"/>
        <v>Healthy</v>
      </c>
      <c r="W365" t="str">
        <f t="shared" si="74"/>
        <v>High Risk</v>
      </c>
      <c r="X365" s="5" t="str">
        <f t="shared" si="75"/>
        <v>Medium</v>
      </c>
      <c r="Y365" s="5" t="str">
        <f t="shared" si="76"/>
        <v>Medium</v>
      </c>
      <c r="Z365" s="5" t="str">
        <f>IF(B365=120,"NULL",IF(AND(V365="High Stress", W365="High Risk", Y365="Low"),"High Risk : Reject", IF(AND(V365="Healthy", W365="Good",Y365&lt;&gt;"Low"), "Low Risk : Approve", "Medium Risk : Review")))</f>
        <v>Medium Risk : Review</v>
      </c>
      <c r="AA365" s="5" t="str">
        <f t="shared" si="77"/>
        <v>Medium</v>
      </c>
    </row>
    <row r="366" spans="1:27" x14ac:dyDescent="0.2">
      <c r="A366">
        <v>20945</v>
      </c>
      <c r="B366">
        <v>22</v>
      </c>
      <c r="C366">
        <f t="shared" si="65"/>
        <v>22</v>
      </c>
      <c r="D366" t="s">
        <v>26</v>
      </c>
      <c r="E366" t="str">
        <f t="shared" si="66"/>
        <v>Salaried</v>
      </c>
      <c r="F366">
        <v>9813.73</v>
      </c>
      <c r="G366">
        <f>ABS(Table1[[#This Row],[Monthly_Income]])</f>
        <v>9813.73</v>
      </c>
      <c r="H366">
        <v>27446.23</v>
      </c>
      <c r="I366" s="5">
        <f t="shared" si="67"/>
        <v>27446.23</v>
      </c>
      <c r="J366">
        <v>36</v>
      </c>
      <c r="K366">
        <v>21.13</v>
      </c>
      <c r="M366" t="str">
        <f t="shared" si="68"/>
        <v>NULL</v>
      </c>
      <c r="N366">
        <v>9.9</v>
      </c>
      <c r="O366">
        <f t="shared" si="69"/>
        <v>9.9</v>
      </c>
      <c r="P366">
        <v>15</v>
      </c>
      <c r="Q366">
        <f t="shared" si="70"/>
        <v>15</v>
      </c>
      <c r="R366" t="s">
        <v>13</v>
      </c>
      <c r="S366" t="str">
        <f t="shared" si="71"/>
        <v>Performing</v>
      </c>
      <c r="T366" t="s">
        <v>19</v>
      </c>
      <c r="U366" s="3">
        <f t="shared" si="72"/>
        <v>7.7686596001497674E-2</v>
      </c>
      <c r="V366" t="str">
        <f t="shared" si="73"/>
        <v>Healthy</v>
      </c>
      <c r="W366" t="str">
        <f t="shared" si="74"/>
        <v>Good</v>
      </c>
      <c r="X366" s="5" t="str">
        <f t="shared" si="75"/>
        <v>Medium</v>
      </c>
      <c r="Y366" s="5" t="str">
        <f t="shared" si="76"/>
        <v>High</v>
      </c>
      <c r="Z366" s="5" t="str">
        <f>IF(B366=120,"NULL",IF(AND(V366="High Stress", W366="High Risk", Y366="Low"),"High Risk : Reject", IF(AND(V366="Healthy", W366="Good",Y366&lt;&gt;"Low"), "Low Risk : Approve", "Medium Risk : Review")))</f>
        <v>Low Risk : Approve</v>
      </c>
      <c r="AA366" s="5" t="str">
        <f t="shared" si="77"/>
        <v>High</v>
      </c>
    </row>
    <row r="367" spans="1:27" x14ac:dyDescent="0.2">
      <c r="A367">
        <v>21483</v>
      </c>
      <c r="B367">
        <v>57</v>
      </c>
      <c r="C367">
        <f t="shared" si="65"/>
        <v>57</v>
      </c>
      <c r="D367" t="s">
        <v>27</v>
      </c>
      <c r="E367" t="str">
        <f t="shared" si="66"/>
        <v>Unemployed</v>
      </c>
      <c r="F367">
        <v>7369.26</v>
      </c>
      <c r="G367">
        <f>ABS(Table1[[#This Row],[Monthly_Income]])</f>
        <v>7369.26</v>
      </c>
      <c r="H367">
        <v>25459.29</v>
      </c>
      <c r="I367" s="5">
        <f t="shared" si="67"/>
        <v>25459.29</v>
      </c>
      <c r="J367">
        <v>12</v>
      </c>
      <c r="K367">
        <v>13.81</v>
      </c>
      <c r="L367">
        <v>3</v>
      </c>
      <c r="M367">
        <f t="shared" si="68"/>
        <v>3</v>
      </c>
      <c r="N367">
        <v>11.3</v>
      </c>
      <c r="O367">
        <f t="shared" si="69"/>
        <v>11.3</v>
      </c>
      <c r="P367">
        <v>15</v>
      </c>
      <c r="Q367">
        <f t="shared" si="70"/>
        <v>15</v>
      </c>
      <c r="R367" t="s">
        <v>20</v>
      </c>
      <c r="S367" t="str">
        <f t="shared" si="71"/>
        <v>Written Off</v>
      </c>
      <c r="T367" t="s">
        <v>14</v>
      </c>
      <c r="U367" s="3">
        <f t="shared" si="72"/>
        <v>0.28789966699505787</v>
      </c>
      <c r="V367" t="str">
        <f t="shared" si="73"/>
        <v>Healthy</v>
      </c>
      <c r="W367" t="str">
        <f t="shared" si="74"/>
        <v>Good</v>
      </c>
      <c r="X367" s="5" t="str">
        <f t="shared" si="75"/>
        <v>Medium</v>
      </c>
      <c r="Y367" s="5" t="str">
        <f t="shared" si="76"/>
        <v>Low</v>
      </c>
      <c r="Z367" s="5" t="str">
        <f>IF(B367=120,"NULL",IF(AND(V367="High Stress", W367="High Risk", Y367="Low"),"High Risk : Reject", IF(AND(V367="Healthy", W367="Good",Y367&lt;&gt;"Low"), "Low Risk : Approve", "Medium Risk : Review")))</f>
        <v>Medium Risk : Review</v>
      </c>
      <c r="AA367" s="5" t="str">
        <f t="shared" si="77"/>
        <v>Medium</v>
      </c>
    </row>
    <row r="368" spans="1:27" x14ac:dyDescent="0.2">
      <c r="A368">
        <v>23233</v>
      </c>
      <c r="B368">
        <v>45</v>
      </c>
      <c r="C368">
        <f t="shared" si="65"/>
        <v>45</v>
      </c>
      <c r="D368" t="s">
        <v>12</v>
      </c>
      <c r="E368" t="str">
        <f t="shared" si="66"/>
        <v>Self-Employed</v>
      </c>
      <c r="F368">
        <v>2393.98</v>
      </c>
      <c r="G368">
        <f>ABS(Table1[[#This Row],[Monthly_Income]])</f>
        <v>2393.98</v>
      </c>
      <c r="H368">
        <v>16287.27</v>
      </c>
      <c r="I368" s="5">
        <f t="shared" si="67"/>
        <v>16287.27</v>
      </c>
      <c r="J368">
        <v>48</v>
      </c>
      <c r="K368">
        <v>16.190000000000001</v>
      </c>
      <c r="L368">
        <v>0</v>
      </c>
      <c r="M368">
        <f t="shared" si="68"/>
        <v>0</v>
      </c>
      <c r="N368">
        <v>11.8</v>
      </c>
      <c r="O368">
        <f t="shared" si="69"/>
        <v>11.8</v>
      </c>
      <c r="P368">
        <v>90</v>
      </c>
      <c r="Q368">
        <f t="shared" si="70"/>
        <v>90</v>
      </c>
      <c r="R368" t="s">
        <v>13</v>
      </c>
      <c r="S368" t="str">
        <f t="shared" si="71"/>
        <v>Performing</v>
      </c>
      <c r="T368" t="s">
        <v>19</v>
      </c>
      <c r="U368" s="3">
        <f t="shared" si="72"/>
        <v>0.14173807843006206</v>
      </c>
      <c r="V368" t="str">
        <f t="shared" si="73"/>
        <v>Healthy</v>
      </c>
      <c r="W368" t="str">
        <f t="shared" si="74"/>
        <v>High Risk</v>
      </c>
      <c r="X368" s="5" t="str">
        <f t="shared" si="75"/>
        <v>Medium</v>
      </c>
      <c r="Y368" s="5" t="str">
        <f t="shared" si="76"/>
        <v>Medium</v>
      </c>
      <c r="Z368" s="5" t="str">
        <f>IF(B368=120,"NULL",IF(AND(V368="High Stress", W368="High Risk", Y368="Low"),"High Risk : Reject", IF(AND(V368="Healthy", W368="Good",Y368&lt;&gt;"Low"), "Low Risk : Approve", "Medium Risk : Review")))</f>
        <v>Medium Risk : Review</v>
      </c>
      <c r="AA368" s="5" t="str">
        <f t="shared" si="77"/>
        <v>Medium</v>
      </c>
    </row>
    <row r="369" spans="1:27" x14ac:dyDescent="0.2">
      <c r="A369">
        <v>20255</v>
      </c>
      <c r="B369">
        <v>46</v>
      </c>
      <c r="C369">
        <f t="shared" si="65"/>
        <v>46</v>
      </c>
      <c r="D369" t="s">
        <v>23</v>
      </c>
      <c r="E369" t="str">
        <f t="shared" si="66"/>
        <v>Self-Employed</v>
      </c>
      <c r="F369">
        <v>6018.37</v>
      </c>
      <c r="G369">
        <f>ABS(Table1[[#This Row],[Monthly_Income]])</f>
        <v>6018.37</v>
      </c>
      <c r="H369">
        <v>25088.7</v>
      </c>
      <c r="I369" s="5">
        <f t="shared" si="67"/>
        <v>25088.7</v>
      </c>
      <c r="J369">
        <v>60</v>
      </c>
      <c r="K369">
        <v>28.15</v>
      </c>
      <c r="L369">
        <v>3</v>
      </c>
      <c r="M369">
        <f t="shared" si="68"/>
        <v>3</v>
      </c>
      <c r="N369">
        <v>9.1</v>
      </c>
      <c r="O369">
        <f t="shared" si="69"/>
        <v>9.1</v>
      </c>
      <c r="P369">
        <v>60</v>
      </c>
      <c r="Q369">
        <f t="shared" si="70"/>
        <v>60</v>
      </c>
      <c r="R369" t="s">
        <v>13</v>
      </c>
      <c r="S369" t="str">
        <f t="shared" si="71"/>
        <v>Performing</v>
      </c>
      <c r="T369" t="s">
        <v>25</v>
      </c>
      <c r="U369" s="3">
        <f t="shared" si="72"/>
        <v>6.9478114506087194E-2</v>
      </c>
      <c r="V369" t="str">
        <f t="shared" si="73"/>
        <v>Healthy</v>
      </c>
      <c r="W369" t="str">
        <f t="shared" si="74"/>
        <v>High Risk</v>
      </c>
      <c r="X369" s="5" t="str">
        <f t="shared" si="75"/>
        <v>Medium</v>
      </c>
      <c r="Y369" s="5" t="str">
        <f t="shared" si="76"/>
        <v>Medium</v>
      </c>
      <c r="Z369" s="5" t="str">
        <f>IF(B369=120,"NULL",IF(AND(V369="High Stress", W369="High Risk", Y369="Low"),"High Risk : Reject", IF(AND(V369="Healthy", W369="Good",Y369&lt;&gt;"Low"), "Low Risk : Approve", "Medium Risk : Review")))</f>
        <v>Medium Risk : Review</v>
      </c>
      <c r="AA369" s="5" t="str">
        <f t="shared" si="77"/>
        <v>Medium</v>
      </c>
    </row>
    <row r="370" spans="1:27" x14ac:dyDescent="0.2">
      <c r="A370">
        <v>24931</v>
      </c>
      <c r="B370">
        <v>41</v>
      </c>
      <c r="C370">
        <f t="shared" si="65"/>
        <v>41</v>
      </c>
      <c r="D370" t="s">
        <v>23</v>
      </c>
      <c r="E370" t="str">
        <f t="shared" si="66"/>
        <v>Self-Employed</v>
      </c>
      <c r="F370">
        <v>4281.21</v>
      </c>
      <c r="G370">
        <f>ABS(Table1[[#This Row],[Monthly_Income]])</f>
        <v>4281.21</v>
      </c>
      <c r="H370">
        <v>24625.53</v>
      </c>
      <c r="I370" s="5">
        <f t="shared" si="67"/>
        <v>24625.53</v>
      </c>
      <c r="J370">
        <v>6</v>
      </c>
      <c r="K370">
        <v>21.14</v>
      </c>
      <c r="L370">
        <v>3</v>
      </c>
      <c r="M370">
        <f t="shared" si="68"/>
        <v>3</v>
      </c>
      <c r="N370">
        <v>4.2</v>
      </c>
      <c r="O370">
        <f t="shared" si="69"/>
        <v>4.2</v>
      </c>
      <c r="P370">
        <v>120</v>
      </c>
      <c r="Q370">
        <f t="shared" si="70"/>
        <v>120</v>
      </c>
      <c r="R370" t="s">
        <v>15</v>
      </c>
      <c r="S370" t="str">
        <f t="shared" si="71"/>
        <v xml:space="preserve">Performing </v>
      </c>
      <c r="T370" t="s">
        <v>14</v>
      </c>
      <c r="U370" s="3">
        <f t="shared" si="72"/>
        <v>0.958667059079092</v>
      </c>
      <c r="V370" t="str">
        <f t="shared" si="73"/>
        <v>High Stress</v>
      </c>
      <c r="W370" t="str">
        <f t="shared" si="74"/>
        <v>High Risk</v>
      </c>
      <c r="X370" s="5" t="str">
        <f t="shared" si="75"/>
        <v>Medium</v>
      </c>
      <c r="Y370" s="5" t="str">
        <f t="shared" si="76"/>
        <v>Medium</v>
      </c>
      <c r="Z370" s="5" t="str">
        <f>IF(B370=120,"NULL",IF(AND(V370="High Stress", W370="High Risk", Y370="Low"),"High Risk : Reject", IF(AND(V370="Healthy", W370="Good",Y370&lt;&gt;"Low"), "Low Risk : Approve", "Medium Risk : Review")))</f>
        <v>Medium Risk : Review</v>
      </c>
      <c r="AA370" s="5" t="str">
        <f t="shared" si="77"/>
        <v>Medium</v>
      </c>
    </row>
    <row r="371" spans="1:27" x14ac:dyDescent="0.2">
      <c r="A371">
        <v>23991</v>
      </c>
      <c r="B371">
        <v>42</v>
      </c>
      <c r="C371">
        <f t="shared" si="65"/>
        <v>42</v>
      </c>
      <c r="D371" t="s">
        <v>26</v>
      </c>
      <c r="E371" t="str">
        <f t="shared" si="66"/>
        <v>Salaried</v>
      </c>
      <c r="F371">
        <v>5301.95</v>
      </c>
      <c r="G371">
        <f>ABS(Table1[[#This Row],[Monthly_Income]])</f>
        <v>5301.95</v>
      </c>
      <c r="H371">
        <v>16757.46</v>
      </c>
      <c r="I371" s="5">
        <f t="shared" si="67"/>
        <v>16757.46</v>
      </c>
      <c r="J371">
        <v>12</v>
      </c>
      <c r="K371">
        <v>24.87</v>
      </c>
      <c r="L371">
        <v>4</v>
      </c>
      <c r="M371">
        <f t="shared" si="68"/>
        <v>4</v>
      </c>
      <c r="N371">
        <v>11.5</v>
      </c>
      <c r="O371">
        <f t="shared" si="69"/>
        <v>11.5</v>
      </c>
      <c r="P371">
        <v>120</v>
      </c>
      <c r="Q371">
        <f t="shared" si="70"/>
        <v>120</v>
      </c>
      <c r="R371" t="s">
        <v>24</v>
      </c>
      <c r="S371" t="str">
        <f t="shared" si="71"/>
        <v>Non-Performing</v>
      </c>
      <c r="T371" t="s">
        <v>22</v>
      </c>
      <c r="U371" s="3">
        <f t="shared" si="72"/>
        <v>0.2633851696074086</v>
      </c>
      <c r="V371" t="str">
        <f t="shared" si="73"/>
        <v>Healthy</v>
      </c>
      <c r="W371" t="str">
        <f t="shared" si="74"/>
        <v>High Risk</v>
      </c>
      <c r="X371" s="5" t="str">
        <f t="shared" si="75"/>
        <v>Medium</v>
      </c>
      <c r="Y371" s="5" t="str">
        <f t="shared" si="76"/>
        <v>High</v>
      </c>
      <c r="Z371" s="5" t="str">
        <f>IF(B371=120,"NULL",IF(AND(V371="High Stress", W371="High Risk", Y371="Low"),"High Risk : Reject", IF(AND(V371="Healthy", W371="Good",Y371&lt;&gt;"Low"), "Low Risk : Approve", "Medium Risk : Review")))</f>
        <v>Medium Risk : Review</v>
      </c>
      <c r="AA371" s="5" t="str">
        <f t="shared" si="77"/>
        <v>Medium</v>
      </c>
    </row>
    <row r="372" spans="1:27" x14ac:dyDescent="0.2">
      <c r="A372">
        <v>23965</v>
      </c>
      <c r="B372">
        <v>42</v>
      </c>
      <c r="C372">
        <f t="shared" si="65"/>
        <v>42</v>
      </c>
      <c r="D372" t="s">
        <v>26</v>
      </c>
      <c r="E372" t="str">
        <f t="shared" si="66"/>
        <v>Salaried</v>
      </c>
      <c r="F372">
        <v>6506.76</v>
      </c>
      <c r="G372">
        <f>ABS(Table1[[#This Row],[Monthly_Income]])</f>
        <v>6506.76</v>
      </c>
      <c r="H372">
        <v>13134.72</v>
      </c>
      <c r="I372" s="5">
        <f t="shared" si="67"/>
        <v>13134.72</v>
      </c>
      <c r="J372">
        <v>12</v>
      </c>
      <c r="K372">
        <v>14.22</v>
      </c>
      <c r="L372">
        <v>0</v>
      </c>
      <c r="M372">
        <f t="shared" si="68"/>
        <v>0</v>
      </c>
      <c r="N372">
        <v>9.8000000000000007</v>
      </c>
      <c r="O372">
        <f t="shared" si="69"/>
        <v>9.8000000000000007</v>
      </c>
      <c r="P372">
        <v>120</v>
      </c>
      <c r="Q372">
        <f t="shared" si="70"/>
        <v>120</v>
      </c>
      <c r="R372" t="s">
        <v>18</v>
      </c>
      <c r="S372" t="str">
        <f t="shared" si="71"/>
        <v>Non-Performing</v>
      </c>
      <c r="T372" t="s">
        <v>16</v>
      </c>
      <c r="U372" s="3">
        <f t="shared" si="72"/>
        <v>0.16821889849940677</v>
      </c>
      <c r="V372" t="str">
        <f t="shared" si="73"/>
        <v>Healthy</v>
      </c>
      <c r="W372" t="str">
        <f t="shared" si="74"/>
        <v>High Risk</v>
      </c>
      <c r="X372" s="5" t="str">
        <f t="shared" si="75"/>
        <v>Medium</v>
      </c>
      <c r="Y372" s="5" t="str">
        <f t="shared" si="76"/>
        <v>High</v>
      </c>
      <c r="Z372" s="5" t="str">
        <f>IF(B372=120,"NULL",IF(AND(V372="High Stress", W372="High Risk", Y372="Low"),"High Risk : Reject", IF(AND(V372="Healthy", W372="Good",Y372&lt;&gt;"Low"), "Low Risk : Approve", "Medium Risk : Review")))</f>
        <v>Medium Risk : Review</v>
      </c>
      <c r="AA372" s="5" t="str">
        <f t="shared" si="77"/>
        <v>Medium</v>
      </c>
    </row>
    <row r="373" spans="1:27" x14ac:dyDescent="0.2">
      <c r="A373">
        <v>23780</v>
      </c>
      <c r="B373">
        <v>35</v>
      </c>
      <c r="C373">
        <f t="shared" si="65"/>
        <v>35</v>
      </c>
      <c r="D373" t="s">
        <v>21</v>
      </c>
      <c r="E373" t="str">
        <f t="shared" si="66"/>
        <v>Salaried</v>
      </c>
      <c r="F373">
        <v>4696.93</v>
      </c>
      <c r="G373">
        <f>ABS(Table1[[#This Row],[Monthly_Income]])</f>
        <v>4696.93</v>
      </c>
      <c r="H373">
        <v>35874.46</v>
      </c>
      <c r="I373" s="5">
        <f t="shared" si="67"/>
        <v>35874.46</v>
      </c>
      <c r="J373">
        <v>48</v>
      </c>
      <c r="K373">
        <v>13.63</v>
      </c>
      <c r="L373">
        <v>0</v>
      </c>
      <c r="M373">
        <f t="shared" si="68"/>
        <v>0</v>
      </c>
      <c r="N373">
        <v>5.9</v>
      </c>
      <c r="O373">
        <f t="shared" si="69"/>
        <v>5.9</v>
      </c>
      <c r="P373">
        <v>0</v>
      </c>
      <c r="Q373">
        <f t="shared" si="70"/>
        <v>0</v>
      </c>
      <c r="R373" t="s">
        <v>18</v>
      </c>
      <c r="S373" t="str">
        <f t="shared" si="71"/>
        <v>Non-Performing</v>
      </c>
      <c r="T373" t="s">
        <v>25</v>
      </c>
      <c r="U373" s="3">
        <f t="shared" si="72"/>
        <v>0.15912193354666415</v>
      </c>
      <c r="V373" t="str">
        <f t="shared" si="73"/>
        <v>Healthy</v>
      </c>
      <c r="W373" t="str">
        <f t="shared" si="74"/>
        <v>Good</v>
      </c>
      <c r="X373" s="5" t="str">
        <f t="shared" si="75"/>
        <v>High</v>
      </c>
      <c r="Y373" s="5" t="str">
        <f t="shared" si="76"/>
        <v>High</v>
      </c>
      <c r="Z373" s="5" t="str">
        <f>IF(B373=120,"NULL",IF(AND(V373="High Stress", W373="High Risk", Y373="Low"),"High Risk : Reject", IF(AND(V373="Healthy", W373="Good",Y373&lt;&gt;"Low"), "Low Risk : Approve", "Medium Risk : Review")))</f>
        <v>Low Risk : Approve</v>
      </c>
      <c r="AA373" s="5" t="str">
        <f t="shared" si="77"/>
        <v>Medium</v>
      </c>
    </row>
    <row r="374" spans="1:27" x14ac:dyDescent="0.2">
      <c r="A374">
        <v>20938</v>
      </c>
      <c r="B374">
        <v>47</v>
      </c>
      <c r="C374">
        <f t="shared" si="65"/>
        <v>47</v>
      </c>
      <c r="D374" t="s">
        <v>26</v>
      </c>
      <c r="E374" t="str">
        <f t="shared" si="66"/>
        <v>Salaried</v>
      </c>
      <c r="F374">
        <v>1916.28</v>
      </c>
      <c r="G374">
        <f>ABS(Table1[[#This Row],[Monthly_Income]])</f>
        <v>1916.28</v>
      </c>
      <c r="H374">
        <v>16234.66</v>
      </c>
      <c r="I374" s="5">
        <f t="shared" si="67"/>
        <v>16234.66</v>
      </c>
      <c r="J374">
        <v>60</v>
      </c>
      <c r="K374">
        <v>14.67</v>
      </c>
      <c r="L374">
        <v>4</v>
      </c>
      <c r="M374">
        <f t="shared" si="68"/>
        <v>4</v>
      </c>
      <c r="N374">
        <v>6.7</v>
      </c>
      <c r="O374">
        <f t="shared" si="69"/>
        <v>6.7</v>
      </c>
      <c r="Q374" t="str">
        <f t="shared" si="70"/>
        <v>NULL</v>
      </c>
      <c r="R374" t="s">
        <v>20</v>
      </c>
      <c r="S374" t="str">
        <f t="shared" si="71"/>
        <v>Written Off</v>
      </c>
      <c r="T374" t="s">
        <v>25</v>
      </c>
      <c r="U374" s="3">
        <f t="shared" si="72"/>
        <v>0.14119944197438092</v>
      </c>
      <c r="V374" t="str">
        <f t="shared" si="73"/>
        <v>Healthy</v>
      </c>
      <c r="W374" t="str">
        <f t="shared" si="74"/>
        <v>NULL</v>
      </c>
      <c r="X374" s="5" t="str">
        <f t="shared" si="75"/>
        <v>Medium</v>
      </c>
      <c r="Y374" s="5" t="str">
        <f t="shared" si="76"/>
        <v>High</v>
      </c>
      <c r="Z374" s="5" t="str">
        <f>IF(B374=120,"NULL",IF(AND(V374="High Stress", W374="High Risk", Y374="Low"),"High Risk : Reject", IF(AND(V374="Healthy", W374="Good",Y374&lt;&gt;"Low"), "Low Risk : Approve", "Medium Risk : Review")))</f>
        <v>Medium Risk : Review</v>
      </c>
      <c r="AA374" s="5" t="str">
        <f t="shared" si="77"/>
        <v>Low</v>
      </c>
    </row>
    <row r="375" spans="1:27" x14ac:dyDescent="0.2">
      <c r="A375">
        <v>21718</v>
      </c>
      <c r="B375">
        <v>34</v>
      </c>
      <c r="C375">
        <f t="shared" si="65"/>
        <v>34</v>
      </c>
      <c r="D375" t="s">
        <v>21</v>
      </c>
      <c r="E375" t="str">
        <f t="shared" si="66"/>
        <v>Salaried</v>
      </c>
      <c r="F375">
        <v>5754.87</v>
      </c>
      <c r="G375">
        <f>ABS(Table1[[#This Row],[Monthly_Income]])</f>
        <v>5754.87</v>
      </c>
      <c r="H375">
        <v>25783.22</v>
      </c>
      <c r="I375" s="5">
        <f t="shared" si="67"/>
        <v>25783.22</v>
      </c>
      <c r="J375">
        <v>18</v>
      </c>
      <c r="K375">
        <v>19.760000000000002</v>
      </c>
      <c r="L375">
        <v>2</v>
      </c>
      <c r="M375">
        <f t="shared" si="68"/>
        <v>2</v>
      </c>
      <c r="N375">
        <v>4.4000000000000004</v>
      </c>
      <c r="O375">
        <f t="shared" si="69"/>
        <v>4.4000000000000004</v>
      </c>
      <c r="P375">
        <v>120</v>
      </c>
      <c r="Q375">
        <f t="shared" si="70"/>
        <v>120</v>
      </c>
      <c r="R375" t="s">
        <v>15</v>
      </c>
      <c r="S375" t="str">
        <f t="shared" si="71"/>
        <v xml:space="preserve">Performing </v>
      </c>
      <c r="T375" t="s">
        <v>25</v>
      </c>
      <c r="U375" s="3">
        <f t="shared" si="72"/>
        <v>0.2489024271809982</v>
      </c>
      <c r="V375" t="str">
        <f t="shared" si="73"/>
        <v>Healthy</v>
      </c>
      <c r="W375" t="str">
        <f t="shared" si="74"/>
        <v>High Risk</v>
      </c>
      <c r="X375" s="5" t="str">
        <f t="shared" si="75"/>
        <v>Medium</v>
      </c>
      <c r="Y375" s="5" t="str">
        <f t="shared" si="76"/>
        <v>High</v>
      </c>
      <c r="Z375" s="5" t="str">
        <f>IF(B375=120,"NULL",IF(AND(V375="High Stress", W375="High Risk", Y375="Low"),"High Risk : Reject", IF(AND(V375="Healthy", W375="Good",Y375&lt;&gt;"Low"), "Low Risk : Approve", "Medium Risk : Review")))</f>
        <v>Medium Risk : Review</v>
      </c>
      <c r="AA375" s="5" t="str">
        <f t="shared" si="77"/>
        <v>Medium</v>
      </c>
    </row>
    <row r="376" spans="1:27" x14ac:dyDescent="0.2">
      <c r="A376">
        <v>22128</v>
      </c>
      <c r="B376">
        <v>49</v>
      </c>
      <c r="C376">
        <f t="shared" si="65"/>
        <v>49</v>
      </c>
      <c r="D376" t="s">
        <v>23</v>
      </c>
      <c r="E376" t="str">
        <f t="shared" si="66"/>
        <v>Self-Employed</v>
      </c>
      <c r="F376">
        <v>5464.25</v>
      </c>
      <c r="G376">
        <f>ABS(Table1[[#This Row],[Monthly_Income]])</f>
        <v>5464.25</v>
      </c>
      <c r="H376">
        <v>20620.96</v>
      </c>
      <c r="I376" s="5">
        <f t="shared" si="67"/>
        <v>20620.96</v>
      </c>
      <c r="J376">
        <v>36</v>
      </c>
      <c r="K376">
        <v>11.15</v>
      </c>
      <c r="L376">
        <v>0</v>
      </c>
      <c r="M376">
        <f t="shared" si="68"/>
        <v>0</v>
      </c>
      <c r="N376">
        <v>4.5999999999999996</v>
      </c>
      <c r="O376">
        <f t="shared" si="69"/>
        <v>4.5999999999999996</v>
      </c>
      <c r="P376">
        <v>0</v>
      </c>
      <c r="Q376">
        <f t="shared" si="70"/>
        <v>0</v>
      </c>
      <c r="R376" t="s">
        <v>18</v>
      </c>
      <c r="S376" t="str">
        <f t="shared" si="71"/>
        <v>Non-Performing</v>
      </c>
      <c r="T376" t="s">
        <v>22</v>
      </c>
      <c r="U376" s="3">
        <f t="shared" si="72"/>
        <v>0.10482764230122056</v>
      </c>
      <c r="V376" t="str">
        <f t="shared" si="73"/>
        <v>Healthy</v>
      </c>
      <c r="W376" t="str">
        <f t="shared" si="74"/>
        <v>Good</v>
      </c>
      <c r="X376" s="5" t="str">
        <f t="shared" si="75"/>
        <v>Medium</v>
      </c>
      <c r="Y376" s="5" t="str">
        <f t="shared" si="76"/>
        <v>Medium</v>
      </c>
      <c r="Z376" s="5" t="str">
        <f>IF(B376=120,"NULL",IF(AND(V376="High Stress", W376="High Risk", Y376="Low"),"High Risk : Reject", IF(AND(V376="Healthy", W376="Good",Y376&lt;&gt;"Low"), "Low Risk : Approve", "Medium Risk : Review")))</f>
        <v>Low Risk : Approve</v>
      </c>
      <c r="AA376" s="5" t="str">
        <f t="shared" si="77"/>
        <v>Medium</v>
      </c>
    </row>
    <row r="377" spans="1:27" x14ac:dyDescent="0.2">
      <c r="A377">
        <v>25109</v>
      </c>
      <c r="B377">
        <v>21</v>
      </c>
      <c r="C377">
        <f t="shared" si="65"/>
        <v>21</v>
      </c>
      <c r="D377" t="s">
        <v>21</v>
      </c>
      <c r="E377" t="str">
        <f t="shared" si="66"/>
        <v>Salaried</v>
      </c>
      <c r="F377">
        <v>2401.17</v>
      </c>
      <c r="G377">
        <f>ABS(Table1[[#This Row],[Monthly_Income]])</f>
        <v>2401.17</v>
      </c>
      <c r="H377">
        <v>13532.46</v>
      </c>
      <c r="I377" s="5">
        <f t="shared" si="67"/>
        <v>13532.46</v>
      </c>
      <c r="J377">
        <v>48</v>
      </c>
      <c r="K377">
        <v>16.68</v>
      </c>
      <c r="L377">
        <v>2</v>
      </c>
      <c r="M377">
        <f t="shared" si="68"/>
        <v>2</v>
      </c>
      <c r="N377">
        <v>5</v>
      </c>
      <c r="O377">
        <f t="shared" si="69"/>
        <v>5</v>
      </c>
      <c r="P377">
        <v>0</v>
      </c>
      <c r="Q377">
        <f t="shared" si="70"/>
        <v>0</v>
      </c>
      <c r="R377" t="s">
        <v>13</v>
      </c>
      <c r="S377" t="str">
        <f t="shared" si="71"/>
        <v>Performing</v>
      </c>
      <c r="T377" t="s">
        <v>14</v>
      </c>
      <c r="U377" s="3">
        <f t="shared" si="72"/>
        <v>0.11741203246750541</v>
      </c>
      <c r="V377" t="str">
        <f t="shared" si="73"/>
        <v>Healthy</v>
      </c>
      <c r="W377" t="str">
        <f t="shared" si="74"/>
        <v>Good</v>
      </c>
      <c r="X377" s="5" t="str">
        <f t="shared" si="75"/>
        <v>Medium</v>
      </c>
      <c r="Y377" s="5" t="str">
        <f t="shared" si="76"/>
        <v>High</v>
      </c>
      <c r="Z377" s="5" t="str">
        <f>IF(B377=120,"NULL",IF(AND(V377="High Stress", W377="High Risk", Y377="Low"),"High Risk : Reject", IF(AND(V377="Healthy", W377="Good",Y377&lt;&gt;"Low"), "Low Risk : Approve", "Medium Risk : Review")))</f>
        <v>Low Risk : Approve</v>
      </c>
      <c r="AA377" s="5" t="str">
        <f t="shared" si="77"/>
        <v>Medium</v>
      </c>
    </row>
    <row r="378" spans="1:27" x14ac:dyDescent="0.2">
      <c r="A378">
        <v>25735</v>
      </c>
      <c r="B378">
        <v>32</v>
      </c>
      <c r="C378">
        <f t="shared" si="65"/>
        <v>32</v>
      </c>
      <c r="D378" t="s">
        <v>26</v>
      </c>
      <c r="E378" t="str">
        <f t="shared" si="66"/>
        <v>Salaried</v>
      </c>
      <c r="F378">
        <v>5335.59</v>
      </c>
      <c r="G378">
        <f>ABS(Table1[[#This Row],[Monthly_Income]])</f>
        <v>5335.59</v>
      </c>
      <c r="H378">
        <v>33716.86</v>
      </c>
      <c r="I378" s="5">
        <f t="shared" si="67"/>
        <v>33716.86</v>
      </c>
      <c r="J378">
        <v>24</v>
      </c>
      <c r="K378">
        <v>18.739999999999998</v>
      </c>
      <c r="M378" t="str">
        <f t="shared" si="68"/>
        <v>NULL</v>
      </c>
      <c r="N378">
        <v>8.4</v>
      </c>
      <c r="O378">
        <f t="shared" si="69"/>
        <v>8.4</v>
      </c>
      <c r="P378">
        <v>0</v>
      </c>
      <c r="Q378">
        <f t="shared" si="70"/>
        <v>0</v>
      </c>
      <c r="R378" t="s">
        <v>15</v>
      </c>
      <c r="S378" t="str">
        <f t="shared" si="71"/>
        <v xml:space="preserve">Performing </v>
      </c>
      <c r="T378" t="s">
        <v>14</v>
      </c>
      <c r="U378" s="3">
        <f t="shared" si="72"/>
        <v>0.26330155927773063</v>
      </c>
      <c r="V378" t="str">
        <f t="shared" si="73"/>
        <v>Healthy</v>
      </c>
      <c r="W378" t="str">
        <f t="shared" si="74"/>
        <v>Good</v>
      </c>
      <c r="X378" s="5" t="str">
        <f t="shared" si="75"/>
        <v>High</v>
      </c>
      <c r="Y378" s="5" t="str">
        <f t="shared" si="76"/>
        <v>High</v>
      </c>
      <c r="Z378" s="5" t="str">
        <f>IF(B378=120,"NULL",IF(AND(V378="High Stress", W378="High Risk", Y378="Low"),"High Risk : Reject", IF(AND(V378="Healthy", W378="Good",Y378&lt;&gt;"Low"), "Low Risk : Approve", "Medium Risk : Review")))</f>
        <v>Low Risk : Approve</v>
      </c>
      <c r="AA378" s="5" t="str">
        <f t="shared" si="77"/>
        <v>Medium</v>
      </c>
    </row>
    <row r="379" spans="1:27" x14ac:dyDescent="0.2">
      <c r="A379">
        <v>22378</v>
      </c>
      <c r="B379">
        <v>22</v>
      </c>
      <c r="C379">
        <f t="shared" si="65"/>
        <v>22</v>
      </c>
      <c r="D379" t="s">
        <v>23</v>
      </c>
      <c r="E379" t="str">
        <f t="shared" si="66"/>
        <v>Self-Employed</v>
      </c>
      <c r="F379">
        <v>6565.81</v>
      </c>
      <c r="G379">
        <f>ABS(Table1[[#This Row],[Monthly_Income]])</f>
        <v>6565.81</v>
      </c>
      <c r="H379">
        <v>12833.31</v>
      </c>
      <c r="I379" s="5">
        <f t="shared" si="67"/>
        <v>12833.31</v>
      </c>
      <c r="J379">
        <v>48</v>
      </c>
      <c r="K379">
        <v>16.59</v>
      </c>
      <c r="M379" t="str">
        <f t="shared" si="68"/>
        <v>NULL</v>
      </c>
      <c r="N379">
        <v>11</v>
      </c>
      <c r="O379">
        <f t="shared" si="69"/>
        <v>11</v>
      </c>
      <c r="P379">
        <v>15</v>
      </c>
      <c r="Q379">
        <f t="shared" si="70"/>
        <v>15</v>
      </c>
      <c r="R379" t="s">
        <v>24</v>
      </c>
      <c r="S379" t="str">
        <f t="shared" si="71"/>
        <v>Non-Performing</v>
      </c>
      <c r="T379" t="s">
        <v>16</v>
      </c>
      <c r="U379" s="3">
        <f t="shared" si="72"/>
        <v>4.0720128209619219E-2</v>
      </c>
      <c r="V379" t="str">
        <f t="shared" si="73"/>
        <v>Healthy</v>
      </c>
      <c r="W379" t="str">
        <f t="shared" si="74"/>
        <v>Good</v>
      </c>
      <c r="X379" s="5" t="str">
        <f t="shared" si="75"/>
        <v>Medium</v>
      </c>
      <c r="Y379" s="5" t="str">
        <f t="shared" si="76"/>
        <v>Medium</v>
      </c>
      <c r="Z379" s="5" t="str">
        <f>IF(B379=120,"NULL",IF(AND(V379="High Stress", W379="High Risk", Y379="Low"),"High Risk : Reject", IF(AND(V379="Healthy", W379="Good",Y379&lt;&gt;"Low"), "Low Risk : Approve", "Medium Risk : Review")))</f>
        <v>Low Risk : Approve</v>
      </c>
      <c r="AA379" s="5" t="str">
        <f t="shared" si="77"/>
        <v>Medium</v>
      </c>
    </row>
    <row r="380" spans="1:27" x14ac:dyDescent="0.2">
      <c r="A380">
        <v>21066</v>
      </c>
      <c r="B380">
        <v>58</v>
      </c>
      <c r="C380">
        <f t="shared" si="65"/>
        <v>58</v>
      </c>
      <c r="D380" t="s">
        <v>23</v>
      </c>
      <c r="E380" t="str">
        <f t="shared" si="66"/>
        <v>Self-Employed</v>
      </c>
      <c r="F380">
        <v>2953.57</v>
      </c>
      <c r="G380">
        <f>ABS(Table1[[#This Row],[Monthly_Income]])</f>
        <v>2953.57</v>
      </c>
      <c r="H380">
        <v>12941</v>
      </c>
      <c r="I380" s="5">
        <f t="shared" si="67"/>
        <v>12941</v>
      </c>
      <c r="J380">
        <v>18</v>
      </c>
      <c r="K380">
        <v>16.91</v>
      </c>
      <c r="L380">
        <v>2</v>
      </c>
      <c r="M380">
        <f t="shared" si="68"/>
        <v>2</v>
      </c>
      <c r="N380">
        <v>0.6</v>
      </c>
      <c r="O380">
        <f t="shared" si="69"/>
        <v>0.6</v>
      </c>
      <c r="P380">
        <v>30</v>
      </c>
      <c r="Q380">
        <f t="shared" si="70"/>
        <v>30</v>
      </c>
      <c r="R380" t="s">
        <v>13</v>
      </c>
      <c r="S380" t="str">
        <f t="shared" si="71"/>
        <v>Performing</v>
      </c>
      <c r="T380" t="s">
        <v>16</v>
      </c>
      <c r="U380" s="3">
        <f t="shared" si="72"/>
        <v>0.24341540726796534</v>
      </c>
      <c r="V380" t="str">
        <f t="shared" si="73"/>
        <v>Healthy</v>
      </c>
      <c r="W380" t="str">
        <f t="shared" si="74"/>
        <v>At Risk</v>
      </c>
      <c r="X380" s="5" t="str">
        <f t="shared" si="75"/>
        <v>Medium</v>
      </c>
      <c r="Y380" s="5" t="str">
        <f t="shared" si="76"/>
        <v>Medium</v>
      </c>
      <c r="Z380" s="5" t="str">
        <f>IF(B380=120,"NULL",IF(AND(V380="High Stress", W380="High Risk", Y380="Low"),"High Risk : Reject", IF(AND(V380="Healthy", W380="Good",Y380&lt;&gt;"Low"), "Low Risk : Approve", "Medium Risk : Review")))</f>
        <v>Medium Risk : Review</v>
      </c>
      <c r="AA380" s="5" t="str">
        <f t="shared" si="77"/>
        <v>Medium</v>
      </c>
    </row>
    <row r="381" spans="1:27" x14ac:dyDescent="0.2">
      <c r="A381">
        <v>20293</v>
      </c>
      <c r="B381">
        <v>29</v>
      </c>
      <c r="C381">
        <f t="shared" si="65"/>
        <v>29</v>
      </c>
      <c r="D381" t="s">
        <v>12</v>
      </c>
      <c r="E381" t="str">
        <f t="shared" si="66"/>
        <v>Self-Employed</v>
      </c>
      <c r="F381">
        <v>8284.1200000000008</v>
      </c>
      <c r="G381">
        <f>ABS(Table1[[#This Row],[Monthly_Income]])</f>
        <v>8284.1200000000008</v>
      </c>
      <c r="H381">
        <v>18876.55</v>
      </c>
      <c r="I381" s="5">
        <f t="shared" si="67"/>
        <v>18876.55</v>
      </c>
      <c r="J381">
        <v>24</v>
      </c>
      <c r="K381">
        <v>22.42</v>
      </c>
      <c r="L381">
        <v>2</v>
      </c>
      <c r="M381">
        <f t="shared" si="68"/>
        <v>2</v>
      </c>
      <c r="N381">
        <v>4</v>
      </c>
      <c r="O381">
        <f t="shared" si="69"/>
        <v>4</v>
      </c>
      <c r="P381">
        <v>0</v>
      </c>
      <c r="Q381">
        <f t="shared" si="70"/>
        <v>0</v>
      </c>
      <c r="R381" t="s">
        <v>13</v>
      </c>
      <c r="S381" t="str">
        <f t="shared" si="71"/>
        <v>Performing</v>
      </c>
      <c r="T381" t="s">
        <v>19</v>
      </c>
      <c r="U381" s="3">
        <f t="shared" si="72"/>
        <v>9.494344802666628E-2</v>
      </c>
      <c r="V381" t="str">
        <f t="shared" si="73"/>
        <v>Healthy</v>
      </c>
      <c r="W381" t="str">
        <f t="shared" si="74"/>
        <v>Good</v>
      </c>
      <c r="X381" s="5" t="str">
        <f t="shared" si="75"/>
        <v>Medium</v>
      </c>
      <c r="Y381" s="5" t="str">
        <f t="shared" si="76"/>
        <v>Medium</v>
      </c>
      <c r="Z381" s="5" t="str">
        <f>IF(B381=120,"NULL",IF(AND(V381="High Stress", W381="High Risk", Y381="Low"),"High Risk : Reject", IF(AND(V381="Healthy", W381="Good",Y381&lt;&gt;"Low"), "Low Risk : Approve", "Medium Risk : Review")))</f>
        <v>Low Risk : Approve</v>
      </c>
      <c r="AA381" s="5" t="str">
        <f t="shared" si="77"/>
        <v>High</v>
      </c>
    </row>
    <row r="382" spans="1:27" x14ac:dyDescent="0.2">
      <c r="A382">
        <v>20425</v>
      </c>
      <c r="B382">
        <v>62</v>
      </c>
      <c r="C382">
        <f t="shared" si="65"/>
        <v>62</v>
      </c>
      <c r="D382" t="s">
        <v>17</v>
      </c>
      <c r="E382" t="str">
        <f t="shared" si="66"/>
        <v>Contract</v>
      </c>
      <c r="F382">
        <v>5759.19</v>
      </c>
      <c r="G382">
        <f>ABS(Table1[[#This Row],[Monthly_Income]])</f>
        <v>5759.19</v>
      </c>
      <c r="H382">
        <v>29736.11</v>
      </c>
      <c r="I382" s="5">
        <f t="shared" si="67"/>
        <v>29736.11</v>
      </c>
      <c r="J382">
        <v>18</v>
      </c>
      <c r="K382">
        <v>24.33</v>
      </c>
      <c r="L382">
        <v>2</v>
      </c>
      <c r="M382">
        <f t="shared" si="68"/>
        <v>2</v>
      </c>
      <c r="N382">
        <v>8.1999999999999993</v>
      </c>
      <c r="O382">
        <f t="shared" si="69"/>
        <v>8.1999999999999993</v>
      </c>
      <c r="P382">
        <v>15</v>
      </c>
      <c r="Q382">
        <f t="shared" si="70"/>
        <v>15</v>
      </c>
      <c r="R382" t="s">
        <v>18</v>
      </c>
      <c r="S382" t="str">
        <f t="shared" si="71"/>
        <v>Non-Performing</v>
      </c>
      <c r="T382" t="s">
        <v>14</v>
      </c>
      <c r="U382" s="3">
        <f t="shared" si="72"/>
        <v>0.28684695436530333</v>
      </c>
      <c r="V382" t="str">
        <f t="shared" si="73"/>
        <v>Healthy</v>
      </c>
      <c r="W382" t="str">
        <f t="shared" si="74"/>
        <v>Good</v>
      </c>
      <c r="X382" s="5" t="str">
        <f t="shared" si="75"/>
        <v>Medium</v>
      </c>
      <c r="Y382" s="5" t="str">
        <f t="shared" si="76"/>
        <v>Low</v>
      </c>
      <c r="Z382" s="5" t="str">
        <f>IF(B382=120,"NULL",IF(AND(V382="High Stress", W382="High Risk", Y382="Low"),"High Risk : Reject", IF(AND(V382="Healthy", W382="Good",Y382&lt;&gt;"Low"), "Low Risk : Approve", "Medium Risk : Review")))</f>
        <v>Medium Risk : Review</v>
      </c>
      <c r="AA382" s="5" t="str">
        <f t="shared" si="77"/>
        <v>Medium</v>
      </c>
    </row>
    <row r="383" spans="1:27" x14ac:dyDescent="0.2">
      <c r="A383">
        <v>22829</v>
      </c>
      <c r="B383">
        <v>56</v>
      </c>
      <c r="C383">
        <f t="shared" si="65"/>
        <v>56</v>
      </c>
      <c r="D383" t="s">
        <v>23</v>
      </c>
      <c r="E383" t="str">
        <f t="shared" si="66"/>
        <v>Self-Employed</v>
      </c>
      <c r="F383">
        <v>7632.04</v>
      </c>
      <c r="G383">
        <f>ABS(Table1[[#This Row],[Monthly_Income]])</f>
        <v>7632.04</v>
      </c>
      <c r="H383">
        <v>11681.98</v>
      </c>
      <c r="I383" s="5">
        <f t="shared" si="67"/>
        <v>11681.98</v>
      </c>
      <c r="J383">
        <v>36</v>
      </c>
      <c r="K383">
        <v>15.79</v>
      </c>
      <c r="L383">
        <v>3</v>
      </c>
      <c r="M383">
        <f t="shared" si="68"/>
        <v>3</v>
      </c>
      <c r="O383" t="str">
        <f t="shared" si="69"/>
        <v>NULL</v>
      </c>
      <c r="Q383" t="str">
        <f t="shared" si="70"/>
        <v>NULL</v>
      </c>
      <c r="R383" t="s">
        <v>20</v>
      </c>
      <c r="S383" t="str">
        <f t="shared" si="71"/>
        <v>Written Off</v>
      </c>
      <c r="T383" t="s">
        <v>19</v>
      </c>
      <c r="U383" s="3">
        <f t="shared" si="72"/>
        <v>4.2518048181671535E-2</v>
      </c>
      <c r="V383" t="str">
        <f t="shared" si="73"/>
        <v>Healthy</v>
      </c>
      <c r="W383" t="str">
        <f t="shared" si="74"/>
        <v>NULL</v>
      </c>
      <c r="X383" s="5" t="str">
        <f t="shared" si="75"/>
        <v>Medium</v>
      </c>
      <c r="Y383" s="5" t="str">
        <f t="shared" si="76"/>
        <v>Medium</v>
      </c>
      <c r="Z383" s="5" t="str">
        <f>IF(B383=120,"NULL",IF(AND(V383="High Stress", W383="High Risk", Y383="Low"),"High Risk : Reject", IF(AND(V383="Healthy", W383="Good",Y383&lt;&gt;"Low"), "Low Risk : Approve", "Medium Risk : Review")))</f>
        <v>Medium Risk : Review</v>
      </c>
      <c r="AA383" s="5" t="str">
        <f t="shared" si="77"/>
        <v>Medium</v>
      </c>
    </row>
    <row r="384" spans="1:27" x14ac:dyDescent="0.2">
      <c r="A384">
        <v>21379</v>
      </c>
      <c r="B384">
        <v>46</v>
      </c>
      <c r="C384">
        <f t="shared" si="65"/>
        <v>46</v>
      </c>
      <c r="D384" t="s">
        <v>17</v>
      </c>
      <c r="E384" t="str">
        <f t="shared" si="66"/>
        <v>Contract</v>
      </c>
      <c r="F384">
        <v>7477.09</v>
      </c>
      <c r="G384">
        <f>ABS(Table1[[#This Row],[Monthly_Income]])</f>
        <v>7477.09</v>
      </c>
      <c r="H384">
        <v>20019.650000000001</v>
      </c>
      <c r="I384" s="5">
        <f t="shared" si="67"/>
        <v>20019.650000000001</v>
      </c>
      <c r="J384">
        <v>36</v>
      </c>
      <c r="K384">
        <v>17.2</v>
      </c>
      <c r="M384" t="str">
        <f t="shared" si="68"/>
        <v>NULL</v>
      </c>
      <c r="O384" t="str">
        <f t="shared" si="69"/>
        <v>NULL</v>
      </c>
      <c r="P384">
        <v>15</v>
      </c>
      <c r="Q384">
        <f t="shared" si="70"/>
        <v>15</v>
      </c>
      <c r="R384" t="s">
        <v>13</v>
      </c>
      <c r="S384" t="str">
        <f t="shared" si="71"/>
        <v>Performing</v>
      </c>
      <c r="T384" t="s">
        <v>19</v>
      </c>
      <c r="U384" s="3">
        <f t="shared" si="72"/>
        <v>7.4374039751947479E-2</v>
      </c>
      <c r="V384" t="str">
        <f t="shared" si="73"/>
        <v>Healthy</v>
      </c>
      <c r="W384" t="str">
        <f t="shared" si="74"/>
        <v>Good</v>
      </c>
      <c r="X384" s="5" t="str">
        <f t="shared" si="75"/>
        <v>Medium</v>
      </c>
      <c r="Y384" s="5" t="str">
        <f t="shared" si="76"/>
        <v>Low</v>
      </c>
      <c r="Z384" s="5" t="str">
        <f>IF(B384=120,"NULL",IF(AND(V384="High Stress", W384="High Risk", Y384="Low"),"High Risk : Reject", IF(AND(V384="Healthy", W384="Good",Y384&lt;&gt;"Low"), "Low Risk : Approve", "Medium Risk : Review")))</f>
        <v>Medium Risk : Review</v>
      </c>
      <c r="AA384" s="5" t="str">
        <f t="shared" si="77"/>
        <v>Medium</v>
      </c>
    </row>
    <row r="385" spans="1:27" x14ac:dyDescent="0.2">
      <c r="A385">
        <v>25975</v>
      </c>
      <c r="B385">
        <v>31</v>
      </c>
      <c r="C385">
        <f t="shared" si="65"/>
        <v>31</v>
      </c>
      <c r="D385" t="s">
        <v>12</v>
      </c>
      <c r="E385" t="str">
        <f t="shared" si="66"/>
        <v>Self-Employed</v>
      </c>
      <c r="F385">
        <v>5247.8</v>
      </c>
      <c r="G385">
        <f>ABS(Table1[[#This Row],[Monthly_Income]])</f>
        <v>5247.8</v>
      </c>
      <c r="H385">
        <v>20347.400000000001</v>
      </c>
      <c r="I385" s="5">
        <f t="shared" si="67"/>
        <v>20347.400000000001</v>
      </c>
      <c r="J385">
        <v>12</v>
      </c>
      <c r="K385">
        <v>25.46</v>
      </c>
      <c r="M385" t="str">
        <f t="shared" si="68"/>
        <v>NULL</v>
      </c>
      <c r="N385">
        <v>8.5</v>
      </c>
      <c r="O385">
        <f t="shared" si="69"/>
        <v>8.5</v>
      </c>
      <c r="P385">
        <v>30</v>
      </c>
      <c r="Q385">
        <f t="shared" si="70"/>
        <v>30</v>
      </c>
      <c r="R385" t="s">
        <v>18</v>
      </c>
      <c r="S385" t="str">
        <f t="shared" si="71"/>
        <v>Non-Performing</v>
      </c>
      <c r="T385" t="s">
        <v>19</v>
      </c>
      <c r="U385" s="3">
        <f t="shared" si="72"/>
        <v>0.32311000165148568</v>
      </c>
      <c r="V385" t="str">
        <f t="shared" si="73"/>
        <v>Stretched</v>
      </c>
      <c r="W385" t="str">
        <f t="shared" si="74"/>
        <v>At Risk</v>
      </c>
      <c r="X385" s="5" t="str">
        <f t="shared" si="75"/>
        <v>Medium</v>
      </c>
      <c r="Y385" s="5" t="str">
        <f t="shared" si="76"/>
        <v>Medium</v>
      </c>
      <c r="Z385" s="5" t="str">
        <f>IF(B385=120,"NULL",IF(AND(V385="High Stress", W385="High Risk", Y385="Low"),"High Risk : Reject", IF(AND(V385="Healthy", W385="Good",Y385&lt;&gt;"Low"), "Low Risk : Approve", "Medium Risk : Review")))</f>
        <v>Medium Risk : Review</v>
      </c>
      <c r="AA385" s="5" t="str">
        <f t="shared" si="77"/>
        <v>Medium</v>
      </c>
    </row>
    <row r="386" spans="1:27" x14ac:dyDescent="0.2">
      <c r="A386">
        <v>24806</v>
      </c>
      <c r="B386">
        <v>45</v>
      </c>
      <c r="C386">
        <f t="shared" ref="C386:C449" si="78">IF(B386=120,"NULL",B386)</f>
        <v>45</v>
      </c>
      <c r="D386" t="s">
        <v>23</v>
      </c>
      <c r="E386" t="str">
        <f t="shared" ref="E386:E449" si="79">TRIM(IF(D386="Self employed","Self-Employed",D386))</f>
        <v>Self-Employed</v>
      </c>
      <c r="F386">
        <v>5811.39</v>
      </c>
      <c r="G386">
        <f>ABS(Table1[[#This Row],[Monthly_Income]])</f>
        <v>5811.39</v>
      </c>
      <c r="H386">
        <v>32110.01</v>
      </c>
      <c r="I386" s="5">
        <f t="shared" ref="I386:I449" si="80">IF(H386="","NULL",ABS(H386))</f>
        <v>32110.01</v>
      </c>
      <c r="J386">
        <v>12</v>
      </c>
      <c r="K386">
        <v>24.41</v>
      </c>
      <c r="L386">
        <v>0</v>
      </c>
      <c r="M386">
        <f t="shared" ref="M386:M449" si="81">IF(L386="","NULL",L386)</f>
        <v>0</v>
      </c>
      <c r="N386">
        <v>3.4</v>
      </c>
      <c r="O386">
        <f t="shared" ref="O386:O449" si="82">IF(N386="","NULL",ABS(N386))</f>
        <v>3.4</v>
      </c>
      <c r="P386">
        <v>15</v>
      </c>
      <c r="Q386">
        <f t="shared" ref="Q386:Q449" si="83">IF(P386="","NULL",P386)</f>
        <v>15</v>
      </c>
      <c r="R386" t="s">
        <v>15</v>
      </c>
      <c r="S386" t="str">
        <f t="shared" ref="S386:S449" si="84">IF(R386="Non performing","Non-Performing",R386)</f>
        <v xml:space="preserve">Performing </v>
      </c>
      <c r="T386" t="s">
        <v>19</v>
      </c>
      <c r="U386" s="3">
        <f t="shared" ref="U386:U449" si="85">IFERROR(I386/(G386*J386),"NULL")</f>
        <v>0.46044649673600746</v>
      </c>
      <c r="V386" t="str">
        <f t="shared" ref="V386:V449" si="86">IF(U386="NULL","NULL",IF(U386&lt;=0.3,"Healthy",IF(U386&lt;=0.45,"Stretched","High Stress")))</f>
        <v>High Stress</v>
      </c>
      <c r="W386" t="str">
        <f t="shared" ref="W386:W449" si="87">IF(Q386="NULL","NULL",IF(Q386&lt;30,"Good",IF(Q386&lt;60,"At Risk","High Risk")))</f>
        <v>Good</v>
      </c>
      <c r="X386" s="5" t="str">
        <f t="shared" ref="X386:X449" si="88">IF(I386&lt;10000,"Small",IF(I386&lt;=30000,"Medium","High"))</f>
        <v>High</v>
      </c>
      <c r="Y386" s="5" t="str">
        <f t="shared" ref="Y386:Y449" si="89">IF(E386="Salaried","High",IF(E386="Self-Employed","Medium","Low"))</f>
        <v>Medium</v>
      </c>
      <c r="Z386" s="5" t="str">
        <f>IF(B386=120,"NULL",IF(AND(V386="High Stress", W386="High Risk", Y386="Low"),"High Risk : Reject", IF(AND(V386="Healthy", W386="Good",Y386&lt;&gt;"Low"), "Low Risk : Approve", "Medium Risk : Review")))</f>
        <v>Medium Risk : Review</v>
      </c>
      <c r="AA386" s="5" t="str">
        <f t="shared" ref="AA386:AA449" si="90">IF(G386="NULL","NULL",IF(G386&gt;8000,"High",IF(G386&gt;2000,"Medium","Low")))</f>
        <v>Medium</v>
      </c>
    </row>
    <row r="387" spans="1:27" x14ac:dyDescent="0.2">
      <c r="A387">
        <v>22108</v>
      </c>
      <c r="B387">
        <v>53</v>
      </c>
      <c r="C387">
        <f t="shared" si="78"/>
        <v>53</v>
      </c>
      <c r="D387" t="s">
        <v>17</v>
      </c>
      <c r="E387" t="str">
        <f t="shared" si="79"/>
        <v>Contract</v>
      </c>
      <c r="F387">
        <v>3452.22</v>
      </c>
      <c r="G387">
        <f>ABS(Table1[[#This Row],[Monthly_Income]])</f>
        <v>3452.22</v>
      </c>
      <c r="H387">
        <v>19054.34</v>
      </c>
      <c r="I387" s="5">
        <f t="shared" si="80"/>
        <v>19054.34</v>
      </c>
      <c r="J387">
        <v>24</v>
      </c>
      <c r="K387">
        <v>24.47</v>
      </c>
      <c r="L387">
        <v>4</v>
      </c>
      <c r="M387">
        <f t="shared" si="81"/>
        <v>4</v>
      </c>
      <c r="N387">
        <v>6.3</v>
      </c>
      <c r="O387">
        <f t="shared" si="82"/>
        <v>6.3</v>
      </c>
      <c r="P387">
        <v>15</v>
      </c>
      <c r="Q387">
        <f t="shared" si="83"/>
        <v>15</v>
      </c>
      <c r="R387" t="s">
        <v>13</v>
      </c>
      <c r="S387" t="str">
        <f t="shared" si="84"/>
        <v>Performing</v>
      </c>
      <c r="T387" t="s">
        <v>22</v>
      </c>
      <c r="U387" s="3">
        <f t="shared" si="85"/>
        <v>0.22997689409520058</v>
      </c>
      <c r="V387" t="str">
        <f t="shared" si="86"/>
        <v>Healthy</v>
      </c>
      <c r="W387" t="str">
        <f t="shared" si="87"/>
        <v>Good</v>
      </c>
      <c r="X387" s="5" t="str">
        <f t="shared" si="88"/>
        <v>Medium</v>
      </c>
      <c r="Y387" s="5" t="str">
        <f t="shared" si="89"/>
        <v>Low</v>
      </c>
      <c r="Z387" s="5" t="str">
        <f>IF(B387=120,"NULL",IF(AND(V387="High Stress", W387="High Risk", Y387="Low"),"High Risk : Reject", IF(AND(V387="Healthy", W387="Good",Y387&lt;&gt;"Low"), "Low Risk : Approve", "Medium Risk : Review")))</f>
        <v>Medium Risk : Review</v>
      </c>
      <c r="AA387" s="5" t="str">
        <f t="shared" si="90"/>
        <v>Medium</v>
      </c>
    </row>
    <row r="388" spans="1:27" x14ac:dyDescent="0.2">
      <c r="A388">
        <v>21360</v>
      </c>
      <c r="B388">
        <v>26</v>
      </c>
      <c r="C388">
        <f t="shared" si="78"/>
        <v>26</v>
      </c>
      <c r="D388" t="s">
        <v>23</v>
      </c>
      <c r="E388" t="str">
        <f t="shared" si="79"/>
        <v>Self-Employed</v>
      </c>
      <c r="F388">
        <v>2443.39</v>
      </c>
      <c r="G388">
        <f>ABS(Table1[[#This Row],[Monthly_Income]])</f>
        <v>2443.39</v>
      </c>
      <c r="H388">
        <v>20471.75</v>
      </c>
      <c r="I388" s="5">
        <f t="shared" si="80"/>
        <v>20471.75</v>
      </c>
      <c r="J388">
        <v>24</v>
      </c>
      <c r="K388">
        <v>9.4499999999999993</v>
      </c>
      <c r="M388" t="str">
        <f t="shared" si="81"/>
        <v>NULL</v>
      </c>
      <c r="N388">
        <v>2.2999999999999998</v>
      </c>
      <c r="O388">
        <f t="shared" si="82"/>
        <v>2.2999999999999998</v>
      </c>
      <c r="P388">
        <v>30</v>
      </c>
      <c r="Q388">
        <f t="shared" si="83"/>
        <v>30</v>
      </c>
      <c r="R388" t="s">
        <v>13</v>
      </c>
      <c r="S388" t="str">
        <f t="shared" si="84"/>
        <v>Performing</v>
      </c>
      <c r="T388" t="s">
        <v>19</v>
      </c>
      <c r="U388" s="3">
        <f t="shared" si="85"/>
        <v>0.34910087351316543</v>
      </c>
      <c r="V388" t="str">
        <f t="shared" si="86"/>
        <v>Stretched</v>
      </c>
      <c r="W388" t="str">
        <f t="shared" si="87"/>
        <v>At Risk</v>
      </c>
      <c r="X388" s="5" t="str">
        <f t="shared" si="88"/>
        <v>Medium</v>
      </c>
      <c r="Y388" s="5" t="str">
        <f t="shared" si="89"/>
        <v>Medium</v>
      </c>
      <c r="Z388" s="5" t="str">
        <f>IF(B388=120,"NULL",IF(AND(V388="High Stress", W388="High Risk", Y388="Low"),"High Risk : Reject", IF(AND(V388="Healthy", W388="Good",Y388&lt;&gt;"Low"), "Low Risk : Approve", "Medium Risk : Review")))</f>
        <v>Medium Risk : Review</v>
      </c>
      <c r="AA388" s="5" t="str">
        <f t="shared" si="90"/>
        <v>Medium</v>
      </c>
    </row>
    <row r="389" spans="1:27" x14ac:dyDescent="0.2">
      <c r="A389">
        <v>22214</v>
      </c>
      <c r="B389">
        <v>31</v>
      </c>
      <c r="C389">
        <f t="shared" si="78"/>
        <v>31</v>
      </c>
      <c r="D389" t="s">
        <v>23</v>
      </c>
      <c r="E389" t="str">
        <f t="shared" si="79"/>
        <v>Self-Employed</v>
      </c>
      <c r="F389">
        <v>5796.51</v>
      </c>
      <c r="G389">
        <f>ABS(Table1[[#This Row],[Monthly_Income]])</f>
        <v>5796.51</v>
      </c>
      <c r="H389">
        <v>21131.38</v>
      </c>
      <c r="I389" s="5">
        <f t="shared" si="80"/>
        <v>21131.38</v>
      </c>
      <c r="J389">
        <v>48</v>
      </c>
      <c r="K389">
        <v>12.74</v>
      </c>
      <c r="L389">
        <v>3</v>
      </c>
      <c r="M389">
        <f t="shared" si="81"/>
        <v>3</v>
      </c>
      <c r="N389">
        <v>11.9</v>
      </c>
      <c r="O389">
        <f t="shared" si="82"/>
        <v>11.9</v>
      </c>
      <c r="P389">
        <v>0</v>
      </c>
      <c r="Q389">
        <f t="shared" si="83"/>
        <v>0</v>
      </c>
      <c r="R389" t="s">
        <v>13</v>
      </c>
      <c r="S389" t="str">
        <f t="shared" si="84"/>
        <v>Performing</v>
      </c>
      <c r="T389" t="s">
        <v>19</v>
      </c>
      <c r="U389" s="3">
        <f t="shared" si="85"/>
        <v>7.5948645535560771E-2</v>
      </c>
      <c r="V389" t="str">
        <f t="shared" si="86"/>
        <v>Healthy</v>
      </c>
      <c r="W389" t="str">
        <f t="shared" si="87"/>
        <v>Good</v>
      </c>
      <c r="X389" s="5" t="str">
        <f t="shared" si="88"/>
        <v>Medium</v>
      </c>
      <c r="Y389" s="5" t="str">
        <f t="shared" si="89"/>
        <v>Medium</v>
      </c>
      <c r="Z389" s="5" t="str">
        <f>IF(B389=120,"NULL",IF(AND(V389="High Stress", W389="High Risk", Y389="Low"),"High Risk : Reject", IF(AND(V389="Healthy", W389="Good",Y389&lt;&gt;"Low"), "Low Risk : Approve", "Medium Risk : Review")))</f>
        <v>Low Risk : Approve</v>
      </c>
      <c r="AA389" s="5" t="str">
        <f t="shared" si="90"/>
        <v>Medium</v>
      </c>
    </row>
    <row r="390" spans="1:27" x14ac:dyDescent="0.2">
      <c r="A390">
        <v>23443</v>
      </c>
      <c r="B390">
        <v>25</v>
      </c>
      <c r="C390">
        <f t="shared" si="78"/>
        <v>25</v>
      </c>
      <c r="D390" t="s">
        <v>27</v>
      </c>
      <c r="E390" t="str">
        <f t="shared" si="79"/>
        <v>Unemployed</v>
      </c>
      <c r="F390">
        <v>2860.98</v>
      </c>
      <c r="G390">
        <f>ABS(Table1[[#This Row],[Monthly_Income]])</f>
        <v>2860.98</v>
      </c>
      <c r="H390">
        <v>31787.82</v>
      </c>
      <c r="I390" s="5">
        <f t="shared" si="80"/>
        <v>31787.82</v>
      </c>
      <c r="J390">
        <v>18</v>
      </c>
      <c r="K390">
        <v>17.059999999999999</v>
      </c>
      <c r="L390">
        <v>3</v>
      </c>
      <c r="M390">
        <f t="shared" si="81"/>
        <v>3</v>
      </c>
      <c r="N390">
        <v>-2.1</v>
      </c>
      <c r="O390">
        <f t="shared" si="82"/>
        <v>2.1</v>
      </c>
      <c r="P390">
        <v>0</v>
      </c>
      <c r="Q390">
        <f t="shared" si="83"/>
        <v>0</v>
      </c>
      <c r="R390" t="s">
        <v>15</v>
      </c>
      <c r="S390" t="str">
        <f t="shared" si="84"/>
        <v xml:space="preserve">Performing </v>
      </c>
      <c r="T390" t="s">
        <v>25</v>
      </c>
      <c r="U390" s="3">
        <f t="shared" si="85"/>
        <v>0.61726750973442668</v>
      </c>
      <c r="V390" t="str">
        <f t="shared" si="86"/>
        <v>High Stress</v>
      </c>
      <c r="W390" t="str">
        <f t="shared" si="87"/>
        <v>Good</v>
      </c>
      <c r="X390" s="5" t="str">
        <f t="shared" si="88"/>
        <v>High</v>
      </c>
      <c r="Y390" s="5" t="str">
        <f t="shared" si="89"/>
        <v>Low</v>
      </c>
      <c r="Z390" s="5" t="str">
        <f>IF(B390=120,"NULL",IF(AND(V390="High Stress", W390="High Risk", Y390="Low"),"High Risk : Reject", IF(AND(V390="Healthy", W390="Good",Y390&lt;&gt;"Low"), "Low Risk : Approve", "Medium Risk : Review")))</f>
        <v>Medium Risk : Review</v>
      </c>
      <c r="AA390" s="5" t="str">
        <f t="shared" si="90"/>
        <v>Medium</v>
      </c>
    </row>
    <row r="391" spans="1:27" x14ac:dyDescent="0.2">
      <c r="A391">
        <v>21111</v>
      </c>
      <c r="B391">
        <v>21</v>
      </c>
      <c r="C391">
        <f t="shared" si="78"/>
        <v>21</v>
      </c>
      <c r="D391" t="s">
        <v>17</v>
      </c>
      <c r="E391" t="str">
        <f t="shared" si="79"/>
        <v>Contract</v>
      </c>
      <c r="F391">
        <v>4288.9399999999996</v>
      </c>
      <c r="G391">
        <f>ABS(Table1[[#This Row],[Monthly_Income]])</f>
        <v>4288.9399999999996</v>
      </c>
      <c r="H391">
        <v>25959.27</v>
      </c>
      <c r="I391" s="5">
        <f t="shared" si="80"/>
        <v>25959.27</v>
      </c>
      <c r="J391">
        <v>60</v>
      </c>
      <c r="K391">
        <v>13.7</v>
      </c>
      <c r="L391">
        <v>4</v>
      </c>
      <c r="M391">
        <f t="shared" si="81"/>
        <v>4</v>
      </c>
      <c r="N391">
        <v>12.6</v>
      </c>
      <c r="O391">
        <f t="shared" si="82"/>
        <v>12.6</v>
      </c>
      <c r="P391">
        <v>60</v>
      </c>
      <c r="Q391">
        <f t="shared" si="83"/>
        <v>60</v>
      </c>
      <c r="R391" t="s">
        <v>18</v>
      </c>
      <c r="S391" t="str">
        <f t="shared" si="84"/>
        <v>Non-Performing</v>
      </c>
      <c r="T391" t="s">
        <v>22</v>
      </c>
      <c r="U391" s="3">
        <f t="shared" si="85"/>
        <v>0.10087679006934115</v>
      </c>
      <c r="V391" t="str">
        <f t="shared" si="86"/>
        <v>Healthy</v>
      </c>
      <c r="W391" t="str">
        <f t="shared" si="87"/>
        <v>High Risk</v>
      </c>
      <c r="X391" s="5" t="str">
        <f t="shared" si="88"/>
        <v>Medium</v>
      </c>
      <c r="Y391" s="5" t="str">
        <f t="shared" si="89"/>
        <v>Low</v>
      </c>
      <c r="Z391" s="5" t="str">
        <f>IF(B391=120,"NULL",IF(AND(V391="High Stress", W391="High Risk", Y391="Low"),"High Risk : Reject", IF(AND(V391="Healthy", W391="Good",Y391&lt;&gt;"Low"), "Low Risk : Approve", "Medium Risk : Review")))</f>
        <v>Medium Risk : Review</v>
      </c>
      <c r="AA391" s="5" t="str">
        <f t="shared" si="90"/>
        <v>Medium</v>
      </c>
    </row>
    <row r="392" spans="1:27" x14ac:dyDescent="0.2">
      <c r="A392">
        <v>25093</v>
      </c>
      <c r="B392">
        <v>39</v>
      </c>
      <c r="C392">
        <f t="shared" si="78"/>
        <v>39</v>
      </c>
      <c r="D392" t="s">
        <v>23</v>
      </c>
      <c r="E392" t="str">
        <f t="shared" si="79"/>
        <v>Self-Employed</v>
      </c>
      <c r="F392">
        <v>6657.09</v>
      </c>
      <c r="G392">
        <f>ABS(Table1[[#This Row],[Monthly_Income]])</f>
        <v>6657.09</v>
      </c>
      <c r="H392">
        <v>34688.29</v>
      </c>
      <c r="I392" s="5">
        <f t="shared" si="80"/>
        <v>34688.29</v>
      </c>
      <c r="J392">
        <v>12</v>
      </c>
      <c r="K392">
        <v>6.55</v>
      </c>
      <c r="L392">
        <v>2</v>
      </c>
      <c r="M392">
        <f t="shared" si="81"/>
        <v>2</v>
      </c>
      <c r="N392">
        <v>13</v>
      </c>
      <c r="O392">
        <f t="shared" si="82"/>
        <v>13</v>
      </c>
      <c r="P392">
        <v>90</v>
      </c>
      <c r="Q392">
        <f t="shared" si="83"/>
        <v>90</v>
      </c>
      <c r="R392" t="s">
        <v>13</v>
      </c>
      <c r="S392" t="str">
        <f t="shared" si="84"/>
        <v>Performing</v>
      </c>
      <c r="T392" t="s">
        <v>19</v>
      </c>
      <c r="U392" s="3">
        <f t="shared" si="85"/>
        <v>0.43422739264954108</v>
      </c>
      <c r="V392" t="str">
        <f t="shared" si="86"/>
        <v>Stretched</v>
      </c>
      <c r="W392" t="str">
        <f t="shared" si="87"/>
        <v>High Risk</v>
      </c>
      <c r="X392" s="5" t="str">
        <f t="shared" si="88"/>
        <v>High</v>
      </c>
      <c r="Y392" s="5" t="str">
        <f t="shared" si="89"/>
        <v>Medium</v>
      </c>
      <c r="Z392" s="5" t="str">
        <f>IF(B392=120,"NULL",IF(AND(V392="High Stress", W392="High Risk", Y392="Low"),"High Risk : Reject", IF(AND(V392="Healthy", W392="Good",Y392&lt;&gt;"Low"), "Low Risk : Approve", "Medium Risk : Review")))</f>
        <v>Medium Risk : Review</v>
      </c>
      <c r="AA392" s="5" t="str">
        <f t="shared" si="90"/>
        <v>Medium</v>
      </c>
    </row>
    <row r="393" spans="1:27" x14ac:dyDescent="0.2">
      <c r="A393">
        <v>22708</v>
      </c>
      <c r="B393">
        <v>45</v>
      </c>
      <c r="C393">
        <f t="shared" si="78"/>
        <v>45</v>
      </c>
      <c r="D393" t="s">
        <v>27</v>
      </c>
      <c r="E393" t="str">
        <f t="shared" si="79"/>
        <v>Unemployed</v>
      </c>
      <c r="F393">
        <v>5609.82</v>
      </c>
      <c r="G393">
        <f>ABS(Table1[[#This Row],[Monthly_Income]])</f>
        <v>5609.82</v>
      </c>
      <c r="H393">
        <v>23635.34</v>
      </c>
      <c r="I393" s="5">
        <f t="shared" si="80"/>
        <v>23635.34</v>
      </c>
      <c r="J393">
        <v>18</v>
      </c>
      <c r="K393">
        <v>9.42</v>
      </c>
      <c r="L393">
        <v>3</v>
      </c>
      <c r="M393">
        <f t="shared" si="81"/>
        <v>3</v>
      </c>
      <c r="N393">
        <v>6.3</v>
      </c>
      <c r="O393">
        <f t="shared" si="82"/>
        <v>6.3</v>
      </c>
      <c r="P393">
        <v>0</v>
      </c>
      <c r="Q393">
        <f t="shared" si="83"/>
        <v>0</v>
      </c>
      <c r="R393" t="s">
        <v>15</v>
      </c>
      <c r="S393" t="str">
        <f t="shared" si="84"/>
        <v xml:space="preserve">Performing </v>
      </c>
      <c r="T393" t="s">
        <v>22</v>
      </c>
      <c r="U393" s="3">
        <f t="shared" si="85"/>
        <v>0.23406712594066201</v>
      </c>
      <c r="V393" t="str">
        <f t="shared" si="86"/>
        <v>Healthy</v>
      </c>
      <c r="W393" t="str">
        <f t="shared" si="87"/>
        <v>Good</v>
      </c>
      <c r="X393" s="5" t="str">
        <f t="shared" si="88"/>
        <v>Medium</v>
      </c>
      <c r="Y393" s="5" t="str">
        <f t="shared" si="89"/>
        <v>Low</v>
      </c>
      <c r="Z393" s="5" t="str">
        <f>IF(B393=120,"NULL",IF(AND(V393="High Stress", W393="High Risk", Y393="Low"),"High Risk : Reject", IF(AND(V393="Healthy", W393="Good",Y393&lt;&gt;"Low"), "Low Risk : Approve", "Medium Risk : Review")))</f>
        <v>Medium Risk : Review</v>
      </c>
      <c r="AA393" s="5" t="str">
        <f t="shared" si="90"/>
        <v>Medium</v>
      </c>
    </row>
    <row r="394" spans="1:27" x14ac:dyDescent="0.2">
      <c r="A394">
        <v>22413</v>
      </c>
      <c r="B394">
        <v>59</v>
      </c>
      <c r="C394">
        <f t="shared" si="78"/>
        <v>59</v>
      </c>
      <c r="D394" t="s">
        <v>27</v>
      </c>
      <c r="E394" t="str">
        <f t="shared" si="79"/>
        <v>Unemployed</v>
      </c>
      <c r="F394">
        <v>6993.31</v>
      </c>
      <c r="G394">
        <f>ABS(Table1[[#This Row],[Monthly_Income]])</f>
        <v>6993.31</v>
      </c>
      <c r="H394">
        <v>35540.480000000003</v>
      </c>
      <c r="I394" s="5">
        <f t="shared" si="80"/>
        <v>35540.480000000003</v>
      </c>
      <c r="J394">
        <v>18</v>
      </c>
      <c r="K394">
        <v>16.87</v>
      </c>
      <c r="L394">
        <v>1</v>
      </c>
      <c r="M394">
        <f t="shared" si="81"/>
        <v>1</v>
      </c>
      <c r="N394">
        <v>12.8</v>
      </c>
      <c r="O394">
        <f t="shared" si="82"/>
        <v>12.8</v>
      </c>
      <c r="P394">
        <v>90</v>
      </c>
      <c r="Q394">
        <f t="shared" si="83"/>
        <v>90</v>
      </c>
      <c r="R394" t="s">
        <v>15</v>
      </c>
      <c r="S394" t="str">
        <f t="shared" si="84"/>
        <v xml:space="preserve">Performing </v>
      </c>
      <c r="T394" t="s">
        <v>22</v>
      </c>
      <c r="U394" s="3">
        <f t="shared" si="85"/>
        <v>0.28233713522081977</v>
      </c>
      <c r="V394" t="str">
        <f t="shared" si="86"/>
        <v>Healthy</v>
      </c>
      <c r="W394" t="str">
        <f t="shared" si="87"/>
        <v>High Risk</v>
      </c>
      <c r="X394" s="5" t="str">
        <f t="shared" si="88"/>
        <v>High</v>
      </c>
      <c r="Y394" s="5" t="str">
        <f t="shared" si="89"/>
        <v>Low</v>
      </c>
      <c r="Z394" s="5" t="str">
        <f>IF(B394=120,"NULL",IF(AND(V394="High Stress", W394="High Risk", Y394="Low"),"High Risk : Reject", IF(AND(V394="Healthy", W394="Good",Y394&lt;&gt;"Low"), "Low Risk : Approve", "Medium Risk : Review")))</f>
        <v>Medium Risk : Review</v>
      </c>
      <c r="AA394" s="5" t="str">
        <f t="shared" si="90"/>
        <v>Medium</v>
      </c>
    </row>
    <row r="395" spans="1:27" x14ac:dyDescent="0.2">
      <c r="A395">
        <v>23386</v>
      </c>
      <c r="B395">
        <v>21</v>
      </c>
      <c r="C395">
        <f t="shared" si="78"/>
        <v>21</v>
      </c>
      <c r="D395" t="s">
        <v>27</v>
      </c>
      <c r="E395" t="str">
        <f t="shared" si="79"/>
        <v>Unemployed</v>
      </c>
      <c r="F395">
        <v>7578.16</v>
      </c>
      <c r="G395">
        <f>ABS(Table1[[#This Row],[Monthly_Income]])</f>
        <v>7578.16</v>
      </c>
      <c r="H395">
        <v>19957.75</v>
      </c>
      <c r="I395" s="5">
        <f t="shared" si="80"/>
        <v>19957.75</v>
      </c>
      <c r="J395">
        <v>36</v>
      </c>
      <c r="K395">
        <v>13.65</v>
      </c>
      <c r="L395">
        <v>3</v>
      </c>
      <c r="M395">
        <f t="shared" si="81"/>
        <v>3</v>
      </c>
      <c r="N395">
        <v>0.9</v>
      </c>
      <c r="O395">
        <f t="shared" si="82"/>
        <v>0.9</v>
      </c>
      <c r="P395">
        <v>60</v>
      </c>
      <c r="Q395">
        <f t="shared" si="83"/>
        <v>60</v>
      </c>
      <c r="R395" t="s">
        <v>18</v>
      </c>
      <c r="S395" t="str">
        <f t="shared" si="84"/>
        <v>Non-Performing</v>
      </c>
      <c r="T395" t="s">
        <v>22</v>
      </c>
      <c r="U395" s="3">
        <f t="shared" si="85"/>
        <v>7.3155217684034698E-2</v>
      </c>
      <c r="V395" t="str">
        <f t="shared" si="86"/>
        <v>Healthy</v>
      </c>
      <c r="W395" t="str">
        <f t="shared" si="87"/>
        <v>High Risk</v>
      </c>
      <c r="X395" s="5" t="str">
        <f t="shared" si="88"/>
        <v>Medium</v>
      </c>
      <c r="Y395" s="5" t="str">
        <f t="shared" si="89"/>
        <v>Low</v>
      </c>
      <c r="Z395" s="5" t="str">
        <f>IF(B395=120,"NULL",IF(AND(V395="High Stress", W395="High Risk", Y395="Low"),"High Risk : Reject", IF(AND(V395="Healthy", W395="Good",Y395&lt;&gt;"Low"), "Low Risk : Approve", "Medium Risk : Review")))</f>
        <v>Medium Risk : Review</v>
      </c>
      <c r="AA395" s="5" t="str">
        <f t="shared" si="90"/>
        <v>Medium</v>
      </c>
    </row>
    <row r="396" spans="1:27" x14ac:dyDescent="0.2">
      <c r="A396">
        <v>22543</v>
      </c>
      <c r="B396">
        <v>21</v>
      </c>
      <c r="C396">
        <f t="shared" si="78"/>
        <v>21</v>
      </c>
      <c r="D396" t="s">
        <v>26</v>
      </c>
      <c r="E396" t="str">
        <f t="shared" si="79"/>
        <v>Salaried</v>
      </c>
      <c r="F396">
        <v>9625.2099999999991</v>
      </c>
      <c r="G396">
        <f>ABS(Table1[[#This Row],[Monthly_Income]])</f>
        <v>9625.2099999999991</v>
      </c>
      <c r="H396">
        <v>25382.28</v>
      </c>
      <c r="I396" s="5">
        <f t="shared" si="80"/>
        <v>25382.28</v>
      </c>
      <c r="J396">
        <v>36</v>
      </c>
      <c r="K396">
        <v>12.92</v>
      </c>
      <c r="L396">
        <v>2</v>
      </c>
      <c r="M396">
        <f t="shared" si="81"/>
        <v>2</v>
      </c>
      <c r="N396">
        <v>4.0999999999999996</v>
      </c>
      <c r="O396">
        <f t="shared" si="82"/>
        <v>4.0999999999999996</v>
      </c>
      <c r="P396">
        <v>0</v>
      </c>
      <c r="Q396">
        <f t="shared" si="83"/>
        <v>0</v>
      </c>
      <c r="R396" t="s">
        <v>13</v>
      </c>
      <c r="S396" t="str">
        <f t="shared" si="84"/>
        <v>Performing</v>
      </c>
      <c r="T396" t="s">
        <v>14</v>
      </c>
      <c r="U396" s="3">
        <f t="shared" si="85"/>
        <v>7.3251735113658137E-2</v>
      </c>
      <c r="V396" t="str">
        <f t="shared" si="86"/>
        <v>Healthy</v>
      </c>
      <c r="W396" t="str">
        <f t="shared" si="87"/>
        <v>Good</v>
      </c>
      <c r="X396" s="5" t="str">
        <f t="shared" si="88"/>
        <v>Medium</v>
      </c>
      <c r="Y396" s="5" t="str">
        <f t="shared" si="89"/>
        <v>High</v>
      </c>
      <c r="Z396" s="5" t="str">
        <f>IF(B396=120,"NULL",IF(AND(V396="High Stress", W396="High Risk", Y396="Low"),"High Risk : Reject", IF(AND(V396="Healthy", W396="Good",Y396&lt;&gt;"Low"), "Low Risk : Approve", "Medium Risk : Review")))</f>
        <v>Low Risk : Approve</v>
      </c>
      <c r="AA396" s="5" t="str">
        <f t="shared" si="90"/>
        <v>High</v>
      </c>
    </row>
    <row r="397" spans="1:27" x14ac:dyDescent="0.2">
      <c r="A397">
        <v>20344</v>
      </c>
      <c r="B397">
        <v>46</v>
      </c>
      <c r="C397">
        <f t="shared" si="78"/>
        <v>46</v>
      </c>
      <c r="D397" t="s">
        <v>17</v>
      </c>
      <c r="E397" t="str">
        <f t="shared" si="79"/>
        <v>Contract</v>
      </c>
      <c r="F397">
        <v>6481.59</v>
      </c>
      <c r="G397">
        <f>ABS(Table1[[#This Row],[Monthly_Income]])</f>
        <v>6481.59</v>
      </c>
      <c r="H397">
        <v>16987.669999999998</v>
      </c>
      <c r="I397" s="5">
        <f t="shared" si="80"/>
        <v>16987.669999999998</v>
      </c>
      <c r="J397">
        <v>48</v>
      </c>
      <c r="K397">
        <v>15.35</v>
      </c>
      <c r="L397">
        <v>0</v>
      </c>
      <c r="M397">
        <f t="shared" si="81"/>
        <v>0</v>
      </c>
      <c r="N397">
        <v>15.1</v>
      </c>
      <c r="O397">
        <f t="shared" si="82"/>
        <v>15.1</v>
      </c>
      <c r="P397">
        <v>60</v>
      </c>
      <c r="Q397">
        <f t="shared" si="83"/>
        <v>60</v>
      </c>
      <c r="R397" t="s">
        <v>13</v>
      </c>
      <c r="S397" t="str">
        <f t="shared" si="84"/>
        <v>Performing</v>
      </c>
      <c r="T397" t="s">
        <v>22</v>
      </c>
      <c r="U397" s="3">
        <f t="shared" si="85"/>
        <v>5.4602310801310575E-2</v>
      </c>
      <c r="V397" t="str">
        <f t="shared" si="86"/>
        <v>Healthy</v>
      </c>
      <c r="W397" t="str">
        <f t="shared" si="87"/>
        <v>High Risk</v>
      </c>
      <c r="X397" s="5" t="str">
        <f t="shared" si="88"/>
        <v>Medium</v>
      </c>
      <c r="Y397" s="5" t="str">
        <f t="shared" si="89"/>
        <v>Low</v>
      </c>
      <c r="Z397" s="5" t="str">
        <f>IF(B397=120,"NULL",IF(AND(V397="High Stress", W397="High Risk", Y397="Low"),"High Risk : Reject", IF(AND(V397="Healthy", W397="Good",Y397&lt;&gt;"Low"), "Low Risk : Approve", "Medium Risk : Review")))</f>
        <v>Medium Risk : Review</v>
      </c>
      <c r="AA397" s="5" t="str">
        <f t="shared" si="90"/>
        <v>Medium</v>
      </c>
    </row>
    <row r="398" spans="1:27" x14ac:dyDescent="0.2">
      <c r="A398">
        <v>25702</v>
      </c>
      <c r="B398">
        <v>30</v>
      </c>
      <c r="C398">
        <f t="shared" si="78"/>
        <v>30</v>
      </c>
      <c r="D398" t="s">
        <v>27</v>
      </c>
      <c r="E398" t="str">
        <f t="shared" si="79"/>
        <v>Unemployed</v>
      </c>
      <c r="F398">
        <v>5227.03</v>
      </c>
      <c r="G398">
        <f>ABS(Table1[[#This Row],[Monthly_Income]])</f>
        <v>5227.03</v>
      </c>
      <c r="H398">
        <v>27897.14</v>
      </c>
      <c r="I398" s="5">
        <f t="shared" si="80"/>
        <v>27897.14</v>
      </c>
      <c r="J398">
        <v>36</v>
      </c>
      <c r="K398">
        <v>12.43</v>
      </c>
      <c r="L398">
        <v>3</v>
      </c>
      <c r="M398">
        <f t="shared" si="81"/>
        <v>3</v>
      </c>
      <c r="N398">
        <v>4.9000000000000004</v>
      </c>
      <c r="O398">
        <f t="shared" si="82"/>
        <v>4.9000000000000004</v>
      </c>
      <c r="P398">
        <v>30</v>
      </c>
      <c r="Q398">
        <f t="shared" si="83"/>
        <v>30</v>
      </c>
      <c r="R398" t="s">
        <v>18</v>
      </c>
      <c r="S398" t="str">
        <f t="shared" si="84"/>
        <v>Non-Performing</v>
      </c>
      <c r="T398" t="s">
        <v>16</v>
      </c>
      <c r="U398" s="3">
        <f t="shared" si="85"/>
        <v>0.14825255557277375</v>
      </c>
      <c r="V398" t="str">
        <f t="shared" si="86"/>
        <v>Healthy</v>
      </c>
      <c r="W398" t="str">
        <f t="shared" si="87"/>
        <v>At Risk</v>
      </c>
      <c r="X398" s="5" t="str">
        <f t="shared" si="88"/>
        <v>Medium</v>
      </c>
      <c r="Y398" s="5" t="str">
        <f t="shared" si="89"/>
        <v>Low</v>
      </c>
      <c r="Z398" s="5" t="str">
        <f>IF(B398=120,"NULL",IF(AND(V398="High Stress", W398="High Risk", Y398="Low"),"High Risk : Reject", IF(AND(V398="Healthy", W398="Good",Y398&lt;&gt;"Low"), "Low Risk : Approve", "Medium Risk : Review")))</f>
        <v>Medium Risk : Review</v>
      </c>
      <c r="AA398" s="5" t="str">
        <f t="shared" si="90"/>
        <v>Medium</v>
      </c>
    </row>
    <row r="399" spans="1:27" x14ac:dyDescent="0.2">
      <c r="A399">
        <v>25849</v>
      </c>
      <c r="B399">
        <v>58</v>
      </c>
      <c r="C399">
        <f t="shared" si="78"/>
        <v>58</v>
      </c>
      <c r="D399" t="s">
        <v>21</v>
      </c>
      <c r="E399" t="str">
        <f t="shared" si="79"/>
        <v>Salaried</v>
      </c>
      <c r="F399">
        <v>4998.67</v>
      </c>
      <c r="G399">
        <f>ABS(Table1[[#This Row],[Monthly_Income]])</f>
        <v>4998.67</v>
      </c>
      <c r="H399">
        <v>18683.14</v>
      </c>
      <c r="I399" s="5">
        <f t="shared" si="80"/>
        <v>18683.14</v>
      </c>
      <c r="J399">
        <v>36</v>
      </c>
      <c r="K399">
        <v>15.6</v>
      </c>
      <c r="L399">
        <v>4</v>
      </c>
      <c r="M399">
        <f t="shared" si="81"/>
        <v>4</v>
      </c>
      <c r="N399">
        <v>7.3</v>
      </c>
      <c r="O399">
        <f t="shared" si="82"/>
        <v>7.3</v>
      </c>
      <c r="P399">
        <v>90</v>
      </c>
      <c r="Q399">
        <f t="shared" si="83"/>
        <v>90</v>
      </c>
      <c r="R399" t="s">
        <v>15</v>
      </c>
      <c r="S399" t="str">
        <f t="shared" si="84"/>
        <v xml:space="preserve">Performing </v>
      </c>
      <c r="T399" t="s">
        <v>16</v>
      </c>
      <c r="U399" s="3">
        <f t="shared" si="85"/>
        <v>0.10382283909742214</v>
      </c>
      <c r="V399" t="str">
        <f t="shared" si="86"/>
        <v>Healthy</v>
      </c>
      <c r="W399" t="str">
        <f t="shared" si="87"/>
        <v>High Risk</v>
      </c>
      <c r="X399" s="5" t="str">
        <f t="shared" si="88"/>
        <v>Medium</v>
      </c>
      <c r="Y399" s="5" t="str">
        <f t="shared" si="89"/>
        <v>High</v>
      </c>
      <c r="Z399" s="5" t="str">
        <f>IF(B399=120,"NULL",IF(AND(V399="High Stress", W399="High Risk", Y399="Low"),"High Risk : Reject", IF(AND(V399="Healthy", W399="Good",Y399&lt;&gt;"Low"), "Low Risk : Approve", "Medium Risk : Review")))</f>
        <v>Medium Risk : Review</v>
      </c>
      <c r="AA399" s="5" t="str">
        <f t="shared" si="90"/>
        <v>Medium</v>
      </c>
    </row>
    <row r="400" spans="1:27" x14ac:dyDescent="0.2">
      <c r="A400">
        <v>21563</v>
      </c>
      <c r="B400">
        <v>47</v>
      </c>
      <c r="C400">
        <f t="shared" si="78"/>
        <v>47</v>
      </c>
      <c r="D400" t="s">
        <v>17</v>
      </c>
      <c r="E400" t="str">
        <f t="shared" si="79"/>
        <v>Contract</v>
      </c>
      <c r="F400">
        <v>10467.98</v>
      </c>
      <c r="G400">
        <f>ABS(Table1[[#This Row],[Monthly_Income]])</f>
        <v>10467.98</v>
      </c>
      <c r="H400">
        <v>23590.1</v>
      </c>
      <c r="I400" s="5">
        <f t="shared" si="80"/>
        <v>23590.1</v>
      </c>
      <c r="J400">
        <v>24</v>
      </c>
      <c r="K400">
        <v>19.03</v>
      </c>
      <c r="M400" t="str">
        <f t="shared" si="81"/>
        <v>NULL</v>
      </c>
      <c r="N400">
        <v>5.4</v>
      </c>
      <c r="O400">
        <f t="shared" si="82"/>
        <v>5.4</v>
      </c>
      <c r="P400">
        <v>0</v>
      </c>
      <c r="Q400">
        <f t="shared" si="83"/>
        <v>0</v>
      </c>
      <c r="R400" t="s">
        <v>20</v>
      </c>
      <c r="S400" t="str">
        <f t="shared" si="84"/>
        <v>Written Off</v>
      </c>
      <c r="T400" t="s">
        <v>25</v>
      </c>
      <c r="U400" s="3">
        <f t="shared" si="85"/>
        <v>9.3897851670841304E-2</v>
      </c>
      <c r="V400" t="str">
        <f t="shared" si="86"/>
        <v>Healthy</v>
      </c>
      <c r="W400" t="str">
        <f t="shared" si="87"/>
        <v>Good</v>
      </c>
      <c r="X400" s="5" t="str">
        <f t="shared" si="88"/>
        <v>Medium</v>
      </c>
      <c r="Y400" s="5" t="str">
        <f t="shared" si="89"/>
        <v>Low</v>
      </c>
      <c r="Z400" s="5" t="str">
        <f>IF(B400=120,"NULL",IF(AND(V400="High Stress", W400="High Risk", Y400="Low"),"High Risk : Reject", IF(AND(V400="Healthy", W400="Good",Y400&lt;&gt;"Low"), "Low Risk : Approve", "Medium Risk : Review")))</f>
        <v>Medium Risk : Review</v>
      </c>
      <c r="AA400" s="5" t="str">
        <f t="shared" si="90"/>
        <v>High</v>
      </c>
    </row>
    <row r="401" spans="1:27" x14ac:dyDescent="0.2">
      <c r="A401">
        <v>21526</v>
      </c>
      <c r="B401">
        <v>18</v>
      </c>
      <c r="C401">
        <f t="shared" si="78"/>
        <v>18</v>
      </c>
      <c r="D401" t="s">
        <v>23</v>
      </c>
      <c r="E401" t="str">
        <f t="shared" si="79"/>
        <v>Self-Employed</v>
      </c>
      <c r="F401">
        <v>9397.16</v>
      </c>
      <c r="G401">
        <f>ABS(Table1[[#This Row],[Monthly_Income]])</f>
        <v>9397.16</v>
      </c>
      <c r="H401">
        <v>17057.580000000002</v>
      </c>
      <c r="I401" s="5">
        <f t="shared" si="80"/>
        <v>17057.580000000002</v>
      </c>
      <c r="J401">
        <v>6</v>
      </c>
      <c r="K401">
        <v>27.05</v>
      </c>
      <c r="L401">
        <v>3</v>
      </c>
      <c r="M401">
        <f t="shared" si="81"/>
        <v>3</v>
      </c>
      <c r="N401">
        <v>3</v>
      </c>
      <c r="O401">
        <f t="shared" si="82"/>
        <v>3</v>
      </c>
      <c r="P401">
        <v>60</v>
      </c>
      <c r="Q401">
        <f t="shared" si="83"/>
        <v>60</v>
      </c>
      <c r="R401" t="s">
        <v>18</v>
      </c>
      <c r="S401" t="str">
        <f t="shared" si="84"/>
        <v>Non-Performing</v>
      </c>
      <c r="T401" t="s">
        <v>14</v>
      </c>
      <c r="U401" s="3">
        <f t="shared" si="85"/>
        <v>0.30253076461398981</v>
      </c>
      <c r="V401" t="str">
        <f t="shared" si="86"/>
        <v>Stretched</v>
      </c>
      <c r="W401" t="str">
        <f t="shared" si="87"/>
        <v>High Risk</v>
      </c>
      <c r="X401" s="5" t="str">
        <f t="shared" si="88"/>
        <v>Medium</v>
      </c>
      <c r="Y401" s="5" t="str">
        <f t="shared" si="89"/>
        <v>Medium</v>
      </c>
      <c r="Z401" s="5" t="str">
        <f>IF(B401=120,"NULL",IF(AND(V401="High Stress", W401="High Risk", Y401="Low"),"High Risk : Reject", IF(AND(V401="Healthy", W401="Good",Y401&lt;&gt;"Low"), "Low Risk : Approve", "Medium Risk : Review")))</f>
        <v>Medium Risk : Review</v>
      </c>
      <c r="AA401" s="5" t="str">
        <f t="shared" si="90"/>
        <v>High</v>
      </c>
    </row>
    <row r="402" spans="1:27" x14ac:dyDescent="0.2">
      <c r="A402">
        <v>25411</v>
      </c>
      <c r="B402">
        <v>55</v>
      </c>
      <c r="C402">
        <f t="shared" si="78"/>
        <v>55</v>
      </c>
      <c r="D402" t="s">
        <v>27</v>
      </c>
      <c r="E402" t="str">
        <f t="shared" si="79"/>
        <v>Unemployed</v>
      </c>
      <c r="F402">
        <v>5319.43</v>
      </c>
      <c r="G402">
        <f>ABS(Table1[[#This Row],[Monthly_Income]])</f>
        <v>5319.43</v>
      </c>
      <c r="H402">
        <v>27090.76</v>
      </c>
      <c r="I402" s="5">
        <f t="shared" si="80"/>
        <v>27090.76</v>
      </c>
      <c r="J402">
        <v>24</v>
      </c>
      <c r="K402">
        <v>19.489999999999998</v>
      </c>
      <c r="L402">
        <v>2</v>
      </c>
      <c r="M402">
        <f t="shared" si="81"/>
        <v>2</v>
      </c>
      <c r="N402">
        <v>6</v>
      </c>
      <c r="O402">
        <f t="shared" si="82"/>
        <v>6</v>
      </c>
      <c r="P402">
        <v>0</v>
      </c>
      <c r="Q402">
        <f t="shared" si="83"/>
        <v>0</v>
      </c>
      <c r="R402" t="s">
        <v>15</v>
      </c>
      <c r="S402" t="str">
        <f t="shared" si="84"/>
        <v xml:space="preserve">Performing </v>
      </c>
      <c r="T402" t="s">
        <v>25</v>
      </c>
      <c r="U402" s="3">
        <f t="shared" si="85"/>
        <v>0.21219974069903477</v>
      </c>
      <c r="V402" t="str">
        <f t="shared" si="86"/>
        <v>Healthy</v>
      </c>
      <c r="W402" t="str">
        <f t="shared" si="87"/>
        <v>Good</v>
      </c>
      <c r="X402" s="5" t="str">
        <f t="shared" si="88"/>
        <v>Medium</v>
      </c>
      <c r="Y402" s="5" t="str">
        <f t="shared" si="89"/>
        <v>Low</v>
      </c>
      <c r="Z402" s="5" t="str">
        <f>IF(B402=120,"NULL",IF(AND(V402="High Stress", W402="High Risk", Y402="Low"),"High Risk : Reject", IF(AND(V402="Healthy", W402="Good",Y402&lt;&gt;"Low"), "Low Risk : Approve", "Medium Risk : Review")))</f>
        <v>Medium Risk : Review</v>
      </c>
      <c r="AA402" s="5" t="str">
        <f t="shared" si="90"/>
        <v>Medium</v>
      </c>
    </row>
    <row r="403" spans="1:27" x14ac:dyDescent="0.2">
      <c r="A403">
        <v>22641</v>
      </c>
      <c r="B403">
        <v>30</v>
      </c>
      <c r="C403">
        <f t="shared" si="78"/>
        <v>30</v>
      </c>
      <c r="D403" t="s">
        <v>12</v>
      </c>
      <c r="E403" t="str">
        <f t="shared" si="79"/>
        <v>Self-Employed</v>
      </c>
      <c r="F403">
        <v>6025.68</v>
      </c>
      <c r="G403">
        <f>ABS(Table1[[#This Row],[Monthly_Income]])</f>
        <v>6025.68</v>
      </c>
      <c r="H403">
        <v>22545.56</v>
      </c>
      <c r="I403" s="5">
        <f t="shared" si="80"/>
        <v>22545.56</v>
      </c>
      <c r="J403">
        <v>24</v>
      </c>
      <c r="K403">
        <v>19.82</v>
      </c>
      <c r="M403" t="str">
        <f t="shared" si="81"/>
        <v>NULL</v>
      </c>
      <c r="N403">
        <v>8.9</v>
      </c>
      <c r="O403">
        <f t="shared" si="82"/>
        <v>8.9</v>
      </c>
      <c r="P403">
        <v>0</v>
      </c>
      <c r="Q403">
        <f t="shared" si="83"/>
        <v>0</v>
      </c>
      <c r="R403" t="s">
        <v>15</v>
      </c>
      <c r="S403" t="str">
        <f t="shared" si="84"/>
        <v xml:space="preserve">Performing </v>
      </c>
      <c r="T403" t="s">
        <v>22</v>
      </c>
      <c r="U403" s="3">
        <f t="shared" si="85"/>
        <v>0.15589914056726101</v>
      </c>
      <c r="V403" t="str">
        <f t="shared" si="86"/>
        <v>Healthy</v>
      </c>
      <c r="W403" t="str">
        <f t="shared" si="87"/>
        <v>Good</v>
      </c>
      <c r="X403" s="5" t="str">
        <f t="shared" si="88"/>
        <v>Medium</v>
      </c>
      <c r="Y403" s="5" t="str">
        <f t="shared" si="89"/>
        <v>Medium</v>
      </c>
      <c r="Z403" s="5" t="str">
        <f>IF(B403=120,"NULL",IF(AND(V403="High Stress", W403="High Risk", Y403="Low"),"High Risk : Reject", IF(AND(V403="Healthy", W403="Good",Y403&lt;&gt;"Low"), "Low Risk : Approve", "Medium Risk : Review")))</f>
        <v>Low Risk : Approve</v>
      </c>
      <c r="AA403" s="5" t="str">
        <f t="shared" si="90"/>
        <v>Medium</v>
      </c>
    </row>
    <row r="404" spans="1:27" x14ac:dyDescent="0.2">
      <c r="A404">
        <v>25930</v>
      </c>
      <c r="B404">
        <v>40</v>
      </c>
      <c r="C404">
        <f t="shared" si="78"/>
        <v>40</v>
      </c>
      <c r="D404" t="s">
        <v>27</v>
      </c>
      <c r="E404" t="str">
        <f t="shared" si="79"/>
        <v>Unemployed</v>
      </c>
      <c r="F404">
        <v>2129</v>
      </c>
      <c r="G404">
        <f>ABS(Table1[[#This Row],[Monthly_Income]])</f>
        <v>2129</v>
      </c>
      <c r="H404">
        <v>18982.099999999999</v>
      </c>
      <c r="I404" s="5">
        <f t="shared" si="80"/>
        <v>18982.099999999999</v>
      </c>
      <c r="J404">
        <v>60</v>
      </c>
      <c r="K404">
        <v>17.87</v>
      </c>
      <c r="L404">
        <v>4</v>
      </c>
      <c r="M404">
        <f t="shared" si="81"/>
        <v>4</v>
      </c>
      <c r="N404">
        <v>4</v>
      </c>
      <c r="O404">
        <f t="shared" si="82"/>
        <v>4</v>
      </c>
      <c r="P404">
        <v>90</v>
      </c>
      <c r="Q404">
        <f t="shared" si="83"/>
        <v>90</v>
      </c>
      <c r="R404" t="s">
        <v>15</v>
      </c>
      <c r="S404" t="str">
        <f t="shared" si="84"/>
        <v xml:space="preserve">Performing </v>
      </c>
      <c r="T404" t="s">
        <v>25</v>
      </c>
      <c r="U404" s="3">
        <f t="shared" si="85"/>
        <v>0.14859949898230781</v>
      </c>
      <c r="V404" t="str">
        <f t="shared" si="86"/>
        <v>Healthy</v>
      </c>
      <c r="W404" t="str">
        <f t="shared" si="87"/>
        <v>High Risk</v>
      </c>
      <c r="X404" s="5" t="str">
        <f t="shared" si="88"/>
        <v>Medium</v>
      </c>
      <c r="Y404" s="5" t="str">
        <f t="shared" si="89"/>
        <v>Low</v>
      </c>
      <c r="Z404" s="5" t="str">
        <f>IF(B404=120,"NULL",IF(AND(V404="High Stress", W404="High Risk", Y404="Low"),"High Risk : Reject", IF(AND(V404="Healthy", W404="Good",Y404&lt;&gt;"Low"), "Low Risk : Approve", "Medium Risk : Review")))</f>
        <v>Medium Risk : Review</v>
      </c>
      <c r="AA404" s="5" t="str">
        <f t="shared" si="90"/>
        <v>Medium</v>
      </c>
    </row>
    <row r="405" spans="1:27" x14ac:dyDescent="0.2">
      <c r="A405">
        <v>23924</v>
      </c>
      <c r="B405">
        <v>58</v>
      </c>
      <c r="C405">
        <f t="shared" si="78"/>
        <v>58</v>
      </c>
      <c r="D405" t="s">
        <v>12</v>
      </c>
      <c r="E405" t="str">
        <f t="shared" si="79"/>
        <v>Self-Employed</v>
      </c>
      <c r="F405">
        <v>1669.73</v>
      </c>
      <c r="G405">
        <f>ABS(Table1[[#This Row],[Monthly_Income]])</f>
        <v>1669.73</v>
      </c>
      <c r="H405">
        <v>24444.03</v>
      </c>
      <c r="I405" s="5">
        <f t="shared" si="80"/>
        <v>24444.03</v>
      </c>
      <c r="J405">
        <v>60</v>
      </c>
      <c r="K405">
        <v>18.88</v>
      </c>
      <c r="L405">
        <v>0</v>
      </c>
      <c r="M405">
        <f t="shared" si="81"/>
        <v>0</v>
      </c>
      <c r="N405">
        <v>7.6</v>
      </c>
      <c r="O405">
        <f t="shared" si="82"/>
        <v>7.6</v>
      </c>
      <c r="P405">
        <v>15</v>
      </c>
      <c r="Q405">
        <f t="shared" si="83"/>
        <v>15</v>
      </c>
      <c r="R405" t="s">
        <v>18</v>
      </c>
      <c r="S405" t="str">
        <f t="shared" si="84"/>
        <v>Non-Performing</v>
      </c>
      <c r="T405" t="s">
        <v>14</v>
      </c>
      <c r="U405" s="3">
        <f t="shared" si="85"/>
        <v>0.24399184299257962</v>
      </c>
      <c r="V405" t="str">
        <f t="shared" si="86"/>
        <v>Healthy</v>
      </c>
      <c r="W405" t="str">
        <f t="shared" si="87"/>
        <v>Good</v>
      </c>
      <c r="X405" s="5" t="str">
        <f t="shared" si="88"/>
        <v>Medium</v>
      </c>
      <c r="Y405" s="5" t="str">
        <f t="shared" si="89"/>
        <v>Medium</v>
      </c>
      <c r="Z405" s="5" t="str">
        <f>IF(B405=120,"NULL",IF(AND(V405="High Stress", W405="High Risk", Y405="Low"),"High Risk : Reject", IF(AND(V405="Healthy", W405="Good",Y405&lt;&gt;"Low"), "Low Risk : Approve", "Medium Risk : Review")))</f>
        <v>Low Risk : Approve</v>
      </c>
      <c r="AA405" s="5" t="str">
        <f t="shared" si="90"/>
        <v>Low</v>
      </c>
    </row>
    <row r="406" spans="1:27" x14ac:dyDescent="0.2">
      <c r="A406">
        <v>21827</v>
      </c>
      <c r="B406">
        <v>37</v>
      </c>
      <c r="C406">
        <f t="shared" si="78"/>
        <v>37</v>
      </c>
      <c r="D406" t="s">
        <v>26</v>
      </c>
      <c r="E406" t="str">
        <f t="shared" si="79"/>
        <v>Salaried</v>
      </c>
      <c r="F406">
        <v>8465.2000000000007</v>
      </c>
      <c r="G406">
        <f>ABS(Table1[[#This Row],[Monthly_Income]])</f>
        <v>8465.2000000000007</v>
      </c>
      <c r="H406">
        <v>29504.75</v>
      </c>
      <c r="I406" s="5">
        <f t="shared" si="80"/>
        <v>29504.75</v>
      </c>
      <c r="J406">
        <v>18</v>
      </c>
      <c r="K406">
        <v>19.11</v>
      </c>
      <c r="M406" t="str">
        <f t="shared" si="81"/>
        <v>NULL</v>
      </c>
      <c r="N406">
        <v>7.5</v>
      </c>
      <c r="O406">
        <f t="shared" si="82"/>
        <v>7.5</v>
      </c>
      <c r="P406">
        <v>60</v>
      </c>
      <c r="Q406">
        <f t="shared" si="83"/>
        <v>60</v>
      </c>
      <c r="R406" t="s">
        <v>13</v>
      </c>
      <c r="S406" t="str">
        <f t="shared" si="84"/>
        <v>Performing</v>
      </c>
      <c r="T406" t="s">
        <v>19</v>
      </c>
      <c r="U406" s="3">
        <f t="shared" si="85"/>
        <v>0.19363426472827314</v>
      </c>
      <c r="V406" t="str">
        <f t="shared" si="86"/>
        <v>Healthy</v>
      </c>
      <c r="W406" t="str">
        <f t="shared" si="87"/>
        <v>High Risk</v>
      </c>
      <c r="X406" s="5" t="str">
        <f t="shared" si="88"/>
        <v>Medium</v>
      </c>
      <c r="Y406" s="5" t="str">
        <f t="shared" si="89"/>
        <v>High</v>
      </c>
      <c r="Z406" s="5" t="str">
        <f>IF(B406=120,"NULL",IF(AND(V406="High Stress", W406="High Risk", Y406="Low"),"High Risk : Reject", IF(AND(V406="Healthy", W406="Good",Y406&lt;&gt;"Low"), "Low Risk : Approve", "Medium Risk : Review")))</f>
        <v>Medium Risk : Review</v>
      </c>
      <c r="AA406" s="5" t="str">
        <f t="shared" si="90"/>
        <v>High</v>
      </c>
    </row>
    <row r="407" spans="1:27" x14ac:dyDescent="0.2">
      <c r="A407">
        <v>23008</v>
      </c>
      <c r="B407">
        <v>42</v>
      </c>
      <c r="C407">
        <f t="shared" si="78"/>
        <v>42</v>
      </c>
      <c r="D407" t="s">
        <v>12</v>
      </c>
      <c r="E407" t="str">
        <f t="shared" si="79"/>
        <v>Self-Employed</v>
      </c>
      <c r="F407">
        <v>2871.78</v>
      </c>
      <c r="G407">
        <f>ABS(Table1[[#This Row],[Monthly_Income]])</f>
        <v>2871.78</v>
      </c>
      <c r="H407">
        <v>37851.199999999997</v>
      </c>
      <c r="I407" s="5">
        <f t="shared" si="80"/>
        <v>37851.199999999997</v>
      </c>
      <c r="J407">
        <v>12</v>
      </c>
      <c r="K407">
        <v>19.21</v>
      </c>
      <c r="L407">
        <v>0</v>
      </c>
      <c r="M407">
        <f t="shared" si="81"/>
        <v>0</v>
      </c>
      <c r="N407">
        <v>4.7</v>
      </c>
      <c r="O407">
        <f t="shared" si="82"/>
        <v>4.7</v>
      </c>
      <c r="Q407" t="str">
        <f t="shared" si="83"/>
        <v>NULL</v>
      </c>
      <c r="R407" t="s">
        <v>20</v>
      </c>
      <c r="S407" t="str">
        <f t="shared" si="84"/>
        <v>Written Off</v>
      </c>
      <c r="T407" t="s">
        <v>14</v>
      </c>
      <c r="U407" s="3">
        <f t="shared" si="85"/>
        <v>1.0983664022545829</v>
      </c>
      <c r="V407" t="str">
        <f t="shared" si="86"/>
        <v>High Stress</v>
      </c>
      <c r="W407" t="str">
        <f t="shared" si="87"/>
        <v>NULL</v>
      </c>
      <c r="X407" s="5" t="str">
        <f t="shared" si="88"/>
        <v>High</v>
      </c>
      <c r="Y407" s="5" t="str">
        <f t="shared" si="89"/>
        <v>Medium</v>
      </c>
      <c r="Z407" s="5" t="str">
        <f>IF(B407=120,"NULL",IF(AND(V407="High Stress", W407="High Risk", Y407="Low"),"High Risk : Reject", IF(AND(V407="Healthy", W407="Good",Y407&lt;&gt;"Low"), "Low Risk : Approve", "Medium Risk : Review")))</f>
        <v>Medium Risk : Review</v>
      </c>
      <c r="AA407" s="5" t="str">
        <f t="shared" si="90"/>
        <v>Medium</v>
      </c>
    </row>
    <row r="408" spans="1:27" x14ac:dyDescent="0.2">
      <c r="A408">
        <v>22891</v>
      </c>
      <c r="B408">
        <v>51</v>
      </c>
      <c r="C408">
        <f t="shared" si="78"/>
        <v>51</v>
      </c>
      <c r="D408" t="s">
        <v>17</v>
      </c>
      <c r="E408" t="str">
        <f t="shared" si="79"/>
        <v>Contract</v>
      </c>
      <c r="F408">
        <v>3123.88</v>
      </c>
      <c r="G408">
        <f>ABS(Table1[[#This Row],[Monthly_Income]])</f>
        <v>3123.88</v>
      </c>
      <c r="H408">
        <v>21558.99</v>
      </c>
      <c r="I408" s="5">
        <f t="shared" si="80"/>
        <v>21558.99</v>
      </c>
      <c r="J408">
        <v>60</v>
      </c>
      <c r="K408">
        <v>13.77</v>
      </c>
      <c r="L408">
        <v>3</v>
      </c>
      <c r="M408">
        <f t="shared" si="81"/>
        <v>3</v>
      </c>
      <c r="N408">
        <v>3.2</v>
      </c>
      <c r="O408">
        <f t="shared" si="82"/>
        <v>3.2</v>
      </c>
      <c r="P408">
        <v>30</v>
      </c>
      <c r="Q408">
        <f t="shared" si="83"/>
        <v>30</v>
      </c>
      <c r="R408" t="s">
        <v>13</v>
      </c>
      <c r="S408" t="str">
        <f t="shared" si="84"/>
        <v>Performing</v>
      </c>
      <c r="T408" t="s">
        <v>14</v>
      </c>
      <c r="U408" s="3">
        <f t="shared" si="85"/>
        <v>0.11502250406545705</v>
      </c>
      <c r="V408" t="str">
        <f t="shared" si="86"/>
        <v>Healthy</v>
      </c>
      <c r="W408" t="str">
        <f t="shared" si="87"/>
        <v>At Risk</v>
      </c>
      <c r="X408" s="5" t="str">
        <f t="shared" si="88"/>
        <v>Medium</v>
      </c>
      <c r="Y408" s="5" t="str">
        <f t="shared" si="89"/>
        <v>Low</v>
      </c>
      <c r="Z408" s="5" t="str">
        <f>IF(B408=120,"NULL",IF(AND(V408="High Stress", W408="High Risk", Y408="Low"),"High Risk : Reject", IF(AND(V408="Healthy", W408="Good",Y408&lt;&gt;"Low"), "Low Risk : Approve", "Medium Risk : Review")))</f>
        <v>Medium Risk : Review</v>
      </c>
      <c r="AA408" s="5" t="str">
        <f t="shared" si="90"/>
        <v>Medium</v>
      </c>
    </row>
    <row r="409" spans="1:27" x14ac:dyDescent="0.2">
      <c r="A409">
        <v>22885</v>
      </c>
      <c r="B409">
        <v>64</v>
      </c>
      <c r="C409">
        <f t="shared" si="78"/>
        <v>64</v>
      </c>
      <c r="D409" t="s">
        <v>26</v>
      </c>
      <c r="E409" t="str">
        <f t="shared" si="79"/>
        <v>Salaried</v>
      </c>
      <c r="F409">
        <v>6479.86</v>
      </c>
      <c r="G409">
        <f>ABS(Table1[[#This Row],[Monthly_Income]])</f>
        <v>6479.86</v>
      </c>
      <c r="H409">
        <v>8633.41</v>
      </c>
      <c r="I409" s="5">
        <f t="shared" si="80"/>
        <v>8633.41</v>
      </c>
      <c r="J409">
        <v>48</v>
      </c>
      <c r="K409">
        <v>18.27</v>
      </c>
      <c r="L409">
        <v>2</v>
      </c>
      <c r="M409">
        <f t="shared" si="81"/>
        <v>2</v>
      </c>
      <c r="N409">
        <v>14.4</v>
      </c>
      <c r="O409">
        <f t="shared" si="82"/>
        <v>14.4</v>
      </c>
      <c r="P409">
        <v>0</v>
      </c>
      <c r="Q409">
        <f t="shared" si="83"/>
        <v>0</v>
      </c>
      <c r="R409" t="s">
        <v>24</v>
      </c>
      <c r="S409" t="str">
        <f t="shared" si="84"/>
        <v>Non-Performing</v>
      </c>
      <c r="T409" t="s">
        <v>19</v>
      </c>
      <c r="U409" s="3">
        <f t="shared" si="85"/>
        <v>2.7757190484568085E-2</v>
      </c>
      <c r="V409" t="str">
        <f t="shared" si="86"/>
        <v>Healthy</v>
      </c>
      <c r="W409" t="str">
        <f t="shared" si="87"/>
        <v>Good</v>
      </c>
      <c r="X409" s="5" t="str">
        <f t="shared" si="88"/>
        <v>Small</v>
      </c>
      <c r="Y409" s="5" t="str">
        <f t="shared" si="89"/>
        <v>High</v>
      </c>
      <c r="Z409" s="5" t="str">
        <f>IF(B409=120,"NULL",IF(AND(V409="High Stress", W409="High Risk", Y409="Low"),"High Risk : Reject", IF(AND(V409="Healthy", W409="Good",Y409&lt;&gt;"Low"), "Low Risk : Approve", "Medium Risk : Review")))</f>
        <v>Low Risk : Approve</v>
      </c>
      <c r="AA409" s="5" t="str">
        <f t="shared" si="90"/>
        <v>Medium</v>
      </c>
    </row>
    <row r="410" spans="1:27" x14ac:dyDescent="0.2">
      <c r="A410">
        <v>23268</v>
      </c>
      <c r="B410">
        <v>26</v>
      </c>
      <c r="C410">
        <f t="shared" si="78"/>
        <v>26</v>
      </c>
      <c r="D410" t="s">
        <v>26</v>
      </c>
      <c r="E410" t="str">
        <f t="shared" si="79"/>
        <v>Salaried</v>
      </c>
      <c r="F410">
        <v>7402.13</v>
      </c>
      <c r="G410">
        <f>ABS(Table1[[#This Row],[Monthly_Income]])</f>
        <v>7402.13</v>
      </c>
      <c r="H410">
        <v>20756.900000000001</v>
      </c>
      <c r="I410" s="5">
        <f t="shared" si="80"/>
        <v>20756.900000000001</v>
      </c>
      <c r="J410">
        <v>24</v>
      </c>
      <c r="K410">
        <v>29.66</v>
      </c>
      <c r="L410">
        <v>0</v>
      </c>
      <c r="M410">
        <f t="shared" si="81"/>
        <v>0</v>
      </c>
      <c r="N410">
        <v>10.1</v>
      </c>
      <c r="O410">
        <f t="shared" si="82"/>
        <v>10.1</v>
      </c>
      <c r="P410">
        <v>15</v>
      </c>
      <c r="Q410">
        <f t="shared" si="83"/>
        <v>15</v>
      </c>
      <c r="R410" t="s">
        <v>13</v>
      </c>
      <c r="S410" t="str">
        <f t="shared" si="84"/>
        <v>Performing</v>
      </c>
      <c r="T410" t="s">
        <v>22</v>
      </c>
      <c r="U410" s="3">
        <f t="shared" si="85"/>
        <v>0.11684080573204381</v>
      </c>
      <c r="V410" t="str">
        <f t="shared" si="86"/>
        <v>Healthy</v>
      </c>
      <c r="W410" t="str">
        <f t="shared" si="87"/>
        <v>Good</v>
      </c>
      <c r="X410" s="5" t="str">
        <f t="shared" si="88"/>
        <v>Medium</v>
      </c>
      <c r="Y410" s="5" t="str">
        <f t="shared" si="89"/>
        <v>High</v>
      </c>
      <c r="Z410" s="5" t="str">
        <f>IF(B410=120,"NULL",IF(AND(V410="High Stress", W410="High Risk", Y410="Low"),"High Risk : Reject", IF(AND(V410="Healthy", W410="Good",Y410&lt;&gt;"Low"), "Low Risk : Approve", "Medium Risk : Review")))</f>
        <v>Low Risk : Approve</v>
      </c>
      <c r="AA410" s="5" t="str">
        <f t="shared" si="90"/>
        <v>Medium</v>
      </c>
    </row>
    <row r="411" spans="1:27" x14ac:dyDescent="0.2">
      <c r="A411">
        <v>23589</v>
      </c>
      <c r="B411">
        <v>48</v>
      </c>
      <c r="C411">
        <f t="shared" si="78"/>
        <v>48</v>
      </c>
      <c r="D411" t="s">
        <v>23</v>
      </c>
      <c r="E411" t="str">
        <f t="shared" si="79"/>
        <v>Self-Employed</v>
      </c>
      <c r="F411">
        <v>1873.02</v>
      </c>
      <c r="G411">
        <f>ABS(Table1[[#This Row],[Monthly_Income]])</f>
        <v>1873.02</v>
      </c>
      <c r="H411">
        <v>17986.27</v>
      </c>
      <c r="I411" s="5">
        <f t="shared" si="80"/>
        <v>17986.27</v>
      </c>
      <c r="J411">
        <v>60</v>
      </c>
      <c r="K411">
        <v>15.76</v>
      </c>
      <c r="L411">
        <v>3</v>
      </c>
      <c r="M411">
        <f t="shared" si="81"/>
        <v>3</v>
      </c>
      <c r="N411">
        <v>12.3</v>
      </c>
      <c r="O411">
        <f t="shared" si="82"/>
        <v>12.3</v>
      </c>
      <c r="P411">
        <v>60</v>
      </c>
      <c r="Q411">
        <f t="shared" si="83"/>
        <v>60</v>
      </c>
      <c r="R411" t="s">
        <v>20</v>
      </c>
      <c r="S411" t="str">
        <f t="shared" si="84"/>
        <v>Written Off</v>
      </c>
      <c r="T411" t="s">
        <v>25</v>
      </c>
      <c r="U411" s="3">
        <f t="shared" si="85"/>
        <v>0.16004696515075476</v>
      </c>
      <c r="V411" t="str">
        <f t="shared" si="86"/>
        <v>Healthy</v>
      </c>
      <c r="W411" t="str">
        <f t="shared" si="87"/>
        <v>High Risk</v>
      </c>
      <c r="X411" s="5" t="str">
        <f t="shared" si="88"/>
        <v>Medium</v>
      </c>
      <c r="Y411" s="5" t="str">
        <f t="shared" si="89"/>
        <v>Medium</v>
      </c>
      <c r="Z411" s="5" t="str">
        <f>IF(B411=120,"NULL",IF(AND(V411="High Stress", W411="High Risk", Y411="Low"),"High Risk : Reject", IF(AND(V411="Healthy", W411="Good",Y411&lt;&gt;"Low"), "Low Risk : Approve", "Medium Risk : Review")))</f>
        <v>Medium Risk : Review</v>
      </c>
      <c r="AA411" s="5" t="str">
        <f t="shared" si="90"/>
        <v>Low</v>
      </c>
    </row>
    <row r="412" spans="1:27" x14ac:dyDescent="0.2">
      <c r="A412">
        <v>24331</v>
      </c>
      <c r="B412">
        <v>59</v>
      </c>
      <c r="C412">
        <f t="shared" si="78"/>
        <v>59</v>
      </c>
      <c r="D412" t="s">
        <v>17</v>
      </c>
      <c r="E412" t="str">
        <f t="shared" si="79"/>
        <v>Contract</v>
      </c>
      <c r="F412">
        <v>4590.3100000000004</v>
      </c>
      <c r="G412">
        <f>ABS(Table1[[#This Row],[Monthly_Income]])</f>
        <v>4590.3100000000004</v>
      </c>
      <c r="H412">
        <v>20437.55</v>
      </c>
      <c r="I412" s="5">
        <f t="shared" si="80"/>
        <v>20437.55</v>
      </c>
      <c r="J412">
        <v>48</v>
      </c>
      <c r="K412">
        <v>18.03</v>
      </c>
      <c r="L412">
        <v>3</v>
      </c>
      <c r="M412">
        <f t="shared" si="81"/>
        <v>3</v>
      </c>
      <c r="N412">
        <v>10.199999999999999</v>
      </c>
      <c r="O412">
        <f t="shared" si="82"/>
        <v>10.199999999999999</v>
      </c>
      <c r="P412">
        <v>0</v>
      </c>
      <c r="Q412">
        <f t="shared" si="83"/>
        <v>0</v>
      </c>
      <c r="R412" t="s">
        <v>13</v>
      </c>
      <c r="S412" t="str">
        <f t="shared" si="84"/>
        <v>Performing</v>
      </c>
      <c r="T412" t="s">
        <v>14</v>
      </c>
      <c r="U412" s="3">
        <f t="shared" si="85"/>
        <v>9.2756761888993691E-2</v>
      </c>
      <c r="V412" t="str">
        <f t="shared" si="86"/>
        <v>Healthy</v>
      </c>
      <c r="W412" t="str">
        <f t="shared" si="87"/>
        <v>Good</v>
      </c>
      <c r="X412" s="5" t="str">
        <f t="shared" si="88"/>
        <v>Medium</v>
      </c>
      <c r="Y412" s="5" t="str">
        <f t="shared" si="89"/>
        <v>Low</v>
      </c>
      <c r="Z412" s="5" t="str">
        <f>IF(B412=120,"NULL",IF(AND(V412="High Stress", W412="High Risk", Y412="Low"),"High Risk : Reject", IF(AND(V412="Healthy", W412="Good",Y412&lt;&gt;"Low"), "Low Risk : Approve", "Medium Risk : Review")))</f>
        <v>Medium Risk : Review</v>
      </c>
      <c r="AA412" s="5" t="str">
        <f t="shared" si="90"/>
        <v>Medium</v>
      </c>
    </row>
    <row r="413" spans="1:27" x14ac:dyDescent="0.2">
      <c r="A413">
        <v>22875</v>
      </c>
      <c r="B413">
        <v>26</v>
      </c>
      <c r="C413">
        <f t="shared" si="78"/>
        <v>26</v>
      </c>
      <c r="D413" t="s">
        <v>17</v>
      </c>
      <c r="E413" t="str">
        <f t="shared" si="79"/>
        <v>Contract</v>
      </c>
      <c r="F413">
        <v>5068.3999999999996</v>
      </c>
      <c r="G413">
        <f>ABS(Table1[[#This Row],[Monthly_Income]])</f>
        <v>5068.3999999999996</v>
      </c>
      <c r="H413">
        <v>36255.879999999997</v>
      </c>
      <c r="I413" s="5">
        <f t="shared" si="80"/>
        <v>36255.879999999997</v>
      </c>
      <c r="J413">
        <v>36</v>
      </c>
      <c r="K413">
        <v>13.44</v>
      </c>
      <c r="L413">
        <v>3</v>
      </c>
      <c r="M413">
        <f t="shared" si="81"/>
        <v>3</v>
      </c>
      <c r="N413">
        <v>-1.3</v>
      </c>
      <c r="O413">
        <f t="shared" si="82"/>
        <v>1.3</v>
      </c>
      <c r="P413">
        <v>60</v>
      </c>
      <c r="Q413">
        <f t="shared" si="83"/>
        <v>60</v>
      </c>
      <c r="R413" t="s">
        <v>20</v>
      </c>
      <c r="S413" t="str">
        <f t="shared" si="84"/>
        <v>Written Off</v>
      </c>
      <c r="T413" t="s">
        <v>22</v>
      </c>
      <c r="U413" s="3">
        <f t="shared" si="85"/>
        <v>0.19870329448697374</v>
      </c>
      <c r="V413" t="str">
        <f t="shared" si="86"/>
        <v>Healthy</v>
      </c>
      <c r="W413" t="str">
        <f t="shared" si="87"/>
        <v>High Risk</v>
      </c>
      <c r="X413" s="5" t="str">
        <f t="shared" si="88"/>
        <v>High</v>
      </c>
      <c r="Y413" s="5" t="str">
        <f t="shared" si="89"/>
        <v>Low</v>
      </c>
      <c r="Z413" s="5" t="str">
        <f>IF(B413=120,"NULL",IF(AND(V413="High Stress", W413="High Risk", Y413="Low"),"High Risk : Reject", IF(AND(V413="Healthy", W413="Good",Y413&lt;&gt;"Low"), "Low Risk : Approve", "Medium Risk : Review")))</f>
        <v>Medium Risk : Review</v>
      </c>
      <c r="AA413" s="5" t="str">
        <f t="shared" si="90"/>
        <v>Medium</v>
      </c>
    </row>
    <row r="414" spans="1:27" x14ac:dyDescent="0.2">
      <c r="A414">
        <v>24721</v>
      </c>
      <c r="B414">
        <v>34</v>
      </c>
      <c r="C414">
        <f t="shared" si="78"/>
        <v>34</v>
      </c>
      <c r="D414" t="s">
        <v>27</v>
      </c>
      <c r="E414" t="str">
        <f t="shared" si="79"/>
        <v>Unemployed</v>
      </c>
      <c r="F414">
        <v>6696.94</v>
      </c>
      <c r="G414">
        <f>ABS(Table1[[#This Row],[Monthly_Income]])</f>
        <v>6696.94</v>
      </c>
      <c r="H414">
        <v>22630.880000000001</v>
      </c>
      <c r="I414" s="5">
        <f t="shared" si="80"/>
        <v>22630.880000000001</v>
      </c>
      <c r="J414">
        <v>36</v>
      </c>
      <c r="K414">
        <v>14.2</v>
      </c>
      <c r="L414">
        <v>3</v>
      </c>
      <c r="M414">
        <f t="shared" si="81"/>
        <v>3</v>
      </c>
      <c r="N414">
        <v>9.4</v>
      </c>
      <c r="O414">
        <f t="shared" si="82"/>
        <v>9.4</v>
      </c>
      <c r="P414">
        <v>15</v>
      </c>
      <c r="Q414">
        <f t="shared" si="83"/>
        <v>15</v>
      </c>
      <c r="R414" t="s">
        <v>24</v>
      </c>
      <c r="S414" t="str">
        <f t="shared" si="84"/>
        <v>Non-Performing</v>
      </c>
      <c r="T414" t="s">
        <v>19</v>
      </c>
      <c r="U414" s="3">
        <f t="shared" si="85"/>
        <v>9.386907386889469E-2</v>
      </c>
      <c r="V414" t="str">
        <f t="shared" si="86"/>
        <v>Healthy</v>
      </c>
      <c r="W414" t="str">
        <f t="shared" si="87"/>
        <v>Good</v>
      </c>
      <c r="X414" s="5" t="str">
        <f t="shared" si="88"/>
        <v>Medium</v>
      </c>
      <c r="Y414" s="5" t="str">
        <f t="shared" si="89"/>
        <v>Low</v>
      </c>
      <c r="Z414" s="5" t="str">
        <f>IF(B414=120,"NULL",IF(AND(V414="High Stress", W414="High Risk", Y414="Low"),"High Risk : Reject", IF(AND(V414="Healthy", W414="Good",Y414&lt;&gt;"Low"), "Low Risk : Approve", "Medium Risk : Review")))</f>
        <v>Medium Risk : Review</v>
      </c>
      <c r="AA414" s="5" t="str">
        <f t="shared" si="90"/>
        <v>Medium</v>
      </c>
    </row>
    <row r="415" spans="1:27" x14ac:dyDescent="0.2">
      <c r="A415">
        <v>25049</v>
      </c>
      <c r="B415">
        <v>24</v>
      </c>
      <c r="C415">
        <f t="shared" si="78"/>
        <v>24</v>
      </c>
      <c r="D415" t="s">
        <v>27</v>
      </c>
      <c r="E415" t="str">
        <f t="shared" si="79"/>
        <v>Unemployed</v>
      </c>
      <c r="F415">
        <v>4993.46</v>
      </c>
      <c r="G415">
        <f>ABS(Table1[[#This Row],[Monthly_Income]])</f>
        <v>4993.46</v>
      </c>
      <c r="H415">
        <v>16819.95</v>
      </c>
      <c r="I415" s="5">
        <f t="shared" si="80"/>
        <v>16819.95</v>
      </c>
      <c r="J415">
        <v>48</v>
      </c>
      <c r="K415">
        <v>13.33</v>
      </c>
      <c r="M415" t="str">
        <f t="shared" si="81"/>
        <v>NULL</v>
      </c>
      <c r="N415">
        <v>13.2</v>
      </c>
      <c r="O415">
        <f t="shared" si="82"/>
        <v>13.2</v>
      </c>
      <c r="P415">
        <v>0</v>
      </c>
      <c r="Q415">
        <f t="shared" si="83"/>
        <v>0</v>
      </c>
      <c r="R415" t="s">
        <v>13</v>
      </c>
      <c r="S415" t="str">
        <f t="shared" si="84"/>
        <v>Performing</v>
      </c>
      <c r="T415" t="s">
        <v>14</v>
      </c>
      <c r="U415" s="3">
        <f t="shared" si="85"/>
        <v>7.01749137872337E-2</v>
      </c>
      <c r="V415" t="str">
        <f t="shared" si="86"/>
        <v>Healthy</v>
      </c>
      <c r="W415" t="str">
        <f t="shared" si="87"/>
        <v>Good</v>
      </c>
      <c r="X415" s="5" t="str">
        <f t="shared" si="88"/>
        <v>Medium</v>
      </c>
      <c r="Y415" s="5" t="str">
        <f t="shared" si="89"/>
        <v>Low</v>
      </c>
      <c r="Z415" s="5" t="str">
        <f>IF(B415=120,"NULL",IF(AND(V415="High Stress", W415="High Risk", Y415="Low"),"High Risk : Reject", IF(AND(V415="Healthy", W415="Good",Y415&lt;&gt;"Low"), "Low Risk : Approve", "Medium Risk : Review")))</f>
        <v>Medium Risk : Review</v>
      </c>
      <c r="AA415" s="5" t="str">
        <f t="shared" si="90"/>
        <v>Medium</v>
      </c>
    </row>
    <row r="416" spans="1:27" x14ac:dyDescent="0.2">
      <c r="A416">
        <v>21867</v>
      </c>
      <c r="B416">
        <v>40</v>
      </c>
      <c r="C416">
        <f t="shared" si="78"/>
        <v>40</v>
      </c>
      <c r="D416" t="s">
        <v>21</v>
      </c>
      <c r="E416" t="str">
        <f t="shared" si="79"/>
        <v>Salaried</v>
      </c>
      <c r="F416">
        <v>7100.31</v>
      </c>
      <c r="G416">
        <f>ABS(Table1[[#This Row],[Monthly_Income]])</f>
        <v>7100.31</v>
      </c>
      <c r="H416">
        <v>21465.93</v>
      </c>
      <c r="I416" s="5">
        <f t="shared" si="80"/>
        <v>21465.93</v>
      </c>
      <c r="J416">
        <v>36</v>
      </c>
      <c r="K416">
        <v>29.1</v>
      </c>
      <c r="L416">
        <v>3</v>
      </c>
      <c r="M416">
        <f t="shared" si="81"/>
        <v>3</v>
      </c>
      <c r="N416">
        <v>0.4</v>
      </c>
      <c r="O416">
        <f t="shared" si="82"/>
        <v>0.4</v>
      </c>
      <c r="P416">
        <v>0</v>
      </c>
      <c r="Q416">
        <f t="shared" si="83"/>
        <v>0</v>
      </c>
      <c r="R416" t="s">
        <v>24</v>
      </c>
      <c r="S416" t="str">
        <f t="shared" si="84"/>
        <v>Non-Performing</v>
      </c>
      <c r="T416" t="s">
        <v>25</v>
      </c>
      <c r="U416" s="3">
        <f t="shared" si="85"/>
        <v>8.3978845055122001E-2</v>
      </c>
      <c r="V416" t="str">
        <f t="shared" si="86"/>
        <v>Healthy</v>
      </c>
      <c r="W416" t="str">
        <f t="shared" si="87"/>
        <v>Good</v>
      </c>
      <c r="X416" s="5" t="str">
        <f t="shared" si="88"/>
        <v>Medium</v>
      </c>
      <c r="Y416" s="5" t="str">
        <f t="shared" si="89"/>
        <v>High</v>
      </c>
      <c r="Z416" s="5" t="str">
        <f>IF(B416=120,"NULL",IF(AND(V416="High Stress", W416="High Risk", Y416="Low"),"High Risk : Reject", IF(AND(V416="Healthy", W416="Good",Y416&lt;&gt;"Low"), "Low Risk : Approve", "Medium Risk : Review")))</f>
        <v>Low Risk : Approve</v>
      </c>
      <c r="AA416" s="5" t="str">
        <f t="shared" si="90"/>
        <v>Medium</v>
      </c>
    </row>
    <row r="417" spans="1:27" x14ac:dyDescent="0.2">
      <c r="A417">
        <v>23145</v>
      </c>
      <c r="B417">
        <v>18</v>
      </c>
      <c r="C417">
        <f t="shared" si="78"/>
        <v>18</v>
      </c>
      <c r="D417" t="s">
        <v>12</v>
      </c>
      <c r="E417" t="str">
        <f t="shared" si="79"/>
        <v>Self-Employed</v>
      </c>
      <c r="F417">
        <v>4774.72</v>
      </c>
      <c r="G417">
        <f>ABS(Table1[[#This Row],[Monthly_Income]])</f>
        <v>4774.72</v>
      </c>
      <c r="H417">
        <v>21862.400000000001</v>
      </c>
      <c r="I417" s="5">
        <f t="shared" si="80"/>
        <v>21862.400000000001</v>
      </c>
      <c r="J417">
        <v>6</v>
      </c>
      <c r="K417">
        <v>15.88</v>
      </c>
      <c r="L417">
        <v>4</v>
      </c>
      <c r="M417">
        <f t="shared" si="81"/>
        <v>4</v>
      </c>
      <c r="N417">
        <v>11.5</v>
      </c>
      <c r="O417">
        <f t="shared" si="82"/>
        <v>11.5</v>
      </c>
      <c r="P417">
        <v>0</v>
      </c>
      <c r="Q417">
        <f t="shared" si="83"/>
        <v>0</v>
      </c>
      <c r="R417" t="s">
        <v>20</v>
      </c>
      <c r="S417" t="str">
        <f t="shared" si="84"/>
        <v>Written Off</v>
      </c>
      <c r="T417" t="s">
        <v>25</v>
      </c>
      <c r="U417" s="3">
        <f t="shared" si="85"/>
        <v>0.76313026383397009</v>
      </c>
      <c r="V417" t="str">
        <f t="shared" si="86"/>
        <v>High Stress</v>
      </c>
      <c r="W417" t="str">
        <f t="shared" si="87"/>
        <v>Good</v>
      </c>
      <c r="X417" s="5" t="str">
        <f t="shared" si="88"/>
        <v>Medium</v>
      </c>
      <c r="Y417" s="5" t="str">
        <f t="shared" si="89"/>
        <v>Medium</v>
      </c>
      <c r="Z417" s="5" t="str">
        <f>IF(B417=120,"NULL",IF(AND(V417="High Stress", W417="High Risk", Y417="Low"),"High Risk : Reject", IF(AND(V417="Healthy", W417="Good",Y417&lt;&gt;"Low"), "Low Risk : Approve", "Medium Risk : Review")))</f>
        <v>Medium Risk : Review</v>
      </c>
      <c r="AA417" s="5" t="str">
        <f t="shared" si="90"/>
        <v>Medium</v>
      </c>
    </row>
    <row r="418" spans="1:27" x14ac:dyDescent="0.2">
      <c r="A418">
        <v>21886</v>
      </c>
      <c r="B418">
        <v>30</v>
      </c>
      <c r="C418">
        <f t="shared" si="78"/>
        <v>30</v>
      </c>
      <c r="D418" t="s">
        <v>21</v>
      </c>
      <c r="E418" t="str">
        <f t="shared" si="79"/>
        <v>Salaried</v>
      </c>
      <c r="F418">
        <v>7387.74</v>
      </c>
      <c r="G418">
        <f>ABS(Table1[[#This Row],[Monthly_Income]])</f>
        <v>7387.74</v>
      </c>
      <c r="H418">
        <v>8282.25</v>
      </c>
      <c r="I418" s="5">
        <f t="shared" si="80"/>
        <v>8282.25</v>
      </c>
      <c r="J418">
        <v>18</v>
      </c>
      <c r="K418">
        <v>22.84</v>
      </c>
      <c r="L418">
        <v>0</v>
      </c>
      <c r="M418">
        <f t="shared" si="81"/>
        <v>0</v>
      </c>
      <c r="N418">
        <v>0.3</v>
      </c>
      <c r="O418">
        <f t="shared" si="82"/>
        <v>0.3</v>
      </c>
      <c r="P418">
        <v>30</v>
      </c>
      <c r="Q418">
        <f t="shared" si="83"/>
        <v>30</v>
      </c>
      <c r="R418" t="s">
        <v>24</v>
      </c>
      <c r="S418" t="str">
        <f t="shared" si="84"/>
        <v>Non-Performing</v>
      </c>
      <c r="T418" t="s">
        <v>19</v>
      </c>
      <c r="U418" s="3">
        <f t="shared" si="85"/>
        <v>6.2282240576955875E-2</v>
      </c>
      <c r="V418" t="str">
        <f t="shared" si="86"/>
        <v>Healthy</v>
      </c>
      <c r="W418" t="str">
        <f t="shared" si="87"/>
        <v>At Risk</v>
      </c>
      <c r="X418" s="5" t="str">
        <f t="shared" si="88"/>
        <v>Small</v>
      </c>
      <c r="Y418" s="5" t="str">
        <f t="shared" si="89"/>
        <v>High</v>
      </c>
      <c r="Z418" s="5" t="str">
        <f>IF(B418=120,"NULL",IF(AND(V418="High Stress", W418="High Risk", Y418="Low"),"High Risk : Reject", IF(AND(V418="Healthy", W418="Good",Y418&lt;&gt;"Low"), "Low Risk : Approve", "Medium Risk : Review")))</f>
        <v>Medium Risk : Review</v>
      </c>
      <c r="AA418" s="5" t="str">
        <f t="shared" si="90"/>
        <v>Medium</v>
      </c>
    </row>
    <row r="419" spans="1:27" x14ac:dyDescent="0.2">
      <c r="A419">
        <v>23585</v>
      </c>
      <c r="B419">
        <v>31</v>
      </c>
      <c r="C419">
        <f t="shared" si="78"/>
        <v>31</v>
      </c>
      <c r="D419" t="s">
        <v>12</v>
      </c>
      <c r="E419" t="str">
        <f t="shared" si="79"/>
        <v>Self-Employed</v>
      </c>
      <c r="F419">
        <v>6455.55</v>
      </c>
      <c r="G419">
        <f>ABS(Table1[[#This Row],[Monthly_Income]])</f>
        <v>6455.55</v>
      </c>
      <c r="H419">
        <v>19999.05</v>
      </c>
      <c r="I419" s="5">
        <f t="shared" si="80"/>
        <v>19999.05</v>
      </c>
      <c r="J419">
        <v>12</v>
      </c>
      <c r="K419">
        <v>21.68</v>
      </c>
      <c r="L419">
        <v>3</v>
      </c>
      <c r="M419">
        <f t="shared" si="81"/>
        <v>3</v>
      </c>
      <c r="N419">
        <v>4.0999999999999996</v>
      </c>
      <c r="O419">
        <f t="shared" si="82"/>
        <v>4.0999999999999996</v>
      </c>
      <c r="P419">
        <v>90</v>
      </c>
      <c r="Q419">
        <f t="shared" si="83"/>
        <v>90</v>
      </c>
      <c r="R419" t="s">
        <v>13</v>
      </c>
      <c r="S419" t="str">
        <f t="shared" si="84"/>
        <v>Performing</v>
      </c>
      <c r="T419" t="s">
        <v>16</v>
      </c>
      <c r="U419" s="3">
        <f t="shared" si="85"/>
        <v>0.25816351821301048</v>
      </c>
      <c r="V419" t="str">
        <f t="shared" si="86"/>
        <v>Healthy</v>
      </c>
      <c r="W419" t="str">
        <f t="shared" si="87"/>
        <v>High Risk</v>
      </c>
      <c r="X419" s="5" t="str">
        <f t="shared" si="88"/>
        <v>Medium</v>
      </c>
      <c r="Y419" s="5" t="str">
        <f t="shared" si="89"/>
        <v>Medium</v>
      </c>
      <c r="Z419" s="5" t="str">
        <f>IF(B419=120,"NULL",IF(AND(V419="High Stress", W419="High Risk", Y419="Low"),"High Risk : Reject", IF(AND(V419="Healthy", W419="Good",Y419&lt;&gt;"Low"), "Low Risk : Approve", "Medium Risk : Review")))</f>
        <v>Medium Risk : Review</v>
      </c>
      <c r="AA419" s="5" t="str">
        <f t="shared" si="90"/>
        <v>Medium</v>
      </c>
    </row>
    <row r="420" spans="1:27" x14ac:dyDescent="0.2">
      <c r="A420">
        <v>23765</v>
      </c>
      <c r="B420">
        <v>64</v>
      </c>
      <c r="C420">
        <f t="shared" si="78"/>
        <v>64</v>
      </c>
      <c r="D420" t="s">
        <v>26</v>
      </c>
      <c r="E420" t="str">
        <f t="shared" si="79"/>
        <v>Salaried</v>
      </c>
      <c r="F420">
        <v>5917.34</v>
      </c>
      <c r="G420">
        <f>ABS(Table1[[#This Row],[Monthly_Income]])</f>
        <v>5917.34</v>
      </c>
      <c r="H420">
        <v>6137.21</v>
      </c>
      <c r="I420" s="5">
        <f t="shared" si="80"/>
        <v>6137.21</v>
      </c>
      <c r="J420">
        <v>24</v>
      </c>
      <c r="K420">
        <v>26.6</v>
      </c>
      <c r="M420" t="str">
        <f t="shared" si="81"/>
        <v>NULL</v>
      </c>
      <c r="N420">
        <v>6.1</v>
      </c>
      <c r="O420">
        <f t="shared" si="82"/>
        <v>6.1</v>
      </c>
      <c r="P420">
        <v>60</v>
      </c>
      <c r="Q420">
        <f t="shared" si="83"/>
        <v>60</v>
      </c>
      <c r="R420" t="s">
        <v>13</v>
      </c>
      <c r="S420" t="str">
        <f t="shared" si="84"/>
        <v>Performing</v>
      </c>
      <c r="T420" t="s">
        <v>19</v>
      </c>
      <c r="U420" s="3">
        <f t="shared" si="85"/>
        <v>4.3214870758370036E-2</v>
      </c>
      <c r="V420" t="str">
        <f t="shared" si="86"/>
        <v>Healthy</v>
      </c>
      <c r="W420" t="str">
        <f t="shared" si="87"/>
        <v>High Risk</v>
      </c>
      <c r="X420" s="5" t="str">
        <f t="shared" si="88"/>
        <v>Small</v>
      </c>
      <c r="Y420" s="5" t="str">
        <f t="shared" si="89"/>
        <v>High</v>
      </c>
      <c r="Z420" s="5" t="str">
        <f>IF(B420=120,"NULL",IF(AND(V420="High Stress", W420="High Risk", Y420="Low"),"High Risk : Reject", IF(AND(V420="Healthy", W420="Good",Y420&lt;&gt;"Low"), "Low Risk : Approve", "Medium Risk : Review")))</f>
        <v>Medium Risk : Review</v>
      </c>
      <c r="AA420" s="5" t="str">
        <f t="shared" si="90"/>
        <v>Medium</v>
      </c>
    </row>
    <row r="421" spans="1:27" x14ac:dyDescent="0.2">
      <c r="A421">
        <v>24722</v>
      </c>
      <c r="B421">
        <v>59</v>
      </c>
      <c r="C421">
        <f t="shared" si="78"/>
        <v>59</v>
      </c>
      <c r="D421" t="s">
        <v>26</v>
      </c>
      <c r="E421" t="str">
        <f t="shared" si="79"/>
        <v>Salaried</v>
      </c>
      <c r="F421">
        <v>7361.49</v>
      </c>
      <c r="G421">
        <f>ABS(Table1[[#This Row],[Monthly_Income]])</f>
        <v>7361.49</v>
      </c>
      <c r="H421">
        <v>8892.58</v>
      </c>
      <c r="I421" s="5">
        <f t="shared" si="80"/>
        <v>8892.58</v>
      </c>
      <c r="J421">
        <v>60</v>
      </c>
      <c r="K421">
        <v>20.350000000000001</v>
      </c>
      <c r="L421">
        <v>4</v>
      </c>
      <c r="M421">
        <f t="shared" si="81"/>
        <v>4</v>
      </c>
      <c r="N421">
        <v>3.3</v>
      </c>
      <c r="O421">
        <f t="shared" si="82"/>
        <v>3.3</v>
      </c>
      <c r="P421">
        <v>0</v>
      </c>
      <c r="Q421">
        <f t="shared" si="83"/>
        <v>0</v>
      </c>
      <c r="R421" t="s">
        <v>15</v>
      </c>
      <c r="S421" t="str">
        <f t="shared" si="84"/>
        <v xml:space="preserve">Performing </v>
      </c>
      <c r="T421" t="s">
        <v>16</v>
      </c>
      <c r="U421" s="3">
        <f t="shared" si="85"/>
        <v>2.0133107111015118E-2</v>
      </c>
      <c r="V421" t="str">
        <f t="shared" si="86"/>
        <v>Healthy</v>
      </c>
      <c r="W421" t="str">
        <f t="shared" si="87"/>
        <v>Good</v>
      </c>
      <c r="X421" s="5" t="str">
        <f t="shared" si="88"/>
        <v>Small</v>
      </c>
      <c r="Y421" s="5" t="str">
        <f t="shared" si="89"/>
        <v>High</v>
      </c>
      <c r="Z421" s="5" t="str">
        <f>IF(B421=120,"NULL",IF(AND(V421="High Stress", W421="High Risk", Y421="Low"),"High Risk : Reject", IF(AND(V421="Healthy", W421="Good",Y421&lt;&gt;"Low"), "Low Risk : Approve", "Medium Risk : Review")))</f>
        <v>Low Risk : Approve</v>
      </c>
      <c r="AA421" s="5" t="str">
        <f t="shared" si="90"/>
        <v>Medium</v>
      </c>
    </row>
    <row r="422" spans="1:27" x14ac:dyDescent="0.2">
      <c r="A422">
        <v>21557</v>
      </c>
      <c r="B422">
        <v>46</v>
      </c>
      <c r="C422">
        <f t="shared" si="78"/>
        <v>46</v>
      </c>
      <c r="D422" t="s">
        <v>23</v>
      </c>
      <c r="E422" t="str">
        <f t="shared" si="79"/>
        <v>Self-Employed</v>
      </c>
      <c r="F422">
        <v>8634.24</v>
      </c>
      <c r="G422">
        <f>ABS(Table1[[#This Row],[Monthly_Income]])</f>
        <v>8634.24</v>
      </c>
      <c r="H422">
        <v>27214.95</v>
      </c>
      <c r="I422" s="5">
        <f t="shared" si="80"/>
        <v>27214.95</v>
      </c>
      <c r="J422">
        <v>12</v>
      </c>
      <c r="K422">
        <v>20.62</v>
      </c>
      <c r="L422">
        <v>2</v>
      </c>
      <c r="M422">
        <f t="shared" si="81"/>
        <v>2</v>
      </c>
      <c r="N422">
        <v>2.1</v>
      </c>
      <c r="O422">
        <f t="shared" si="82"/>
        <v>2.1</v>
      </c>
      <c r="P422">
        <v>0</v>
      </c>
      <c r="Q422">
        <f t="shared" si="83"/>
        <v>0</v>
      </c>
      <c r="R422" t="s">
        <v>15</v>
      </c>
      <c r="S422" t="str">
        <f t="shared" si="84"/>
        <v xml:space="preserve">Performing </v>
      </c>
      <c r="T422" t="s">
        <v>25</v>
      </c>
      <c r="U422" s="3">
        <f t="shared" si="85"/>
        <v>0.26266498267363425</v>
      </c>
      <c r="V422" t="str">
        <f t="shared" si="86"/>
        <v>Healthy</v>
      </c>
      <c r="W422" t="str">
        <f t="shared" si="87"/>
        <v>Good</v>
      </c>
      <c r="X422" s="5" t="str">
        <f t="shared" si="88"/>
        <v>Medium</v>
      </c>
      <c r="Y422" s="5" t="str">
        <f t="shared" si="89"/>
        <v>Medium</v>
      </c>
      <c r="Z422" s="5" t="str">
        <f>IF(B422=120,"NULL",IF(AND(V422="High Stress", W422="High Risk", Y422="Low"),"High Risk : Reject", IF(AND(V422="Healthy", W422="Good",Y422&lt;&gt;"Low"), "Low Risk : Approve", "Medium Risk : Review")))</f>
        <v>Low Risk : Approve</v>
      </c>
      <c r="AA422" s="5" t="str">
        <f t="shared" si="90"/>
        <v>High</v>
      </c>
    </row>
    <row r="423" spans="1:27" x14ac:dyDescent="0.2">
      <c r="A423">
        <v>21661</v>
      </c>
      <c r="B423">
        <v>57</v>
      </c>
      <c r="C423">
        <f t="shared" si="78"/>
        <v>57</v>
      </c>
      <c r="D423" t="s">
        <v>27</v>
      </c>
      <c r="E423" t="str">
        <f t="shared" si="79"/>
        <v>Unemployed</v>
      </c>
      <c r="F423">
        <v>4031.39</v>
      </c>
      <c r="G423">
        <f>ABS(Table1[[#This Row],[Monthly_Income]])</f>
        <v>4031.39</v>
      </c>
      <c r="H423">
        <v>19875.97</v>
      </c>
      <c r="I423" s="5">
        <f t="shared" si="80"/>
        <v>19875.97</v>
      </c>
      <c r="J423">
        <v>36</v>
      </c>
      <c r="K423">
        <v>25.31</v>
      </c>
      <c r="L423">
        <v>3</v>
      </c>
      <c r="M423">
        <f t="shared" si="81"/>
        <v>3</v>
      </c>
      <c r="N423">
        <v>4.3</v>
      </c>
      <c r="O423">
        <f t="shared" si="82"/>
        <v>4.3</v>
      </c>
      <c r="P423">
        <v>0</v>
      </c>
      <c r="Q423">
        <f t="shared" si="83"/>
        <v>0</v>
      </c>
      <c r="R423" t="s">
        <v>24</v>
      </c>
      <c r="S423" t="str">
        <f t="shared" si="84"/>
        <v>Non-Performing</v>
      </c>
      <c r="T423" t="s">
        <v>19</v>
      </c>
      <c r="U423" s="3">
        <f t="shared" si="85"/>
        <v>0.1369528320945822</v>
      </c>
      <c r="V423" t="str">
        <f t="shared" si="86"/>
        <v>Healthy</v>
      </c>
      <c r="W423" t="str">
        <f t="shared" si="87"/>
        <v>Good</v>
      </c>
      <c r="X423" s="5" t="str">
        <f t="shared" si="88"/>
        <v>Medium</v>
      </c>
      <c r="Y423" s="5" t="str">
        <f t="shared" si="89"/>
        <v>Low</v>
      </c>
      <c r="Z423" s="5" t="str">
        <f>IF(B423=120,"NULL",IF(AND(V423="High Stress", W423="High Risk", Y423="Low"),"High Risk : Reject", IF(AND(V423="Healthy", W423="Good",Y423&lt;&gt;"Low"), "Low Risk : Approve", "Medium Risk : Review")))</f>
        <v>Medium Risk : Review</v>
      </c>
      <c r="AA423" s="5" t="str">
        <f t="shared" si="90"/>
        <v>Medium</v>
      </c>
    </row>
    <row r="424" spans="1:27" x14ac:dyDescent="0.2">
      <c r="A424">
        <v>25598</v>
      </c>
      <c r="B424">
        <v>28</v>
      </c>
      <c r="C424">
        <f t="shared" si="78"/>
        <v>28</v>
      </c>
      <c r="D424" t="s">
        <v>27</v>
      </c>
      <c r="E424" t="str">
        <f t="shared" si="79"/>
        <v>Unemployed</v>
      </c>
      <c r="F424">
        <v>5077.8599999999997</v>
      </c>
      <c r="G424">
        <f>ABS(Table1[[#This Row],[Monthly_Income]])</f>
        <v>5077.8599999999997</v>
      </c>
      <c r="H424">
        <v>19755.12</v>
      </c>
      <c r="I424" s="5">
        <f t="shared" si="80"/>
        <v>19755.12</v>
      </c>
      <c r="J424">
        <v>18</v>
      </c>
      <c r="K424">
        <v>24.2</v>
      </c>
      <c r="M424" t="str">
        <f t="shared" si="81"/>
        <v>NULL</v>
      </c>
      <c r="N424">
        <v>0.3</v>
      </c>
      <c r="O424">
        <f t="shared" si="82"/>
        <v>0.3</v>
      </c>
      <c r="P424">
        <v>15</v>
      </c>
      <c r="Q424">
        <f t="shared" si="83"/>
        <v>15</v>
      </c>
      <c r="R424" t="s">
        <v>20</v>
      </c>
      <c r="S424" t="str">
        <f t="shared" si="84"/>
        <v>Written Off</v>
      </c>
      <c r="T424" t="s">
        <v>14</v>
      </c>
      <c r="U424" s="3">
        <f t="shared" si="85"/>
        <v>0.21613566870033177</v>
      </c>
      <c r="V424" t="str">
        <f t="shared" si="86"/>
        <v>Healthy</v>
      </c>
      <c r="W424" t="str">
        <f t="shared" si="87"/>
        <v>Good</v>
      </c>
      <c r="X424" s="5" t="str">
        <f t="shared" si="88"/>
        <v>Medium</v>
      </c>
      <c r="Y424" s="5" t="str">
        <f t="shared" si="89"/>
        <v>Low</v>
      </c>
      <c r="Z424" s="5" t="str">
        <f>IF(B424=120,"NULL",IF(AND(V424="High Stress", W424="High Risk", Y424="Low"),"High Risk : Reject", IF(AND(V424="Healthy", W424="Good",Y424&lt;&gt;"Low"), "Low Risk : Approve", "Medium Risk : Review")))</f>
        <v>Medium Risk : Review</v>
      </c>
      <c r="AA424" s="5" t="str">
        <f t="shared" si="90"/>
        <v>Medium</v>
      </c>
    </row>
    <row r="425" spans="1:27" x14ac:dyDescent="0.2">
      <c r="A425">
        <v>21568</v>
      </c>
      <c r="B425">
        <v>18</v>
      </c>
      <c r="C425">
        <f t="shared" si="78"/>
        <v>18</v>
      </c>
      <c r="D425" t="s">
        <v>12</v>
      </c>
      <c r="E425" t="str">
        <f t="shared" si="79"/>
        <v>Self-Employed</v>
      </c>
      <c r="F425">
        <v>6897.45</v>
      </c>
      <c r="G425">
        <f>ABS(Table1[[#This Row],[Monthly_Income]])</f>
        <v>6897.45</v>
      </c>
      <c r="H425">
        <v>20819.79</v>
      </c>
      <c r="I425" s="5">
        <f t="shared" si="80"/>
        <v>20819.79</v>
      </c>
      <c r="J425">
        <v>60</v>
      </c>
      <c r="K425">
        <v>22.16</v>
      </c>
      <c r="L425">
        <v>2</v>
      </c>
      <c r="M425">
        <f t="shared" si="81"/>
        <v>2</v>
      </c>
      <c r="N425">
        <v>4.7</v>
      </c>
      <c r="O425">
        <f t="shared" si="82"/>
        <v>4.7</v>
      </c>
      <c r="P425">
        <v>15</v>
      </c>
      <c r="Q425">
        <f t="shared" si="83"/>
        <v>15</v>
      </c>
      <c r="R425" t="s">
        <v>15</v>
      </c>
      <c r="S425" t="str">
        <f t="shared" si="84"/>
        <v xml:space="preserve">Performing </v>
      </c>
      <c r="T425" t="s">
        <v>14</v>
      </c>
      <c r="U425" s="3">
        <f t="shared" si="85"/>
        <v>5.0307939890829219E-2</v>
      </c>
      <c r="V425" t="str">
        <f t="shared" si="86"/>
        <v>Healthy</v>
      </c>
      <c r="W425" t="str">
        <f t="shared" si="87"/>
        <v>Good</v>
      </c>
      <c r="X425" s="5" t="str">
        <f t="shared" si="88"/>
        <v>Medium</v>
      </c>
      <c r="Y425" s="5" t="str">
        <f t="shared" si="89"/>
        <v>Medium</v>
      </c>
      <c r="Z425" s="5" t="str">
        <f>IF(B425=120,"NULL",IF(AND(V425="High Stress", W425="High Risk", Y425="Low"),"High Risk : Reject", IF(AND(V425="Healthy", W425="Good",Y425&lt;&gt;"Low"), "Low Risk : Approve", "Medium Risk : Review")))</f>
        <v>Low Risk : Approve</v>
      </c>
      <c r="AA425" s="5" t="str">
        <f t="shared" si="90"/>
        <v>Medium</v>
      </c>
    </row>
    <row r="426" spans="1:27" x14ac:dyDescent="0.2">
      <c r="A426">
        <v>23441</v>
      </c>
      <c r="B426">
        <v>23</v>
      </c>
      <c r="C426">
        <f t="shared" si="78"/>
        <v>23</v>
      </c>
      <c r="D426" t="s">
        <v>17</v>
      </c>
      <c r="E426" t="str">
        <f t="shared" si="79"/>
        <v>Contract</v>
      </c>
      <c r="F426">
        <v>6698.04</v>
      </c>
      <c r="G426">
        <f>ABS(Table1[[#This Row],[Monthly_Income]])</f>
        <v>6698.04</v>
      </c>
      <c r="H426">
        <v>31121.49</v>
      </c>
      <c r="I426" s="5">
        <f t="shared" si="80"/>
        <v>31121.49</v>
      </c>
      <c r="J426">
        <v>18</v>
      </c>
      <c r="K426">
        <v>21.54</v>
      </c>
      <c r="L426">
        <v>3</v>
      </c>
      <c r="M426">
        <f t="shared" si="81"/>
        <v>3</v>
      </c>
      <c r="N426">
        <v>8.1999999999999993</v>
      </c>
      <c r="O426">
        <f t="shared" si="82"/>
        <v>8.1999999999999993</v>
      </c>
      <c r="P426">
        <v>0</v>
      </c>
      <c r="Q426">
        <f t="shared" si="83"/>
        <v>0</v>
      </c>
      <c r="R426" t="s">
        <v>15</v>
      </c>
      <c r="S426" t="str">
        <f t="shared" si="84"/>
        <v xml:space="preserve">Performing </v>
      </c>
      <c r="T426" t="s">
        <v>25</v>
      </c>
      <c r="U426" s="3">
        <f t="shared" si="85"/>
        <v>0.25813098558185182</v>
      </c>
      <c r="V426" t="str">
        <f t="shared" si="86"/>
        <v>Healthy</v>
      </c>
      <c r="W426" t="str">
        <f t="shared" si="87"/>
        <v>Good</v>
      </c>
      <c r="X426" s="5" t="str">
        <f t="shared" si="88"/>
        <v>High</v>
      </c>
      <c r="Y426" s="5" t="str">
        <f t="shared" si="89"/>
        <v>Low</v>
      </c>
      <c r="Z426" s="5" t="str">
        <f>IF(B426=120,"NULL",IF(AND(V426="High Stress", W426="High Risk", Y426="Low"),"High Risk : Reject", IF(AND(V426="Healthy", W426="Good",Y426&lt;&gt;"Low"), "Low Risk : Approve", "Medium Risk : Review")))</f>
        <v>Medium Risk : Review</v>
      </c>
      <c r="AA426" s="5" t="str">
        <f t="shared" si="90"/>
        <v>Medium</v>
      </c>
    </row>
    <row r="427" spans="1:27" x14ac:dyDescent="0.2">
      <c r="A427">
        <v>25682</v>
      </c>
      <c r="B427">
        <v>49</v>
      </c>
      <c r="C427">
        <f t="shared" si="78"/>
        <v>49</v>
      </c>
      <c r="D427" t="s">
        <v>21</v>
      </c>
      <c r="E427" t="str">
        <f t="shared" si="79"/>
        <v>Salaried</v>
      </c>
      <c r="F427">
        <v>2871</v>
      </c>
      <c r="G427">
        <f>ABS(Table1[[#This Row],[Monthly_Income]])</f>
        <v>2871</v>
      </c>
      <c r="H427">
        <v>6242.95</v>
      </c>
      <c r="I427" s="5">
        <f t="shared" si="80"/>
        <v>6242.95</v>
      </c>
      <c r="J427">
        <v>12</v>
      </c>
      <c r="K427">
        <v>7.97</v>
      </c>
      <c r="L427">
        <v>3</v>
      </c>
      <c r="M427">
        <f t="shared" si="81"/>
        <v>3</v>
      </c>
      <c r="N427">
        <v>2.2000000000000002</v>
      </c>
      <c r="O427">
        <f t="shared" si="82"/>
        <v>2.2000000000000002</v>
      </c>
      <c r="P427">
        <v>15</v>
      </c>
      <c r="Q427">
        <f t="shared" si="83"/>
        <v>15</v>
      </c>
      <c r="R427" t="s">
        <v>18</v>
      </c>
      <c r="S427" t="str">
        <f t="shared" si="84"/>
        <v>Non-Performing</v>
      </c>
      <c r="T427" t="s">
        <v>25</v>
      </c>
      <c r="U427" s="3">
        <f t="shared" si="85"/>
        <v>0.18120718681063508</v>
      </c>
      <c r="V427" t="str">
        <f t="shared" si="86"/>
        <v>Healthy</v>
      </c>
      <c r="W427" t="str">
        <f t="shared" si="87"/>
        <v>Good</v>
      </c>
      <c r="X427" s="5" t="str">
        <f t="shared" si="88"/>
        <v>Small</v>
      </c>
      <c r="Y427" s="5" t="str">
        <f t="shared" si="89"/>
        <v>High</v>
      </c>
      <c r="Z427" s="5" t="str">
        <f>IF(B427=120,"NULL",IF(AND(V427="High Stress", W427="High Risk", Y427="Low"),"High Risk : Reject", IF(AND(V427="Healthy", W427="Good",Y427&lt;&gt;"Low"), "Low Risk : Approve", "Medium Risk : Review")))</f>
        <v>Low Risk : Approve</v>
      </c>
      <c r="AA427" s="5" t="str">
        <f t="shared" si="90"/>
        <v>Medium</v>
      </c>
    </row>
    <row r="428" spans="1:27" x14ac:dyDescent="0.2">
      <c r="A428">
        <v>24331</v>
      </c>
      <c r="B428">
        <v>60</v>
      </c>
      <c r="C428">
        <f t="shared" si="78"/>
        <v>60</v>
      </c>
      <c r="D428" t="s">
        <v>27</v>
      </c>
      <c r="E428" t="str">
        <f t="shared" si="79"/>
        <v>Unemployed</v>
      </c>
      <c r="F428">
        <v>6451.37</v>
      </c>
      <c r="G428">
        <f>ABS(Table1[[#This Row],[Monthly_Income]])</f>
        <v>6451.37</v>
      </c>
      <c r="H428">
        <v>24530.42</v>
      </c>
      <c r="I428" s="5">
        <f t="shared" si="80"/>
        <v>24530.42</v>
      </c>
      <c r="J428">
        <v>60</v>
      </c>
      <c r="K428">
        <v>14.99</v>
      </c>
      <c r="L428">
        <v>3</v>
      </c>
      <c r="M428">
        <f t="shared" si="81"/>
        <v>3</v>
      </c>
      <c r="N428">
        <v>7</v>
      </c>
      <c r="O428">
        <f t="shared" si="82"/>
        <v>7</v>
      </c>
      <c r="P428">
        <v>120</v>
      </c>
      <c r="Q428">
        <f t="shared" si="83"/>
        <v>120</v>
      </c>
      <c r="R428" t="s">
        <v>24</v>
      </c>
      <c r="S428" t="str">
        <f t="shared" si="84"/>
        <v>Non-Performing</v>
      </c>
      <c r="T428" t="s">
        <v>14</v>
      </c>
      <c r="U428" s="3">
        <f t="shared" si="85"/>
        <v>6.337263764647405E-2</v>
      </c>
      <c r="V428" t="str">
        <f t="shared" si="86"/>
        <v>Healthy</v>
      </c>
      <c r="W428" t="str">
        <f t="shared" si="87"/>
        <v>High Risk</v>
      </c>
      <c r="X428" s="5" t="str">
        <f t="shared" si="88"/>
        <v>Medium</v>
      </c>
      <c r="Y428" s="5" t="str">
        <f t="shared" si="89"/>
        <v>Low</v>
      </c>
      <c r="Z428" s="5" t="str">
        <f>IF(B428=120,"NULL",IF(AND(V428="High Stress", W428="High Risk", Y428="Low"),"High Risk : Reject", IF(AND(V428="Healthy", W428="Good",Y428&lt;&gt;"Low"), "Low Risk : Approve", "Medium Risk : Review")))</f>
        <v>Medium Risk : Review</v>
      </c>
      <c r="AA428" s="5" t="str">
        <f t="shared" si="90"/>
        <v>Medium</v>
      </c>
    </row>
    <row r="429" spans="1:27" x14ac:dyDescent="0.2">
      <c r="A429">
        <v>24211</v>
      </c>
      <c r="B429">
        <v>33</v>
      </c>
      <c r="C429">
        <f t="shared" si="78"/>
        <v>33</v>
      </c>
      <c r="D429" t="s">
        <v>21</v>
      </c>
      <c r="E429" t="str">
        <f t="shared" si="79"/>
        <v>Salaried</v>
      </c>
      <c r="F429">
        <v>4480.6899999999996</v>
      </c>
      <c r="G429">
        <f>ABS(Table1[[#This Row],[Monthly_Income]])</f>
        <v>4480.6899999999996</v>
      </c>
      <c r="H429">
        <v>15106.58</v>
      </c>
      <c r="I429" s="5">
        <f t="shared" si="80"/>
        <v>15106.58</v>
      </c>
      <c r="J429">
        <v>18</v>
      </c>
      <c r="K429">
        <v>55</v>
      </c>
      <c r="L429">
        <v>0</v>
      </c>
      <c r="M429">
        <f t="shared" si="81"/>
        <v>0</v>
      </c>
      <c r="N429">
        <v>7</v>
      </c>
      <c r="O429">
        <f t="shared" si="82"/>
        <v>7</v>
      </c>
      <c r="P429">
        <v>90</v>
      </c>
      <c r="Q429">
        <f t="shared" si="83"/>
        <v>90</v>
      </c>
      <c r="R429" t="s">
        <v>18</v>
      </c>
      <c r="S429" t="str">
        <f t="shared" si="84"/>
        <v>Non-Performing</v>
      </c>
      <c r="T429" t="s">
        <v>19</v>
      </c>
      <c r="U429" s="3">
        <f t="shared" si="85"/>
        <v>0.18730473307558534</v>
      </c>
      <c r="V429" t="str">
        <f t="shared" si="86"/>
        <v>Healthy</v>
      </c>
      <c r="W429" t="str">
        <f t="shared" si="87"/>
        <v>High Risk</v>
      </c>
      <c r="X429" s="5" t="str">
        <f t="shared" si="88"/>
        <v>Medium</v>
      </c>
      <c r="Y429" s="5" t="str">
        <f t="shared" si="89"/>
        <v>High</v>
      </c>
      <c r="Z429" s="5" t="str">
        <f>IF(B429=120,"NULL",IF(AND(V429="High Stress", W429="High Risk", Y429="Low"),"High Risk : Reject", IF(AND(V429="Healthy", W429="Good",Y429&lt;&gt;"Low"), "Low Risk : Approve", "Medium Risk : Review")))</f>
        <v>Medium Risk : Review</v>
      </c>
      <c r="AA429" s="5" t="str">
        <f t="shared" si="90"/>
        <v>Medium</v>
      </c>
    </row>
    <row r="430" spans="1:27" x14ac:dyDescent="0.2">
      <c r="A430">
        <v>25953</v>
      </c>
      <c r="B430">
        <v>37</v>
      </c>
      <c r="C430">
        <f t="shared" si="78"/>
        <v>37</v>
      </c>
      <c r="D430" t="s">
        <v>21</v>
      </c>
      <c r="E430" t="str">
        <f t="shared" si="79"/>
        <v>Salaried</v>
      </c>
      <c r="F430">
        <v>2255.73</v>
      </c>
      <c r="G430">
        <f>ABS(Table1[[#This Row],[Monthly_Income]])</f>
        <v>2255.73</v>
      </c>
      <c r="H430">
        <v>22766.2</v>
      </c>
      <c r="I430" s="5">
        <f t="shared" si="80"/>
        <v>22766.2</v>
      </c>
      <c r="J430">
        <v>18</v>
      </c>
      <c r="K430">
        <v>14.68</v>
      </c>
      <c r="L430">
        <v>1</v>
      </c>
      <c r="M430">
        <f t="shared" si="81"/>
        <v>1</v>
      </c>
      <c r="N430">
        <v>2.8</v>
      </c>
      <c r="O430">
        <f t="shared" si="82"/>
        <v>2.8</v>
      </c>
      <c r="P430">
        <v>0</v>
      </c>
      <c r="Q430">
        <f t="shared" si="83"/>
        <v>0</v>
      </c>
      <c r="R430" t="s">
        <v>15</v>
      </c>
      <c r="S430" t="str">
        <f t="shared" si="84"/>
        <v xml:space="preserve">Performing </v>
      </c>
      <c r="T430" t="s">
        <v>22</v>
      </c>
      <c r="U430" s="3">
        <f t="shared" si="85"/>
        <v>0.56070047784481691</v>
      </c>
      <c r="V430" t="str">
        <f t="shared" si="86"/>
        <v>High Stress</v>
      </c>
      <c r="W430" t="str">
        <f t="shared" si="87"/>
        <v>Good</v>
      </c>
      <c r="X430" s="5" t="str">
        <f t="shared" si="88"/>
        <v>Medium</v>
      </c>
      <c r="Y430" s="5" t="str">
        <f t="shared" si="89"/>
        <v>High</v>
      </c>
      <c r="Z430" s="5" t="str">
        <f>IF(B430=120,"NULL",IF(AND(V430="High Stress", W430="High Risk", Y430="Low"),"High Risk : Reject", IF(AND(V430="Healthy", W430="Good",Y430&lt;&gt;"Low"), "Low Risk : Approve", "Medium Risk : Review")))</f>
        <v>Medium Risk : Review</v>
      </c>
      <c r="AA430" s="5" t="str">
        <f t="shared" si="90"/>
        <v>Medium</v>
      </c>
    </row>
    <row r="431" spans="1:27" x14ac:dyDescent="0.2">
      <c r="A431">
        <v>22211</v>
      </c>
      <c r="B431">
        <v>51</v>
      </c>
      <c r="C431">
        <f t="shared" si="78"/>
        <v>51</v>
      </c>
      <c r="D431" t="s">
        <v>27</v>
      </c>
      <c r="E431" t="str">
        <f t="shared" si="79"/>
        <v>Unemployed</v>
      </c>
      <c r="F431">
        <v>6192.4</v>
      </c>
      <c r="G431">
        <f>ABS(Table1[[#This Row],[Monthly_Income]])</f>
        <v>6192.4</v>
      </c>
      <c r="H431">
        <v>31133.279999999999</v>
      </c>
      <c r="I431" s="5">
        <f t="shared" si="80"/>
        <v>31133.279999999999</v>
      </c>
      <c r="J431">
        <v>6</v>
      </c>
      <c r="K431">
        <v>22.59</v>
      </c>
      <c r="L431">
        <v>0</v>
      </c>
      <c r="M431">
        <f t="shared" si="81"/>
        <v>0</v>
      </c>
      <c r="N431">
        <v>11.4</v>
      </c>
      <c r="O431">
        <f t="shared" si="82"/>
        <v>11.4</v>
      </c>
      <c r="P431">
        <v>0</v>
      </c>
      <c r="Q431">
        <f t="shared" si="83"/>
        <v>0</v>
      </c>
      <c r="R431" t="s">
        <v>24</v>
      </c>
      <c r="S431" t="str">
        <f t="shared" si="84"/>
        <v>Non-Performing</v>
      </c>
      <c r="T431" t="s">
        <v>19</v>
      </c>
      <c r="U431" s="3">
        <f t="shared" si="85"/>
        <v>0.83794328531748608</v>
      </c>
      <c r="V431" t="str">
        <f t="shared" si="86"/>
        <v>High Stress</v>
      </c>
      <c r="W431" t="str">
        <f t="shared" si="87"/>
        <v>Good</v>
      </c>
      <c r="X431" s="5" t="str">
        <f t="shared" si="88"/>
        <v>High</v>
      </c>
      <c r="Y431" s="5" t="str">
        <f t="shared" si="89"/>
        <v>Low</v>
      </c>
      <c r="Z431" s="5" t="str">
        <f>IF(B431=120,"NULL",IF(AND(V431="High Stress", W431="High Risk", Y431="Low"),"High Risk : Reject", IF(AND(V431="Healthy", W431="Good",Y431&lt;&gt;"Low"), "Low Risk : Approve", "Medium Risk : Review")))</f>
        <v>Medium Risk : Review</v>
      </c>
      <c r="AA431" s="5" t="str">
        <f t="shared" si="90"/>
        <v>Medium</v>
      </c>
    </row>
    <row r="432" spans="1:27" x14ac:dyDescent="0.2">
      <c r="A432">
        <v>20085</v>
      </c>
      <c r="B432">
        <v>47</v>
      </c>
      <c r="C432">
        <f t="shared" si="78"/>
        <v>47</v>
      </c>
      <c r="D432" t="s">
        <v>21</v>
      </c>
      <c r="E432" t="str">
        <f t="shared" si="79"/>
        <v>Salaried</v>
      </c>
      <c r="F432">
        <v>4800.59</v>
      </c>
      <c r="G432">
        <f>ABS(Table1[[#This Row],[Monthly_Income]])</f>
        <v>4800.59</v>
      </c>
      <c r="H432"/>
      <c r="I432" s="5" t="str">
        <f t="shared" si="80"/>
        <v>NULL</v>
      </c>
      <c r="J432">
        <v>48</v>
      </c>
      <c r="K432">
        <v>16.61</v>
      </c>
      <c r="L432">
        <v>2</v>
      </c>
      <c r="M432">
        <f t="shared" si="81"/>
        <v>2</v>
      </c>
      <c r="N432">
        <v>2.5</v>
      </c>
      <c r="O432">
        <f t="shared" si="82"/>
        <v>2.5</v>
      </c>
      <c r="P432">
        <v>0</v>
      </c>
      <c r="Q432">
        <f t="shared" si="83"/>
        <v>0</v>
      </c>
      <c r="R432" t="s">
        <v>18</v>
      </c>
      <c r="S432" t="str">
        <f t="shared" si="84"/>
        <v>Non-Performing</v>
      </c>
      <c r="T432" t="s">
        <v>19</v>
      </c>
      <c r="U432" s="3" t="str">
        <f t="shared" si="85"/>
        <v>NULL</v>
      </c>
      <c r="V432" t="str">
        <f t="shared" si="86"/>
        <v>NULL</v>
      </c>
      <c r="W432" t="str">
        <f t="shared" si="87"/>
        <v>Good</v>
      </c>
      <c r="X432" s="5" t="str">
        <f t="shared" si="88"/>
        <v>High</v>
      </c>
      <c r="Y432" s="5" t="str">
        <f t="shared" si="89"/>
        <v>High</v>
      </c>
      <c r="Z432" s="5" t="str">
        <f>IF(B432=120,"NULL",IF(AND(V432="High Stress", W432="High Risk", Y432="Low"),"High Risk : Reject", IF(AND(V432="Healthy", W432="Good",Y432&lt;&gt;"Low"), "Low Risk : Approve", "Medium Risk : Review")))</f>
        <v>Medium Risk : Review</v>
      </c>
      <c r="AA432" s="5" t="str">
        <f t="shared" si="90"/>
        <v>Medium</v>
      </c>
    </row>
    <row r="433" spans="1:27" x14ac:dyDescent="0.2">
      <c r="A433">
        <v>21104</v>
      </c>
      <c r="B433">
        <v>29</v>
      </c>
      <c r="C433">
        <f t="shared" si="78"/>
        <v>29</v>
      </c>
      <c r="D433" t="s">
        <v>17</v>
      </c>
      <c r="E433" t="str">
        <f t="shared" si="79"/>
        <v>Contract</v>
      </c>
      <c r="F433">
        <v>7179.19</v>
      </c>
      <c r="G433">
        <f>ABS(Table1[[#This Row],[Monthly_Income]])</f>
        <v>7179.19</v>
      </c>
      <c r="H433">
        <v>34283.360000000001</v>
      </c>
      <c r="I433" s="5">
        <f t="shared" si="80"/>
        <v>34283.360000000001</v>
      </c>
      <c r="J433">
        <v>60</v>
      </c>
      <c r="K433">
        <v>18.11</v>
      </c>
      <c r="L433">
        <v>4</v>
      </c>
      <c r="M433">
        <f t="shared" si="81"/>
        <v>4</v>
      </c>
      <c r="N433">
        <v>6.4</v>
      </c>
      <c r="O433">
        <f t="shared" si="82"/>
        <v>6.4</v>
      </c>
      <c r="P433">
        <v>15</v>
      </c>
      <c r="Q433">
        <f t="shared" si="83"/>
        <v>15</v>
      </c>
      <c r="R433" t="s">
        <v>13</v>
      </c>
      <c r="S433" t="str">
        <f t="shared" si="84"/>
        <v>Performing</v>
      </c>
      <c r="T433" t="s">
        <v>16</v>
      </c>
      <c r="U433" s="3">
        <f t="shared" si="85"/>
        <v>7.9589665872240936E-2</v>
      </c>
      <c r="V433" t="str">
        <f t="shared" si="86"/>
        <v>Healthy</v>
      </c>
      <c r="W433" t="str">
        <f t="shared" si="87"/>
        <v>Good</v>
      </c>
      <c r="X433" s="5" t="str">
        <f t="shared" si="88"/>
        <v>High</v>
      </c>
      <c r="Y433" s="5" t="str">
        <f t="shared" si="89"/>
        <v>Low</v>
      </c>
      <c r="Z433" s="5" t="str">
        <f>IF(B433=120,"NULL",IF(AND(V433="High Stress", W433="High Risk", Y433="Low"),"High Risk : Reject", IF(AND(V433="Healthy", W433="Good",Y433&lt;&gt;"Low"), "Low Risk : Approve", "Medium Risk : Review")))</f>
        <v>Medium Risk : Review</v>
      </c>
      <c r="AA433" s="5" t="str">
        <f t="shared" si="90"/>
        <v>Medium</v>
      </c>
    </row>
    <row r="434" spans="1:27" x14ac:dyDescent="0.2">
      <c r="A434">
        <v>24498</v>
      </c>
      <c r="B434">
        <v>39</v>
      </c>
      <c r="C434">
        <f t="shared" si="78"/>
        <v>39</v>
      </c>
      <c r="D434" t="s">
        <v>26</v>
      </c>
      <c r="E434" t="str">
        <f t="shared" si="79"/>
        <v>Salaried</v>
      </c>
      <c r="F434">
        <v>9913.34</v>
      </c>
      <c r="G434">
        <f>ABS(Table1[[#This Row],[Monthly_Income]])</f>
        <v>9913.34</v>
      </c>
      <c r="H434">
        <v>25300.89</v>
      </c>
      <c r="I434" s="5">
        <f t="shared" si="80"/>
        <v>25300.89</v>
      </c>
      <c r="J434">
        <v>18</v>
      </c>
      <c r="K434">
        <v>23.17</v>
      </c>
      <c r="M434" t="str">
        <f t="shared" si="81"/>
        <v>NULL</v>
      </c>
      <c r="N434">
        <v>2.2000000000000002</v>
      </c>
      <c r="O434">
        <f t="shared" si="82"/>
        <v>2.2000000000000002</v>
      </c>
      <c r="P434">
        <v>30</v>
      </c>
      <c r="Q434">
        <f t="shared" si="83"/>
        <v>30</v>
      </c>
      <c r="R434" t="s">
        <v>15</v>
      </c>
      <c r="S434" t="str">
        <f t="shared" si="84"/>
        <v xml:space="preserve">Performing </v>
      </c>
      <c r="T434" t="s">
        <v>16</v>
      </c>
      <c r="U434" s="3">
        <f t="shared" si="85"/>
        <v>0.14178924560239031</v>
      </c>
      <c r="V434" t="str">
        <f t="shared" si="86"/>
        <v>Healthy</v>
      </c>
      <c r="W434" t="str">
        <f t="shared" si="87"/>
        <v>At Risk</v>
      </c>
      <c r="X434" s="5" t="str">
        <f t="shared" si="88"/>
        <v>Medium</v>
      </c>
      <c r="Y434" s="5" t="str">
        <f t="shared" si="89"/>
        <v>High</v>
      </c>
      <c r="Z434" s="5" t="str">
        <f>IF(B434=120,"NULL",IF(AND(V434="High Stress", W434="High Risk", Y434="Low"),"High Risk : Reject", IF(AND(V434="Healthy", W434="Good",Y434&lt;&gt;"Low"), "Low Risk : Approve", "Medium Risk : Review")))</f>
        <v>Medium Risk : Review</v>
      </c>
      <c r="AA434" s="5" t="str">
        <f t="shared" si="90"/>
        <v>High</v>
      </c>
    </row>
    <row r="435" spans="1:27" x14ac:dyDescent="0.2">
      <c r="A435">
        <v>22275</v>
      </c>
      <c r="B435">
        <v>55</v>
      </c>
      <c r="C435">
        <f t="shared" si="78"/>
        <v>55</v>
      </c>
      <c r="D435" t="s">
        <v>26</v>
      </c>
      <c r="E435" t="str">
        <f t="shared" si="79"/>
        <v>Salaried</v>
      </c>
      <c r="F435">
        <v>8492.3700000000008</v>
      </c>
      <c r="G435">
        <f>ABS(Table1[[#This Row],[Monthly_Income]])</f>
        <v>8492.3700000000008</v>
      </c>
      <c r="H435">
        <v>30732.2</v>
      </c>
      <c r="I435" s="5">
        <f t="shared" si="80"/>
        <v>30732.2</v>
      </c>
      <c r="J435">
        <v>12</v>
      </c>
      <c r="K435">
        <v>19.86</v>
      </c>
      <c r="M435" t="str">
        <f t="shared" si="81"/>
        <v>NULL</v>
      </c>
      <c r="N435">
        <v>8.5</v>
      </c>
      <c r="O435">
        <f t="shared" si="82"/>
        <v>8.5</v>
      </c>
      <c r="P435">
        <v>60</v>
      </c>
      <c r="Q435">
        <f t="shared" si="83"/>
        <v>60</v>
      </c>
      <c r="R435" t="s">
        <v>20</v>
      </c>
      <c r="S435" t="str">
        <f t="shared" si="84"/>
        <v>Written Off</v>
      </c>
      <c r="T435" t="s">
        <v>14</v>
      </c>
      <c r="U435" s="3">
        <f t="shared" si="85"/>
        <v>0.30156677896354805</v>
      </c>
      <c r="V435" t="str">
        <f t="shared" si="86"/>
        <v>Stretched</v>
      </c>
      <c r="W435" t="str">
        <f t="shared" si="87"/>
        <v>High Risk</v>
      </c>
      <c r="X435" s="5" t="str">
        <f t="shared" si="88"/>
        <v>High</v>
      </c>
      <c r="Y435" s="5" t="str">
        <f t="shared" si="89"/>
        <v>High</v>
      </c>
      <c r="Z435" s="5" t="str">
        <f>IF(B435=120,"NULL",IF(AND(V435="High Stress", W435="High Risk", Y435="Low"),"High Risk : Reject", IF(AND(V435="Healthy", W435="Good",Y435&lt;&gt;"Low"), "Low Risk : Approve", "Medium Risk : Review")))</f>
        <v>Medium Risk : Review</v>
      </c>
      <c r="AA435" s="5" t="str">
        <f t="shared" si="90"/>
        <v>High</v>
      </c>
    </row>
    <row r="436" spans="1:27" x14ac:dyDescent="0.2">
      <c r="A436">
        <v>25240</v>
      </c>
      <c r="B436">
        <v>37</v>
      </c>
      <c r="C436">
        <f t="shared" si="78"/>
        <v>37</v>
      </c>
      <c r="D436" t="s">
        <v>26</v>
      </c>
      <c r="E436" t="str">
        <f t="shared" si="79"/>
        <v>Salaried</v>
      </c>
      <c r="F436">
        <v>6936.42</v>
      </c>
      <c r="G436">
        <f>ABS(Table1[[#This Row],[Monthly_Income]])</f>
        <v>6936.42</v>
      </c>
      <c r="H436">
        <v>28263.62</v>
      </c>
      <c r="I436" s="5">
        <f t="shared" si="80"/>
        <v>28263.62</v>
      </c>
      <c r="J436">
        <v>6</v>
      </c>
      <c r="K436">
        <v>26.17</v>
      </c>
      <c r="L436">
        <v>0</v>
      </c>
      <c r="M436">
        <f t="shared" si="81"/>
        <v>0</v>
      </c>
      <c r="N436">
        <v>1.6</v>
      </c>
      <c r="O436">
        <f t="shared" si="82"/>
        <v>1.6</v>
      </c>
      <c r="P436">
        <v>30</v>
      </c>
      <c r="Q436">
        <f t="shared" si="83"/>
        <v>30</v>
      </c>
      <c r="R436" t="s">
        <v>15</v>
      </c>
      <c r="S436" t="str">
        <f t="shared" si="84"/>
        <v xml:space="preserve">Performing </v>
      </c>
      <c r="T436" t="s">
        <v>14</v>
      </c>
      <c r="U436" s="3">
        <f t="shared" si="85"/>
        <v>0.67911160704417162</v>
      </c>
      <c r="V436" t="str">
        <f t="shared" si="86"/>
        <v>High Stress</v>
      </c>
      <c r="W436" t="str">
        <f t="shared" si="87"/>
        <v>At Risk</v>
      </c>
      <c r="X436" s="5" t="str">
        <f t="shared" si="88"/>
        <v>Medium</v>
      </c>
      <c r="Y436" s="5" t="str">
        <f t="shared" si="89"/>
        <v>High</v>
      </c>
      <c r="Z436" s="5" t="str">
        <f>IF(B436=120,"NULL",IF(AND(V436="High Stress", W436="High Risk", Y436="Low"),"High Risk : Reject", IF(AND(V436="Healthy", W436="Good",Y436&lt;&gt;"Low"), "Low Risk : Approve", "Medium Risk : Review")))</f>
        <v>Medium Risk : Review</v>
      </c>
      <c r="AA436" s="5" t="str">
        <f t="shared" si="90"/>
        <v>Medium</v>
      </c>
    </row>
    <row r="437" spans="1:27" x14ac:dyDescent="0.2">
      <c r="A437">
        <v>21143</v>
      </c>
      <c r="B437">
        <v>44</v>
      </c>
      <c r="C437">
        <f t="shared" si="78"/>
        <v>44</v>
      </c>
      <c r="D437" t="s">
        <v>23</v>
      </c>
      <c r="E437" t="str">
        <f t="shared" si="79"/>
        <v>Self-Employed</v>
      </c>
      <c r="F437">
        <v>2880.42</v>
      </c>
      <c r="G437">
        <f>ABS(Table1[[#This Row],[Monthly_Income]])</f>
        <v>2880.42</v>
      </c>
      <c r="H437">
        <v>25097.79</v>
      </c>
      <c r="I437" s="5">
        <f t="shared" si="80"/>
        <v>25097.79</v>
      </c>
      <c r="J437">
        <v>18</v>
      </c>
      <c r="K437">
        <v>18.18</v>
      </c>
      <c r="L437">
        <v>0</v>
      </c>
      <c r="M437">
        <f t="shared" si="81"/>
        <v>0</v>
      </c>
      <c r="N437">
        <v>8.1</v>
      </c>
      <c r="O437">
        <f t="shared" si="82"/>
        <v>8.1</v>
      </c>
      <c r="P437">
        <v>0</v>
      </c>
      <c r="Q437">
        <f t="shared" si="83"/>
        <v>0</v>
      </c>
      <c r="R437" t="s">
        <v>15</v>
      </c>
      <c r="S437" t="str">
        <f t="shared" si="84"/>
        <v xml:space="preserve">Performing </v>
      </c>
      <c r="T437" t="s">
        <v>22</v>
      </c>
      <c r="U437" s="3">
        <f t="shared" si="85"/>
        <v>0.48406887421510292</v>
      </c>
      <c r="V437" t="str">
        <f t="shared" si="86"/>
        <v>High Stress</v>
      </c>
      <c r="W437" t="str">
        <f t="shared" si="87"/>
        <v>Good</v>
      </c>
      <c r="X437" s="5" t="str">
        <f t="shared" si="88"/>
        <v>Medium</v>
      </c>
      <c r="Y437" s="5" t="str">
        <f t="shared" si="89"/>
        <v>Medium</v>
      </c>
      <c r="Z437" s="5" t="str">
        <f>IF(B437=120,"NULL",IF(AND(V437="High Stress", W437="High Risk", Y437="Low"),"High Risk : Reject", IF(AND(V437="Healthy", W437="Good",Y437&lt;&gt;"Low"), "Low Risk : Approve", "Medium Risk : Review")))</f>
        <v>Medium Risk : Review</v>
      </c>
      <c r="AA437" s="5" t="str">
        <f t="shared" si="90"/>
        <v>Medium</v>
      </c>
    </row>
    <row r="438" spans="1:27" x14ac:dyDescent="0.2">
      <c r="A438">
        <v>23876</v>
      </c>
      <c r="B438">
        <v>44</v>
      </c>
      <c r="C438">
        <f t="shared" si="78"/>
        <v>44</v>
      </c>
      <c r="D438" t="s">
        <v>23</v>
      </c>
      <c r="E438" t="str">
        <f t="shared" si="79"/>
        <v>Self-Employed</v>
      </c>
      <c r="F438">
        <v>2943.08</v>
      </c>
      <c r="G438">
        <f>ABS(Table1[[#This Row],[Monthly_Income]])</f>
        <v>2943.08</v>
      </c>
      <c r="H438">
        <v>4221.09</v>
      </c>
      <c r="I438" s="5">
        <f t="shared" si="80"/>
        <v>4221.09</v>
      </c>
      <c r="J438">
        <v>6</v>
      </c>
      <c r="K438">
        <v>21.75</v>
      </c>
      <c r="L438">
        <v>2</v>
      </c>
      <c r="M438">
        <f t="shared" si="81"/>
        <v>2</v>
      </c>
      <c r="N438">
        <v>10.6</v>
      </c>
      <c r="O438">
        <f t="shared" si="82"/>
        <v>10.6</v>
      </c>
      <c r="P438">
        <v>60</v>
      </c>
      <c r="Q438">
        <f t="shared" si="83"/>
        <v>60</v>
      </c>
      <c r="R438" t="s">
        <v>15</v>
      </c>
      <c r="S438" t="str">
        <f t="shared" si="84"/>
        <v xml:space="preserve">Performing </v>
      </c>
      <c r="T438" t="s">
        <v>25</v>
      </c>
      <c r="U438" s="3">
        <f t="shared" si="85"/>
        <v>0.23904039305761313</v>
      </c>
      <c r="V438" t="str">
        <f t="shared" si="86"/>
        <v>Healthy</v>
      </c>
      <c r="W438" t="str">
        <f t="shared" si="87"/>
        <v>High Risk</v>
      </c>
      <c r="X438" s="5" t="str">
        <f t="shared" si="88"/>
        <v>Small</v>
      </c>
      <c r="Y438" s="5" t="str">
        <f t="shared" si="89"/>
        <v>Medium</v>
      </c>
      <c r="Z438" s="5" t="str">
        <f>IF(B438=120,"NULL",IF(AND(V438="High Stress", W438="High Risk", Y438="Low"),"High Risk : Reject", IF(AND(V438="Healthy", W438="Good",Y438&lt;&gt;"Low"), "Low Risk : Approve", "Medium Risk : Review")))</f>
        <v>Medium Risk : Review</v>
      </c>
      <c r="AA438" s="5" t="str">
        <f t="shared" si="90"/>
        <v>Medium</v>
      </c>
    </row>
    <row r="439" spans="1:27" x14ac:dyDescent="0.2">
      <c r="A439">
        <v>20854</v>
      </c>
      <c r="B439">
        <v>24</v>
      </c>
      <c r="C439">
        <f t="shared" si="78"/>
        <v>24</v>
      </c>
      <c r="D439" t="s">
        <v>26</v>
      </c>
      <c r="E439" t="str">
        <f t="shared" si="79"/>
        <v>Salaried</v>
      </c>
      <c r="F439">
        <v>1369.12</v>
      </c>
      <c r="G439">
        <f>ABS(Table1[[#This Row],[Monthly_Income]])</f>
        <v>1369.12</v>
      </c>
      <c r="H439">
        <v>26403.49</v>
      </c>
      <c r="I439" s="5">
        <f t="shared" si="80"/>
        <v>26403.49</v>
      </c>
      <c r="J439">
        <v>60</v>
      </c>
      <c r="K439">
        <v>55</v>
      </c>
      <c r="L439">
        <v>2</v>
      </c>
      <c r="M439">
        <f t="shared" si="81"/>
        <v>2</v>
      </c>
      <c r="N439">
        <v>5</v>
      </c>
      <c r="O439">
        <f t="shared" si="82"/>
        <v>5</v>
      </c>
      <c r="P439">
        <v>0</v>
      </c>
      <c r="Q439">
        <f t="shared" si="83"/>
        <v>0</v>
      </c>
      <c r="R439" t="s">
        <v>20</v>
      </c>
      <c r="S439" t="str">
        <f t="shared" si="84"/>
        <v>Written Off</v>
      </c>
      <c r="T439" t="s">
        <v>16</v>
      </c>
      <c r="U439" s="3">
        <f t="shared" si="85"/>
        <v>0.32141679813797674</v>
      </c>
      <c r="V439" t="str">
        <f t="shared" si="86"/>
        <v>Stretched</v>
      </c>
      <c r="W439" t="str">
        <f t="shared" si="87"/>
        <v>Good</v>
      </c>
      <c r="X439" s="5" t="str">
        <f t="shared" si="88"/>
        <v>Medium</v>
      </c>
      <c r="Y439" s="5" t="str">
        <f t="shared" si="89"/>
        <v>High</v>
      </c>
      <c r="Z439" s="5" t="str">
        <f>IF(B439=120,"NULL",IF(AND(V439="High Stress", W439="High Risk", Y439="Low"),"High Risk : Reject", IF(AND(V439="Healthy", W439="Good",Y439&lt;&gt;"Low"), "Low Risk : Approve", "Medium Risk : Review")))</f>
        <v>Medium Risk : Review</v>
      </c>
      <c r="AA439" s="5" t="str">
        <f t="shared" si="90"/>
        <v>Low</v>
      </c>
    </row>
    <row r="440" spans="1:27" x14ac:dyDescent="0.2">
      <c r="A440">
        <v>20999</v>
      </c>
      <c r="B440">
        <v>42</v>
      </c>
      <c r="C440">
        <f t="shared" si="78"/>
        <v>42</v>
      </c>
      <c r="D440" t="s">
        <v>17</v>
      </c>
      <c r="E440" t="str">
        <f t="shared" si="79"/>
        <v>Contract</v>
      </c>
      <c r="F440">
        <v>8241.4699999999993</v>
      </c>
      <c r="G440">
        <f>ABS(Table1[[#This Row],[Monthly_Income]])</f>
        <v>8241.4699999999993</v>
      </c>
      <c r="H440">
        <v>23610.03</v>
      </c>
      <c r="I440" s="5">
        <f t="shared" si="80"/>
        <v>23610.03</v>
      </c>
      <c r="J440">
        <v>24</v>
      </c>
      <c r="K440">
        <v>22.85</v>
      </c>
      <c r="L440">
        <v>2</v>
      </c>
      <c r="M440">
        <f t="shared" si="81"/>
        <v>2</v>
      </c>
      <c r="N440">
        <v>6.4</v>
      </c>
      <c r="O440">
        <f t="shared" si="82"/>
        <v>6.4</v>
      </c>
      <c r="P440">
        <v>0</v>
      </c>
      <c r="Q440">
        <f t="shared" si="83"/>
        <v>0</v>
      </c>
      <c r="R440" t="s">
        <v>24</v>
      </c>
      <c r="S440" t="str">
        <f t="shared" si="84"/>
        <v>Non-Performing</v>
      </c>
      <c r="T440" t="s">
        <v>16</v>
      </c>
      <c r="U440" s="3">
        <f t="shared" si="85"/>
        <v>0.1193659929599938</v>
      </c>
      <c r="V440" t="str">
        <f t="shared" si="86"/>
        <v>Healthy</v>
      </c>
      <c r="W440" t="str">
        <f t="shared" si="87"/>
        <v>Good</v>
      </c>
      <c r="X440" s="5" t="str">
        <f t="shared" si="88"/>
        <v>Medium</v>
      </c>
      <c r="Y440" s="5" t="str">
        <f t="shared" si="89"/>
        <v>Low</v>
      </c>
      <c r="Z440" s="5" t="str">
        <f>IF(B440=120,"NULL",IF(AND(V440="High Stress", W440="High Risk", Y440="Low"),"High Risk : Reject", IF(AND(V440="Healthy", W440="Good",Y440&lt;&gt;"Low"), "Low Risk : Approve", "Medium Risk : Review")))</f>
        <v>Medium Risk : Review</v>
      </c>
      <c r="AA440" s="5" t="str">
        <f t="shared" si="90"/>
        <v>High</v>
      </c>
    </row>
    <row r="441" spans="1:27" x14ac:dyDescent="0.2">
      <c r="A441">
        <v>23246</v>
      </c>
      <c r="B441">
        <v>49</v>
      </c>
      <c r="C441">
        <f t="shared" si="78"/>
        <v>49</v>
      </c>
      <c r="D441" t="s">
        <v>27</v>
      </c>
      <c r="E441" t="str">
        <f t="shared" si="79"/>
        <v>Unemployed</v>
      </c>
      <c r="F441">
        <v>5746.28</v>
      </c>
      <c r="G441">
        <f>ABS(Table1[[#This Row],[Monthly_Income]])</f>
        <v>5746.28</v>
      </c>
      <c r="H441">
        <v>23591.15</v>
      </c>
      <c r="I441" s="5">
        <f t="shared" si="80"/>
        <v>23591.15</v>
      </c>
      <c r="J441">
        <v>18</v>
      </c>
      <c r="K441">
        <v>28.58</v>
      </c>
      <c r="M441" t="str">
        <f t="shared" si="81"/>
        <v>NULL</v>
      </c>
      <c r="N441">
        <v>5.9</v>
      </c>
      <c r="O441">
        <f t="shared" si="82"/>
        <v>5.9</v>
      </c>
      <c r="P441">
        <v>15</v>
      </c>
      <c r="Q441">
        <f t="shared" si="83"/>
        <v>15</v>
      </c>
      <c r="R441" t="s">
        <v>15</v>
      </c>
      <c r="S441" t="str">
        <f t="shared" si="84"/>
        <v xml:space="preserve">Performing </v>
      </c>
      <c r="T441" t="s">
        <v>22</v>
      </c>
      <c r="U441" s="3">
        <f t="shared" si="85"/>
        <v>0.22808137515826668</v>
      </c>
      <c r="V441" t="str">
        <f t="shared" si="86"/>
        <v>Healthy</v>
      </c>
      <c r="W441" t="str">
        <f t="shared" si="87"/>
        <v>Good</v>
      </c>
      <c r="X441" s="5" t="str">
        <f t="shared" si="88"/>
        <v>Medium</v>
      </c>
      <c r="Y441" s="5" t="str">
        <f t="shared" si="89"/>
        <v>Low</v>
      </c>
      <c r="Z441" s="5" t="str">
        <f>IF(B441=120,"NULL",IF(AND(V441="High Stress", W441="High Risk", Y441="Low"),"High Risk : Reject", IF(AND(V441="Healthy", W441="Good",Y441&lt;&gt;"Low"), "Low Risk : Approve", "Medium Risk : Review")))</f>
        <v>Medium Risk : Review</v>
      </c>
      <c r="AA441" s="5" t="str">
        <f t="shared" si="90"/>
        <v>Medium</v>
      </c>
    </row>
    <row r="442" spans="1:27" x14ac:dyDescent="0.2">
      <c r="A442">
        <v>23929</v>
      </c>
      <c r="B442">
        <v>38</v>
      </c>
      <c r="C442">
        <f t="shared" si="78"/>
        <v>38</v>
      </c>
      <c r="D442" t="s">
        <v>21</v>
      </c>
      <c r="E442" t="str">
        <f t="shared" si="79"/>
        <v>Salaried</v>
      </c>
      <c r="F442">
        <v>6999.13</v>
      </c>
      <c r="G442">
        <f>ABS(Table1[[#This Row],[Monthly_Income]])</f>
        <v>6999.13</v>
      </c>
      <c r="H442">
        <v>2494.88</v>
      </c>
      <c r="I442" s="5">
        <f t="shared" si="80"/>
        <v>2494.88</v>
      </c>
      <c r="J442">
        <v>18</v>
      </c>
      <c r="K442">
        <v>31.9</v>
      </c>
      <c r="L442">
        <v>4</v>
      </c>
      <c r="M442">
        <f t="shared" si="81"/>
        <v>4</v>
      </c>
      <c r="N442">
        <v>3.7</v>
      </c>
      <c r="O442">
        <f t="shared" si="82"/>
        <v>3.7</v>
      </c>
      <c r="P442">
        <v>30</v>
      </c>
      <c r="Q442">
        <f t="shared" si="83"/>
        <v>30</v>
      </c>
      <c r="R442" t="s">
        <v>15</v>
      </c>
      <c r="S442" t="str">
        <f t="shared" si="84"/>
        <v xml:space="preserve">Performing </v>
      </c>
      <c r="T442" t="s">
        <v>14</v>
      </c>
      <c r="U442" s="3">
        <f t="shared" si="85"/>
        <v>1.9803096162586558E-2</v>
      </c>
      <c r="V442" t="str">
        <f t="shared" si="86"/>
        <v>Healthy</v>
      </c>
      <c r="W442" t="str">
        <f t="shared" si="87"/>
        <v>At Risk</v>
      </c>
      <c r="X442" s="5" t="str">
        <f t="shared" si="88"/>
        <v>Small</v>
      </c>
      <c r="Y442" s="5" t="str">
        <f t="shared" si="89"/>
        <v>High</v>
      </c>
      <c r="Z442" s="5" t="str">
        <f>IF(B442=120,"NULL",IF(AND(V442="High Stress", W442="High Risk", Y442="Low"),"High Risk : Reject", IF(AND(V442="Healthy", W442="Good",Y442&lt;&gt;"Low"), "Low Risk : Approve", "Medium Risk : Review")))</f>
        <v>Medium Risk : Review</v>
      </c>
      <c r="AA442" s="5" t="str">
        <f t="shared" si="90"/>
        <v>Medium</v>
      </c>
    </row>
    <row r="443" spans="1:27" x14ac:dyDescent="0.2">
      <c r="A443">
        <v>21469</v>
      </c>
      <c r="B443">
        <v>41</v>
      </c>
      <c r="C443">
        <f t="shared" si="78"/>
        <v>41</v>
      </c>
      <c r="D443" t="s">
        <v>17</v>
      </c>
      <c r="E443" t="str">
        <f t="shared" si="79"/>
        <v>Contract</v>
      </c>
      <c r="F443">
        <v>5013.6899999999996</v>
      </c>
      <c r="G443">
        <f>ABS(Table1[[#This Row],[Monthly_Income]])</f>
        <v>5013.6899999999996</v>
      </c>
      <c r="H443">
        <v>20706.7</v>
      </c>
      <c r="I443" s="5">
        <f t="shared" si="80"/>
        <v>20706.7</v>
      </c>
      <c r="J443">
        <v>6</v>
      </c>
      <c r="K443">
        <v>19.97</v>
      </c>
      <c r="L443">
        <v>1</v>
      </c>
      <c r="M443">
        <f t="shared" si="81"/>
        <v>1</v>
      </c>
      <c r="N443">
        <v>4</v>
      </c>
      <c r="O443">
        <f t="shared" si="82"/>
        <v>4</v>
      </c>
      <c r="P443">
        <v>90</v>
      </c>
      <c r="Q443">
        <f t="shared" si="83"/>
        <v>90</v>
      </c>
      <c r="R443" t="s">
        <v>18</v>
      </c>
      <c r="S443" t="str">
        <f t="shared" si="84"/>
        <v>Non-Performing</v>
      </c>
      <c r="T443" t="s">
        <v>22</v>
      </c>
      <c r="U443" s="3">
        <f t="shared" si="85"/>
        <v>0.68833866207656769</v>
      </c>
      <c r="V443" t="str">
        <f t="shared" si="86"/>
        <v>High Stress</v>
      </c>
      <c r="W443" t="str">
        <f t="shared" si="87"/>
        <v>High Risk</v>
      </c>
      <c r="X443" s="5" t="str">
        <f t="shared" si="88"/>
        <v>Medium</v>
      </c>
      <c r="Y443" s="5" t="str">
        <f t="shared" si="89"/>
        <v>Low</v>
      </c>
      <c r="Z443" s="5" t="str">
        <f>IF(B443=120,"NULL",IF(AND(V443="High Stress", W443="High Risk", Y443="Low"),"High Risk : Reject", IF(AND(V443="Healthy", W443="Good",Y443&lt;&gt;"Low"), "Low Risk : Approve", "Medium Risk : Review")))</f>
        <v>High Risk : Reject</v>
      </c>
      <c r="AA443" s="5" t="str">
        <f t="shared" si="90"/>
        <v>Medium</v>
      </c>
    </row>
    <row r="444" spans="1:27" x14ac:dyDescent="0.2">
      <c r="A444">
        <v>22263</v>
      </c>
      <c r="B444">
        <v>62</v>
      </c>
      <c r="C444">
        <f t="shared" si="78"/>
        <v>62</v>
      </c>
      <c r="D444" t="s">
        <v>17</v>
      </c>
      <c r="E444" t="str">
        <f t="shared" si="79"/>
        <v>Contract</v>
      </c>
      <c r="F444">
        <v>4910.91</v>
      </c>
      <c r="G444">
        <f>ABS(Table1[[#This Row],[Monthly_Income]])</f>
        <v>4910.91</v>
      </c>
      <c r="H444">
        <v>18960.63</v>
      </c>
      <c r="I444" s="5">
        <f t="shared" si="80"/>
        <v>18960.63</v>
      </c>
      <c r="J444">
        <v>18</v>
      </c>
      <c r="K444">
        <v>12.77</v>
      </c>
      <c r="M444" t="str">
        <f t="shared" si="81"/>
        <v>NULL</v>
      </c>
      <c r="N444">
        <v>11.3</v>
      </c>
      <c r="O444">
        <f t="shared" si="82"/>
        <v>11.3</v>
      </c>
      <c r="P444">
        <v>60</v>
      </c>
      <c r="Q444">
        <f t="shared" si="83"/>
        <v>60</v>
      </c>
      <c r="R444" t="s">
        <v>24</v>
      </c>
      <c r="S444" t="str">
        <f t="shared" si="84"/>
        <v>Non-Performing</v>
      </c>
      <c r="T444" t="s">
        <v>25</v>
      </c>
      <c r="U444" s="3">
        <f t="shared" si="85"/>
        <v>0.21449554834711557</v>
      </c>
      <c r="V444" t="str">
        <f t="shared" si="86"/>
        <v>Healthy</v>
      </c>
      <c r="W444" t="str">
        <f t="shared" si="87"/>
        <v>High Risk</v>
      </c>
      <c r="X444" s="5" t="str">
        <f t="shared" si="88"/>
        <v>Medium</v>
      </c>
      <c r="Y444" s="5" t="str">
        <f t="shared" si="89"/>
        <v>Low</v>
      </c>
      <c r="Z444" s="5" t="str">
        <f>IF(B444=120,"NULL",IF(AND(V444="High Stress", W444="High Risk", Y444="Low"),"High Risk : Reject", IF(AND(V444="Healthy", W444="Good",Y444&lt;&gt;"Low"), "Low Risk : Approve", "Medium Risk : Review")))</f>
        <v>Medium Risk : Review</v>
      </c>
      <c r="AA444" s="5" t="str">
        <f t="shared" si="90"/>
        <v>Medium</v>
      </c>
    </row>
    <row r="445" spans="1:27" x14ac:dyDescent="0.2">
      <c r="A445">
        <v>21501</v>
      </c>
      <c r="B445">
        <v>75</v>
      </c>
      <c r="C445">
        <f t="shared" si="78"/>
        <v>75</v>
      </c>
      <c r="D445" t="s">
        <v>27</v>
      </c>
      <c r="E445" t="str">
        <f t="shared" si="79"/>
        <v>Unemployed</v>
      </c>
      <c r="F445">
        <v>4017.83</v>
      </c>
      <c r="G445">
        <f>ABS(Table1[[#This Row],[Monthly_Income]])</f>
        <v>4017.83</v>
      </c>
      <c r="H445">
        <v>24875.01</v>
      </c>
      <c r="I445" s="5">
        <f t="shared" si="80"/>
        <v>24875.01</v>
      </c>
      <c r="J445">
        <v>18</v>
      </c>
      <c r="K445">
        <v>16.55</v>
      </c>
      <c r="L445">
        <v>1</v>
      </c>
      <c r="M445">
        <f t="shared" si="81"/>
        <v>1</v>
      </c>
      <c r="N445">
        <v>5.7</v>
      </c>
      <c r="O445">
        <f t="shared" si="82"/>
        <v>5.7</v>
      </c>
      <c r="P445">
        <v>15</v>
      </c>
      <c r="Q445">
        <f t="shared" si="83"/>
        <v>15</v>
      </c>
      <c r="R445" t="s">
        <v>24</v>
      </c>
      <c r="S445" t="str">
        <f t="shared" si="84"/>
        <v>Non-Performing</v>
      </c>
      <c r="T445" t="s">
        <v>25</v>
      </c>
      <c r="U445" s="3">
        <f t="shared" si="85"/>
        <v>0.3439530791496902</v>
      </c>
      <c r="V445" t="str">
        <f t="shared" si="86"/>
        <v>Stretched</v>
      </c>
      <c r="W445" t="str">
        <f t="shared" si="87"/>
        <v>Good</v>
      </c>
      <c r="X445" s="5" t="str">
        <f t="shared" si="88"/>
        <v>Medium</v>
      </c>
      <c r="Y445" s="5" t="str">
        <f t="shared" si="89"/>
        <v>Low</v>
      </c>
      <c r="Z445" s="5" t="str">
        <f>IF(B445=120,"NULL",IF(AND(V445="High Stress", W445="High Risk", Y445="Low"),"High Risk : Reject", IF(AND(V445="Healthy", W445="Good",Y445&lt;&gt;"Low"), "Low Risk : Approve", "Medium Risk : Review")))</f>
        <v>Medium Risk : Review</v>
      </c>
      <c r="AA445" s="5" t="str">
        <f t="shared" si="90"/>
        <v>Medium</v>
      </c>
    </row>
    <row r="446" spans="1:27" x14ac:dyDescent="0.2">
      <c r="A446">
        <v>22292</v>
      </c>
      <c r="B446">
        <v>26</v>
      </c>
      <c r="C446">
        <f t="shared" si="78"/>
        <v>26</v>
      </c>
      <c r="D446" t="s">
        <v>27</v>
      </c>
      <c r="E446" t="str">
        <f t="shared" si="79"/>
        <v>Unemployed</v>
      </c>
      <c r="F446">
        <v>5819.05</v>
      </c>
      <c r="G446">
        <f>ABS(Table1[[#This Row],[Monthly_Income]])</f>
        <v>5819.05</v>
      </c>
      <c r="H446">
        <v>26294.19</v>
      </c>
      <c r="I446" s="5">
        <f t="shared" si="80"/>
        <v>26294.19</v>
      </c>
      <c r="J446">
        <v>12</v>
      </c>
      <c r="K446">
        <v>16.66</v>
      </c>
      <c r="L446">
        <v>4</v>
      </c>
      <c r="M446">
        <f t="shared" si="81"/>
        <v>4</v>
      </c>
      <c r="N446">
        <v>9.3000000000000007</v>
      </c>
      <c r="O446">
        <f t="shared" si="82"/>
        <v>9.3000000000000007</v>
      </c>
      <c r="P446">
        <v>0</v>
      </c>
      <c r="Q446">
        <f t="shared" si="83"/>
        <v>0</v>
      </c>
      <c r="R446" t="s">
        <v>20</v>
      </c>
      <c r="S446" t="str">
        <f t="shared" si="84"/>
        <v>Written Off</v>
      </c>
      <c r="T446" t="s">
        <v>25</v>
      </c>
      <c r="U446" s="3">
        <f t="shared" si="85"/>
        <v>0.37655330337426207</v>
      </c>
      <c r="V446" t="str">
        <f t="shared" si="86"/>
        <v>Stretched</v>
      </c>
      <c r="W446" t="str">
        <f t="shared" si="87"/>
        <v>Good</v>
      </c>
      <c r="X446" s="5" t="str">
        <f t="shared" si="88"/>
        <v>Medium</v>
      </c>
      <c r="Y446" s="5" t="str">
        <f t="shared" si="89"/>
        <v>Low</v>
      </c>
      <c r="Z446" s="5" t="str">
        <f>IF(B446=120,"NULL",IF(AND(V446="High Stress", W446="High Risk", Y446="Low"),"High Risk : Reject", IF(AND(V446="Healthy", W446="Good",Y446&lt;&gt;"Low"), "Low Risk : Approve", "Medium Risk : Review")))</f>
        <v>Medium Risk : Review</v>
      </c>
      <c r="AA446" s="5" t="str">
        <f t="shared" si="90"/>
        <v>Medium</v>
      </c>
    </row>
    <row r="447" spans="1:27" x14ac:dyDescent="0.2">
      <c r="A447">
        <v>23980</v>
      </c>
      <c r="B447">
        <v>40</v>
      </c>
      <c r="C447">
        <f t="shared" si="78"/>
        <v>40</v>
      </c>
      <c r="D447" t="s">
        <v>23</v>
      </c>
      <c r="E447" t="str">
        <f t="shared" si="79"/>
        <v>Self-Employed</v>
      </c>
      <c r="F447">
        <v>3084.64</v>
      </c>
      <c r="G447">
        <f>ABS(Table1[[#This Row],[Monthly_Income]])</f>
        <v>3084.64</v>
      </c>
      <c r="H447">
        <v>32380.94</v>
      </c>
      <c r="I447" s="5">
        <f t="shared" si="80"/>
        <v>32380.94</v>
      </c>
      <c r="J447">
        <v>36</v>
      </c>
      <c r="K447">
        <v>16.760000000000002</v>
      </c>
      <c r="L447">
        <v>1</v>
      </c>
      <c r="M447">
        <f t="shared" si="81"/>
        <v>1</v>
      </c>
      <c r="N447">
        <v>8</v>
      </c>
      <c r="O447">
        <f t="shared" si="82"/>
        <v>8</v>
      </c>
      <c r="Q447" t="str">
        <f t="shared" si="83"/>
        <v>NULL</v>
      </c>
      <c r="R447" t="s">
        <v>13</v>
      </c>
      <c r="S447" t="str">
        <f t="shared" si="84"/>
        <v>Performing</v>
      </c>
      <c r="T447" t="s">
        <v>25</v>
      </c>
      <c r="U447" s="3">
        <f t="shared" si="85"/>
        <v>0.29159660626703782</v>
      </c>
      <c r="V447" t="str">
        <f t="shared" si="86"/>
        <v>Healthy</v>
      </c>
      <c r="W447" t="str">
        <f t="shared" si="87"/>
        <v>NULL</v>
      </c>
      <c r="X447" s="5" t="str">
        <f t="shared" si="88"/>
        <v>High</v>
      </c>
      <c r="Y447" s="5" t="str">
        <f t="shared" si="89"/>
        <v>Medium</v>
      </c>
      <c r="Z447" s="5" t="str">
        <f>IF(B447=120,"NULL",IF(AND(V447="High Stress", W447="High Risk", Y447="Low"),"High Risk : Reject", IF(AND(V447="Healthy", W447="Good",Y447&lt;&gt;"Low"), "Low Risk : Approve", "Medium Risk : Review")))</f>
        <v>Medium Risk : Review</v>
      </c>
      <c r="AA447" s="5" t="str">
        <f t="shared" si="90"/>
        <v>Medium</v>
      </c>
    </row>
    <row r="448" spans="1:27" x14ac:dyDescent="0.2">
      <c r="A448">
        <v>21401</v>
      </c>
      <c r="B448">
        <v>53</v>
      </c>
      <c r="C448">
        <f t="shared" si="78"/>
        <v>53</v>
      </c>
      <c r="D448" t="s">
        <v>26</v>
      </c>
      <c r="E448" t="str">
        <f t="shared" si="79"/>
        <v>Salaried</v>
      </c>
      <c r="F448">
        <v>2961.64</v>
      </c>
      <c r="G448">
        <f>ABS(Table1[[#This Row],[Monthly_Income]])</f>
        <v>2961.64</v>
      </c>
      <c r="H448">
        <v>19463.689999999999</v>
      </c>
      <c r="I448" s="5">
        <f t="shared" si="80"/>
        <v>19463.689999999999</v>
      </c>
      <c r="J448">
        <v>12</v>
      </c>
      <c r="K448">
        <v>17.420000000000002</v>
      </c>
      <c r="L448">
        <v>4</v>
      </c>
      <c r="M448">
        <f t="shared" si="81"/>
        <v>4</v>
      </c>
      <c r="N448">
        <v>13.8</v>
      </c>
      <c r="O448">
        <f t="shared" si="82"/>
        <v>13.8</v>
      </c>
      <c r="P448">
        <v>15</v>
      </c>
      <c r="Q448">
        <f t="shared" si="83"/>
        <v>15</v>
      </c>
      <c r="R448" t="s">
        <v>20</v>
      </c>
      <c r="S448" t="str">
        <f t="shared" si="84"/>
        <v>Written Off</v>
      </c>
      <c r="T448" t="s">
        <v>19</v>
      </c>
      <c r="U448" s="3">
        <f t="shared" si="85"/>
        <v>0.54766081180246973</v>
      </c>
      <c r="V448" t="str">
        <f t="shared" si="86"/>
        <v>High Stress</v>
      </c>
      <c r="W448" t="str">
        <f t="shared" si="87"/>
        <v>Good</v>
      </c>
      <c r="X448" s="5" t="str">
        <f t="shared" si="88"/>
        <v>Medium</v>
      </c>
      <c r="Y448" s="5" t="str">
        <f t="shared" si="89"/>
        <v>High</v>
      </c>
      <c r="Z448" s="5" t="str">
        <f>IF(B448=120,"NULL",IF(AND(V448="High Stress", W448="High Risk", Y448="Low"),"High Risk : Reject", IF(AND(V448="Healthy", W448="Good",Y448&lt;&gt;"Low"), "Low Risk : Approve", "Medium Risk : Review")))</f>
        <v>Medium Risk : Review</v>
      </c>
      <c r="AA448" s="5" t="str">
        <f t="shared" si="90"/>
        <v>Medium</v>
      </c>
    </row>
    <row r="449" spans="1:27" x14ac:dyDescent="0.2">
      <c r="A449">
        <v>25132</v>
      </c>
      <c r="B449">
        <v>55</v>
      </c>
      <c r="C449">
        <f t="shared" si="78"/>
        <v>55</v>
      </c>
      <c r="D449" t="s">
        <v>23</v>
      </c>
      <c r="E449" t="str">
        <f t="shared" si="79"/>
        <v>Self-Employed</v>
      </c>
      <c r="F449">
        <v>3959.74</v>
      </c>
      <c r="G449">
        <f>ABS(Table1[[#This Row],[Monthly_Income]])</f>
        <v>3959.74</v>
      </c>
      <c r="H449">
        <v>24412.84</v>
      </c>
      <c r="I449" s="5">
        <f t="shared" si="80"/>
        <v>24412.84</v>
      </c>
      <c r="J449">
        <v>36</v>
      </c>
      <c r="K449">
        <v>19.829999999999998</v>
      </c>
      <c r="L449">
        <v>3</v>
      </c>
      <c r="M449">
        <f t="shared" si="81"/>
        <v>3</v>
      </c>
      <c r="N449">
        <v>6.7</v>
      </c>
      <c r="O449">
        <f t="shared" si="82"/>
        <v>6.7</v>
      </c>
      <c r="P449">
        <v>30</v>
      </c>
      <c r="Q449">
        <f t="shared" si="83"/>
        <v>30</v>
      </c>
      <c r="R449" t="s">
        <v>24</v>
      </c>
      <c r="S449" t="str">
        <f t="shared" si="84"/>
        <v>Non-Performing</v>
      </c>
      <c r="T449" t="s">
        <v>16</v>
      </c>
      <c r="U449" s="3">
        <f t="shared" si="85"/>
        <v>0.17125731599661709</v>
      </c>
      <c r="V449" t="str">
        <f t="shared" si="86"/>
        <v>Healthy</v>
      </c>
      <c r="W449" t="str">
        <f t="shared" si="87"/>
        <v>At Risk</v>
      </c>
      <c r="X449" s="5" t="str">
        <f t="shared" si="88"/>
        <v>Medium</v>
      </c>
      <c r="Y449" s="5" t="str">
        <f t="shared" si="89"/>
        <v>Medium</v>
      </c>
      <c r="Z449" s="5" t="str">
        <f>IF(B449=120,"NULL",IF(AND(V449="High Stress", W449="High Risk", Y449="Low"),"High Risk : Reject", IF(AND(V449="Healthy", W449="Good",Y449&lt;&gt;"Low"), "Low Risk : Approve", "Medium Risk : Review")))</f>
        <v>Medium Risk : Review</v>
      </c>
      <c r="AA449" s="5" t="str">
        <f t="shared" si="90"/>
        <v>Medium</v>
      </c>
    </row>
    <row r="450" spans="1:27" x14ac:dyDescent="0.2">
      <c r="A450">
        <v>22455</v>
      </c>
      <c r="B450">
        <v>60</v>
      </c>
      <c r="C450">
        <f t="shared" ref="C450:C513" si="91">IF(B450=120,"NULL",B450)</f>
        <v>60</v>
      </c>
      <c r="D450" t="s">
        <v>17</v>
      </c>
      <c r="E450" t="str">
        <f t="shared" ref="E450:E513" si="92">TRIM(IF(D450="Self employed","Self-Employed",D450))</f>
        <v>Contract</v>
      </c>
      <c r="F450">
        <v>859.6</v>
      </c>
      <c r="G450">
        <f>ABS(Table1[[#This Row],[Monthly_Income]])</f>
        <v>859.6</v>
      </c>
      <c r="H450">
        <v>6292.82</v>
      </c>
      <c r="I450" s="5">
        <f t="shared" ref="I450:I513" si="93">IF(H450="","NULL",ABS(H450))</f>
        <v>6292.82</v>
      </c>
      <c r="J450">
        <v>12</v>
      </c>
      <c r="K450">
        <v>13.39</v>
      </c>
      <c r="L450">
        <v>0</v>
      </c>
      <c r="M450">
        <f t="shared" ref="M450:M513" si="94">IF(L450="","NULL",L450)</f>
        <v>0</v>
      </c>
      <c r="N450">
        <v>1.8</v>
      </c>
      <c r="O450">
        <f t="shared" ref="O450:O513" si="95">IF(N450="","NULL",ABS(N450))</f>
        <v>1.8</v>
      </c>
      <c r="P450">
        <v>0</v>
      </c>
      <c r="Q450">
        <f t="shared" ref="Q450:Q513" si="96">IF(P450="","NULL",P450)</f>
        <v>0</v>
      </c>
      <c r="R450" t="s">
        <v>15</v>
      </c>
      <c r="S450" t="str">
        <f t="shared" ref="S450:S513" si="97">IF(R450="Non performing","Non-Performing",R450)</f>
        <v xml:space="preserve">Performing </v>
      </c>
      <c r="T450" t="s">
        <v>16</v>
      </c>
      <c r="U450" s="3">
        <f t="shared" ref="U450:U513" si="98">IFERROR(I450/(G450*J450),"NULL")</f>
        <v>0.61005312548472146</v>
      </c>
      <c r="V450" t="str">
        <f t="shared" ref="V450:V513" si="99">IF(U450="NULL","NULL",IF(U450&lt;=0.3,"Healthy",IF(U450&lt;=0.45,"Stretched","High Stress")))</f>
        <v>High Stress</v>
      </c>
      <c r="W450" t="str">
        <f t="shared" ref="W450:W513" si="100">IF(Q450="NULL","NULL",IF(Q450&lt;30,"Good",IF(Q450&lt;60,"At Risk","High Risk")))</f>
        <v>Good</v>
      </c>
      <c r="X450" s="5" t="str">
        <f t="shared" ref="X450:X513" si="101">IF(I450&lt;10000,"Small",IF(I450&lt;=30000,"Medium","High"))</f>
        <v>Small</v>
      </c>
      <c r="Y450" s="5" t="str">
        <f t="shared" ref="Y450:Y513" si="102">IF(E450="Salaried","High",IF(E450="Self-Employed","Medium","Low"))</f>
        <v>Low</v>
      </c>
      <c r="Z450" s="5" t="str">
        <f>IF(B450=120,"NULL",IF(AND(V450="High Stress", W450="High Risk", Y450="Low"),"High Risk : Reject", IF(AND(V450="Healthy", W450="Good",Y450&lt;&gt;"Low"), "Low Risk : Approve", "Medium Risk : Review")))</f>
        <v>Medium Risk : Review</v>
      </c>
      <c r="AA450" s="5" t="str">
        <f t="shared" ref="AA450:AA513" si="103">IF(G450="NULL","NULL",IF(G450&gt;8000,"High",IF(G450&gt;2000,"Medium","Low")))</f>
        <v>Low</v>
      </c>
    </row>
    <row r="451" spans="1:27" x14ac:dyDescent="0.2">
      <c r="A451">
        <v>25021</v>
      </c>
      <c r="B451">
        <v>75</v>
      </c>
      <c r="C451">
        <f t="shared" si="91"/>
        <v>75</v>
      </c>
      <c r="D451" t="s">
        <v>23</v>
      </c>
      <c r="E451" t="str">
        <f t="shared" si="92"/>
        <v>Self-Employed</v>
      </c>
      <c r="F451">
        <v>8903.4</v>
      </c>
      <c r="G451">
        <f>ABS(Table1[[#This Row],[Monthly_Income]])</f>
        <v>8903.4</v>
      </c>
      <c r="H451">
        <v>18009.41</v>
      </c>
      <c r="I451" s="5">
        <f t="shared" si="93"/>
        <v>18009.41</v>
      </c>
      <c r="J451">
        <v>36</v>
      </c>
      <c r="K451">
        <v>19.03</v>
      </c>
      <c r="L451">
        <v>0</v>
      </c>
      <c r="M451">
        <f t="shared" si="94"/>
        <v>0</v>
      </c>
      <c r="N451">
        <v>10.8</v>
      </c>
      <c r="O451">
        <f t="shared" si="95"/>
        <v>10.8</v>
      </c>
      <c r="P451">
        <v>15</v>
      </c>
      <c r="Q451">
        <f t="shared" si="96"/>
        <v>15</v>
      </c>
      <c r="R451" t="s">
        <v>13</v>
      </c>
      <c r="S451" t="str">
        <f t="shared" si="97"/>
        <v>Performing</v>
      </c>
      <c r="T451" t="s">
        <v>19</v>
      </c>
      <c r="U451" s="3">
        <f t="shared" si="98"/>
        <v>5.6187679862624275E-2</v>
      </c>
      <c r="V451" t="str">
        <f t="shared" si="99"/>
        <v>Healthy</v>
      </c>
      <c r="W451" t="str">
        <f t="shared" si="100"/>
        <v>Good</v>
      </c>
      <c r="X451" s="5" t="str">
        <f t="shared" si="101"/>
        <v>Medium</v>
      </c>
      <c r="Y451" s="5" t="str">
        <f t="shared" si="102"/>
        <v>Medium</v>
      </c>
      <c r="Z451" s="5" t="str">
        <f>IF(B451=120,"NULL",IF(AND(V451="High Stress", W451="High Risk", Y451="Low"),"High Risk : Reject", IF(AND(V451="Healthy", W451="Good",Y451&lt;&gt;"Low"), "Low Risk : Approve", "Medium Risk : Review")))</f>
        <v>Low Risk : Approve</v>
      </c>
      <c r="AA451" s="5" t="str">
        <f t="shared" si="103"/>
        <v>High</v>
      </c>
    </row>
    <row r="452" spans="1:27" x14ac:dyDescent="0.2">
      <c r="A452">
        <v>20835</v>
      </c>
      <c r="B452">
        <v>56</v>
      </c>
      <c r="C452">
        <f t="shared" si="91"/>
        <v>56</v>
      </c>
      <c r="D452" t="s">
        <v>23</v>
      </c>
      <c r="E452" t="str">
        <f t="shared" si="92"/>
        <v>Self-Employed</v>
      </c>
      <c r="F452">
        <v>7351.97</v>
      </c>
      <c r="G452">
        <f>ABS(Table1[[#This Row],[Monthly_Income]])</f>
        <v>7351.97</v>
      </c>
      <c r="H452">
        <v>22937.38</v>
      </c>
      <c r="I452" s="5">
        <f t="shared" si="93"/>
        <v>22937.38</v>
      </c>
      <c r="J452">
        <v>24</v>
      </c>
      <c r="K452">
        <v>23.12</v>
      </c>
      <c r="M452" t="str">
        <f t="shared" si="94"/>
        <v>NULL</v>
      </c>
      <c r="N452">
        <v>6.5</v>
      </c>
      <c r="O452">
        <f t="shared" si="95"/>
        <v>6.5</v>
      </c>
      <c r="P452">
        <v>0</v>
      </c>
      <c r="Q452">
        <f t="shared" si="96"/>
        <v>0</v>
      </c>
      <c r="R452" t="s">
        <v>20</v>
      </c>
      <c r="S452" t="str">
        <f t="shared" si="97"/>
        <v>Written Off</v>
      </c>
      <c r="T452" t="s">
        <v>19</v>
      </c>
      <c r="U452" s="3">
        <f t="shared" si="98"/>
        <v>0.12999565649297626</v>
      </c>
      <c r="V452" t="str">
        <f t="shared" si="99"/>
        <v>Healthy</v>
      </c>
      <c r="W452" t="str">
        <f t="shared" si="100"/>
        <v>Good</v>
      </c>
      <c r="X452" s="5" t="str">
        <f t="shared" si="101"/>
        <v>Medium</v>
      </c>
      <c r="Y452" s="5" t="str">
        <f t="shared" si="102"/>
        <v>Medium</v>
      </c>
      <c r="Z452" s="5" t="str">
        <f>IF(B452=120,"NULL",IF(AND(V452="High Stress", W452="High Risk", Y452="Low"),"High Risk : Reject", IF(AND(V452="Healthy", W452="Good",Y452&lt;&gt;"Low"), "Low Risk : Approve", "Medium Risk : Review")))</f>
        <v>Low Risk : Approve</v>
      </c>
      <c r="AA452" s="5" t="str">
        <f t="shared" si="103"/>
        <v>Medium</v>
      </c>
    </row>
    <row r="453" spans="1:27" x14ac:dyDescent="0.2">
      <c r="A453">
        <v>20094</v>
      </c>
      <c r="B453">
        <v>49</v>
      </c>
      <c r="C453">
        <f t="shared" si="91"/>
        <v>49</v>
      </c>
      <c r="D453" t="s">
        <v>27</v>
      </c>
      <c r="E453" t="str">
        <f t="shared" si="92"/>
        <v>Unemployed</v>
      </c>
      <c r="F453">
        <v>1594.56</v>
      </c>
      <c r="G453">
        <f>ABS(Table1[[#This Row],[Monthly_Income]])</f>
        <v>1594.56</v>
      </c>
      <c r="H453">
        <v>9314.9500000000007</v>
      </c>
      <c r="I453" s="5">
        <f t="shared" si="93"/>
        <v>9314.9500000000007</v>
      </c>
      <c r="J453">
        <v>24</v>
      </c>
      <c r="K453">
        <v>15.76</v>
      </c>
      <c r="M453" t="str">
        <f t="shared" si="94"/>
        <v>NULL</v>
      </c>
      <c r="N453">
        <v>-2.2999999999999998</v>
      </c>
      <c r="O453">
        <f t="shared" si="95"/>
        <v>2.2999999999999998</v>
      </c>
      <c r="P453">
        <v>30</v>
      </c>
      <c r="Q453">
        <f t="shared" si="96"/>
        <v>30</v>
      </c>
      <c r="R453" t="s">
        <v>18</v>
      </c>
      <c r="S453" t="str">
        <f t="shared" si="97"/>
        <v>Non-Performing</v>
      </c>
      <c r="T453" t="s">
        <v>16</v>
      </c>
      <c r="U453" s="3">
        <f t="shared" si="98"/>
        <v>0.2434043978694227</v>
      </c>
      <c r="V453" t="str">
        <f t="shared" si="99"/>
        <v>Healthy</v>
      </c>
      <c r="W453" t="str">
        <f t="shared" si="100"/>
        <v>At Risk</v>
      </c>
      <c r="X453" s="5" t="str">
        <f t="shared" si="101"/>
        <v>Small</v>
      </c>
      <c r="Y453" s="5" t="str">
        <f t="shared" si="102"/>
        <v>Low</v>
      </c>
      <c r="Z453" s="5" t="str">
        <f>IF(B453=120,"NULL",IF(AND(V453="High Stress", W453="High Risk", Y453="Low"),"High Risk : Reject", IF(AND(V453="Healthy", W453="Good",Y453&lt;&gt;"Low"), "Low Risk : Approve", "Medium Risk : Review")))</f>
        <v>Medium Risk : Review</v>
      </c>
      <c r="AA453" s="5" t="str">
        <f t="shared" si="103"/>
        <v>Low</v>
      </c>
    </row>
    <row r="454" spans="1:27" x14ac:dyDescent="0.2">
      <c r="A454">
        <v>23432</v>
      </c>
      <c r="B454">
        <v>35</v>
      </c>
      <c r="C454">
        <f t="shared" si="91"/>
        <v>35</v>
      </c>
      <c r="D454" t="s">
        <v>23</v>
      </c>
      <c r="E454" t="str">
        <f t="shared" si="92"/>
        <v>Self-Employed</v>
      </c>
      <c r="F454">
        <v>5989.11</v>
      </c>
      <c r="G454">
        <f>ABS(Table1[[#This Row],[Monthly_Income]])</f>
        <v>5989.11</v>
      </c>
      <c r="H454">
        <v>1786.83</v>
      </c>
      <c r="I454" s="5">
        <f t="shared" si="93"/>
        <v>1786.83</v>
      </c>
      <c r="J454">
        <v>18</v>
      </c>
      <c r="K454">
        <v>20.440000000000001</v>
      </c>
      <c r="L454">
        <v>0</v>
      </c>
      <c r="M454">
        <f t="shared" si="94"/>
        <v>0</v>
      </c>
      <c r="N454">
        <v>3.3</v>
      </c>
      <c r="O454">
        <f t="shared" si="95"/>
        <v>3.3</v>
      </c>
      <c r="P454">
        <v>15</v>
      </c>
      <c r="Q454">
        <f t="shared" si="96"/>
        <v>15</v>
      </c>
      <c r="R454" t="s">
        <v>24</v>
      </c>
      <c r="S454" t="str">
        <f t="shared" si="97"/>
        <v>Non-Performing</v>
      </c>
      <c r="T454" t="s">
        <v>16</v>
      </c>
      <c r="U454" s="3">
        <f t="shared" si="98"/>
        <v>1.6574805494194184E-2</v>
      </c>
      <c r="V454" t="str">
        <f t="shared" si="99"/>
        <v>Healthy</v>
      </c>
      <c r="W454" t="str">
        <f t="shared" si="100"/>
        <v>Good</v>
      </c>
      <c r="X454" s="5" t="str">
        <f t="shared" si="101"/>
        <v>Small</v>
      </c>
      <c r="Y454" s="5" t="str">
        <f t="shared" si="102"/>
        <v>Medium</v>
      </c>
      <c r="Z454" s="5" t="str">
        <f>IF(B454=120,"NULL",IF(AND(V454="High Stress", W454="High Risk", Y454="Low"),"High Risk : Reject", IF(AND(V454="Healthy", W454="Good",Y454&lt;&gt;"Low"), "Low Risk : Approve", "Medium Risk : Review")))</f>
        <v>Low Risk : Approve</v>
      </c>
      <c r="AA454" s="5" t="str">
        <f t="shared" si="103"/>
        <v>Medium</v>
      </c>
    </row>
    <row r="455" spans="1:27" x14ac:dyDescent="0.2">
      <c r="A455">
        <v>24407</v>
      </c>
      <c r="B455">
        <v>31</v>
      </c>
      <c r="C455">
        <f t="shared" si="91"/>
        <v>31</v>
      </c>
      <c r="D455" t="s">
        <v>26</v>
      </c>
      <c r="E455" t="str">
        <f t="shared" si="92"/>
        <v>Salaried</v>
      </c>
      <c r="F455">
        <v>1863.7</v>
      </c>
      <c r="G455">
        <f>ABS(Table1[[#This Row],[Monthly_Income]])</f>
        <v>1863.7</v>
      </c>
      <c r="H455"/>
      <c r="I455" s="5" t="str">
        <f t="shared" si="93"/>
        <v>NULL</v>
      </c>
      <c r="J455">
        <v>60</v>
      </c>
      <c r="K455">
        <v>20.02</v>
      </c>
      <c r="M455" t="str">
        <f t="shared" si="94"/>
        <v>NULL</v>
      </c>
      <c r="N455">
        <v>3.5</v>
      </c>
      <c r="O455">
        <f t="shared" si="95"/>
        <v>3.5</v>
      </c>
      <c r="P455">
        <v>0</v>
      </c>
      <c r="Q455">
        <f t="shared" si="96"/>
        <v>0</v>
      </c>
      <c r="R455" t="s">
        <v>18</v>
      </c>
      <c r="S455" t="str">
        <f t="shared" si="97"/>
        <v>Non-Performing</v>
      </c>
      <c r="T455" t="s">
        <v>25</v>
      </c>
      <c r="U455" s="3" t="str">
        <f t="shared" si="98"/>
        <v>NULL</v>
      </c>
      <c r="V455" t="str">
        <f t="shared" si="99"/>
        <v>NULL</v>
      </c>
      <c r="W455" t="str">
        <f t="shared" si="100"/>
        <v>Good</v>
      </c>
      <c r="X455" s="5" t="str">
        <f t="shared" si="101"/>
        <v>High</v>
      </c>
      <c r="Y455" s="5" t="str">
        <f t="shared" si="102"/>
        <v>High</v>
      </c>
      <c r="Z455" s="5" t="str">
        <f>IF(B455=120,"NULL",IF(AND(V455="High Stress", W455="High Risk", Y455="Low"),"High Risk : Reject", IF(AND(V455="Healthy", W455="Good",Y455&lt;&gt;"Low"), "Low Risk : Approve", "Medium Risk : Review")))</f>
        <v>Medium Risk : Review</v>
      </c>
      <c r="AA455" s="5" t="str">
        <f t="shared" si="103"/>
        <v>Low</v>
      </c>
    </row>
    <row r="456" spans="1:27" x14ac:dyDescent="0.2">
      <c r="A456">
        <v>20683</v>
      </c>
      <c r="B456">
        <v>25</v>
      </c>
      <c r="C456">
        <f t="shared" si="91"/>
        <v>25</v>
      </c>
      <c r="D456" t="s">
        <v>12</v>
      </c>
      <c r="E456" t="str">
        <f t="shared" si="92"/>
        <v>Self-Employed</v>
      </c>
      <c r="F456">
        <v>3335.83</v>
      </c>
      <c r="G456">
        <f>ABS(Table1[[#This Row],[Monthly_Income]])</f>
        <v>3335.83</v>
      </c>
      <c r="H456">
        <v>6372.43</v>
      </c>
      <c r="I456" s="5">
        <f t="shared" si="93"/>
        <v>6372.43</v>
      </c>
      <c r="J456">
        <v>6</v>
      </c>
      <c r="K456">
        <v>24.17</v>
      </c>
      <c r="L456">
        <v>4</v>
      </c>
      <c r="M456">
        <f t="shared" si="94"/>
        <v>4</v>
      </c>
      <c r="N456">
        <v>5.7</v>
      </c>
      <c r="O456">
        <f t="shared" si="95"/>
        <v>5.7</v>
      </c>
      <c r="P456">
        <v>30</v>
      </c>
      <c r="Q456">
        <f t="shared" si="96"/>
        <v>30</v>
      </c>
      <c r="R456" t="s">
        <v>18</v>
      </c>
      <c r="S456" t="str">
        <f t="shared" si="97"/>
        <v>Non-Performing</v>
      </c>
      <c r="T456" t="s">
        <v>25</v>
      </c>
      <c r="U456" s="3">
        <f t="shared" si="98"/>
        <v>0.31838303110969884</v>
      </c>
      <c r="V456" t="str">
        <f t="shared" si="99"/>
        <v>Stretched</v>
      </c>
      <c r="W456" t="str">
        <f t="shared" si="100"/>
        <v>At Risk</v>
      </c>
      <c r="X456" s="5" t="str">
        <f t="shared" si="101"/>
        <v>Small</v>
      </c>
      <c r="Y456" s="5" t="str">
        <f t="shared" si="102"/>
        <v>Medium</v>
      </c>
      <c r="Z456" s="5" t="str">
        <f>IF(B456=120,"NULL",IF(AND(V456="High Stress", W456="High Risk", Y456="Low"),"High Risk : Reject", IF(AND(V456="Healthy", W456="Good",Y456&lt;&gt;"Low"), "Low Risk : Approve", "Medium Risk : Review")))</f>
        <v>Medium Risk : Review</v>
      </c>
      <c r="AA456" s="5" t="str">
        <f t="shared" si="103"/>
        <v>Medium</v>
      </c>
    </row>
    <row r="457" spans="1:27" x14ac:dyDescent="0.2">
      <c r="A457">
        <v>20091</v>
      </c>
      <c r="B457">
        <v>28</v>
      </c>
      <c r="C457">
        <f t="shared" si="91"/>
        <v>28</v>
      </c>
      <c r="D457" t="s">
        <v>26</v>
      </c>
      <c r="E457" t="str">
        <f t="shared" si="92"/>
        <v>Salaried</v>
      </c>
      <c r="F457">
        <v>3189</v>
      </c>
      <c r="G457">
        <f>ABS(Table1[[#This Row],[Monthly_Income]])</f>
        <v>3189</v>
      </c>
      <c r="H457">
        <v>30362.46</v>
      </c>
      <c r="I457" s="5">
        <f t="shared" si="93"/>
        <v>30362.46</v>
      </c>
      <c r="J457">
        <v>36</v>
      </c>
      <c r="K457">
        <v>22.18</v>
      </c>
      <c r="L457">
        <v>2</v>
      </c>
      <c r="M457">
        <f t="shared" si="94"/>
        <v>2</v>
      </c>
      <c r="N457">
        <v>7.7</v>
      </c>
      <c r="O457">
        <f t="shared" si="95"/>
        <v>7.7</v>
      </c>
      <c r="P457">
        <v>0</v>
      </c>
      <c r="Q457">
        <f t="shared" si="96"/>
        <v>0</v>
      </c>
      <c r="R457" t="s">
        <v>20</v>
      </c>
      <c r="S457" t="str">
        <f t="shared" si="97"/>
        <v>Written Off</v>
      </c>
      <c r="T457" t="s">
        <v>19</v>
      </c>
      <c r="U457" s="3">
        <f t="shared" si="98"/>
        <v>0.2644721438277412</v>
      </c>
      <c r="V457" t="str">
        <f t="shared" si="99"/>
        <v>Healthy</v>
      </c>
      <c r="W457" t="str">
        <f t="shared" si="100"/>
        <v>Good</v>
      </c>
      <c r="X457" s="5" t="str">
        <f t="shared" si="101"/>
        <v>High</v>
      </c>
      <c r="Y457" s="5" t="str">
        <f t="shared" si="102"/>
        <v>High</v>
      </c>
      <c r="Z457" s="5" t="str">
        <f>IF(B457=120,"NULL",IF(AND(V457="High Stress", W457="High Risk", Y457="Low"),"High Risk : Reject", IF(AND(V457="Healthy", W457="Good",Y457&lt;&gt;"Low"), "Low Risk : Approve", "Medium Risk : Review")))</f>
        <v>Low Risk : Approve</v>
      </c>
      <c r="AA457" s="5" t="str">
        <f t="shared" si="103"/>
        <v>Medium</v>
      </c>
    </row>
    <row r="458" spans="1:27" x14ac:dyDescent="0.2">
      <c r="A458">
        <v>24242</v>
      </c>
      <c r="B458">
        <v>62</v>
      </c>
      <c r="C458">
        <f t="shared" si="91"/>
        <v>62</v>
      </c>
      <c r="D458" t="s">
        <v>21</v>
      </c>
      <c r="E458" t="str">
        <f t="shared" si="92"/>
        <v>Salaried</v>
      </c>
      <c r="F458">
        <v>8949.86</v>
      </c>
      <c r="G458">
        <f>ABS(Table1[[#This Row],[Monthly_Income]])</f>
        <v>8949.86</v>
      </c>
      <c r="H458">
        <v>23919.67</v>
      </c>
      <c r="I458" s="5">
        <f t="shared" si="93"/>
        <v>23919.67</v>
      </c>
      <c r="J458">
        <v>12</v>
      </c>
      <c r="K458">
        <v>12.5</v>
      </c>
      <c r="M458" t="str">
        <f t="shared" si="94"/>
        <v>NULL</v>
      </c>
      <c r="N458">
        <v>1.4</v>
      </c>
      <c r="O458">
        <f t="shared" si="95"/>
        <v>1.4</v>
      </c>
      <c r="P458">
        <v>0</v>
      </c>
      <c r="Q458">
        <f t="shared" si="96"/>
        <v>0</v>
      </c>
      <c r="R458" t="s">
        <v>13</v>
      </c>
      <c r="S458" t="str">
        <f t="shared" si="97"/>
        <v>Performing</v>
      </c>
      <c r="T458" t="s">
        <v>22</v>
      </c>
      <c r="U458" s="3">
        <f t="shared" si="98"/>
        <v>0.2227192194440285</v>
      </c>
      <c r="V458" t="str">
        <f t="shared" si="99"/>
        <v>Healthy</v>
      </c>
      <c r="W458" t="str">
        <f t="shared" si="100"/>
        <v>Good</v>
      </c>
      <c r="X458" s="5" t="str">
        <f t="shared" si="101"/>
        <v>Medium</v>
      </c>
      <c r="Y458" s="5" t="str">
        <f t="shared" si="102"/>
        <v>High</v>
      </c>
      <c r="Z458" s="5" t="str">
        <f>IF(B458=120,"NULL",IF(AND(V458="High Stress", W458="High Risk", Y458="Low"),"High Risk : Reject", IF(AND(V458="Healthy", W458="Good",Y458&lt;&gt;"Low"), "Low Risk : Approve", "Medium Risk : Review")))</f>
        <v>Low Risk : Approve</v>
      </c>
      <c r="AA458" s="5" t="str">
        <f t="shared" si="103"/>
        <v>High</v>
      </c>
    </row>
    <row r="459" spans="1:27" x14ac:dyDescent="0.2">
      <c r="A459">
        <v>20145</v>
      </c>
      <c r="B459">
        <v>21</v>
      </c>
      <c r="C459">
        <f t="shared" si="91"/>
        <v>21</v>
      </c>
      <c r="D459" t="s">
        <v>26</v>
      </c>
      <c r="E459" t="str">
        <f t="shared" si="92"/>
        <v>Salaried</v>
      </c>
      <c r="F459">
        <v>5722.1</v>
      </c>
      <c r="G459">
        <f>ABS(Table1[[#This Row],[Monthly_Income]])</f>
        <v>5722.1</v>
      </c>
      <c r="H459">
        <v>22970.99</v>
      </c>
      <c r="I459" s="5">
        <f t="shared" si="93"/>
        <v>22970.99</v>
      </c>
      <c r="J459">
        <v>12</v>
      </c>
      <c r="K459">
        <v>17.53</v>
      </c>
      <c r="L459">
        <v>0</v>
      </c>
      <c r="M459">
        <f t="shared" si="94"/>
        <v>0</v>
      </c>
      <c r="N459">
        <v>1.6</v>
      </c>
      <c r="O459">
        <f t="shared" si="95"/>
        <v>1.6</v>
      </c>
      <c r="P459">
        <v>0</v>
      </c>
      <c r="Q459">
        <f t="shared" si="96"/>
        <v>0</v>
      </c>
      <c r="R459" t="s">
        <v>15</v>
      </c>
      <c r="S459" t="str">
        <f t="shared" si="97"/>
        <v xml:space="preserve">Performing </v>
      </c>
      <c r="T459" t="s">
        <v>19</v>
      </c>
      <c r="U459" s="3">
        <f t="shared" si="98"/>
        <v>0.33453612601434202</v>
      </c>
      <c r="V459" t="str">
        <f t="shared" si="99"/>
        <v>Stretched</v>
      </c>
      <c r="W459" t="str">
        <f t="shared" si="100"/>
        <v>Good</v>
      </c>
      <c r="X459" s="5" t="str">
        <f t="shared" si="101"/>
        <v>Medium</v>
      </c>
      <c r="Y459" s="5" t="str">
        <f t="shared" si="102"/>
        <v>High</v>
      </c>
      <c r="Z459" s="5" t="str">
        <f>IF(B459=120,"NULL",IF(AND(V459="High Stress", W459="High Risk", Y459="Low"),"High Risk : Reject", IF(AND(V459="Healthy", W459="Good",Y459&lt;&gt;"Low"), "Low Risk : Approve", "Medium Risk : Review")))</f>
        <v>Medium Risk : Review</v>
      </c>
      <c r="AA459" s="5" t="str">
        <f t="shared" si="103"/>
        <v>Medium</v>
      </c>
    </row>
    <row r="460" spans="1:27" x14ac:dyDescent="0.2">
      <c r="A460">
        <v>21608</v>
      </c>
      <c r="B460">
        <v>46</v>
      </c>
      <c r="C460">
        <f t="shared" si="91"/>
        <v>46</v>
      </c>
      <c r="D460" t="s">
        <v>21</v>
      </c>
      <c r="E460" t="str">
        <f t="shared" si="92"/>
        <v>Salaried</v>
      </c>
      <c r="F460">
        <v>2972.45</v>
      </c>
      <c r="G460">
        <f>ABS(Table1[[#This Row],[Monthly_Income]])</f>
        <v>2972.45</v>
      </c>
      <c r="H460">
        <v>14876.58</v>
      </c>
      <c r="I460" s="5">
        <f t="shared" si="93"/>
        <v>14876.58</v>
      </c>
      <c r="J460">
        <v>60</v>
      </c>
      <c r="K460">
        <v>21.66</v>
      </c>
      <c r="L460">
        <v>3</v>
      </c>
      <c r="M460">
        <f t="shared" si="94"/>
        <v>3</v>
      </c>
      <c r="N460">
        <v>11.7</v>
      </c>
      <c r="O460">
        <f t="shared" si="95"/>
        <v>11.7</v>
      </c>
      <c r="P460">
        <v>15</v>
      </c>
      <c r="Q460">
        <f t="shared" si="96"/>
        <v>15</v>
      </c>
      <c r="R460" t="s">
        <v>24</v>
      </c>
      <c r="S460" t="str">
        <f t="shared" si="97"/>
        <v>Non-Performing</v>
      </c>
      <c r="T460" t="s">
        <v>25</v>
      </c>
      <c r="U460" s="3">
        <f t="shared" si="98"/>
        <v>8.341368231593467E-2</v>
      </c>
      <c r="V460" t="str">
        <f t="shared" si="99"/>
        <v>Healthy</v>
      </c>
      <c r="W460" t="str">
        <f t="shared" si="100"/>
        <v>Good</v>
      </c>
      <c r="X460" s="5" t="str">
        <f t="shared" si="101"/>
        <v>Medium</v>
      </c>
      <c r="Y460" s="5" t="str">
        <f t="shared" si="102"/>
        <v>High</v>
      </c>
      <c r="Z460" s="5" t="str">
        <f>IF(B460=120,"NULL",IF(AND(V460="High Stress", W460="High Risk", Y460="Low"),"High Risk : Reject", IF(AND(V460="Healthy", W460="Good",Y460&lt;&gt;"Low"), "Low Risk : Approve", "Medium Risk : Review")))</f>
        <v>Low Risk : Approve</v>
      </c>
      <c r="AA460" s="5" t="str">
        <f t="shared" si="103"/>
        <v>Medium</v>
      </c>
    </row>
    <row r="461" spans="1:27" x14ac:dyDescent="0.2">
      <c r="A461">
        <v>21655</v>
      </c>
      <c r="B461">
        <v>23</v>
      </c>
      <c r="C461">
        <f t="shared" si="91"/>
        <v>23</v>
      </c>
      <c r="D461" t="s">
        <v>21</v>
      </c>
      <c r="E461" t="str">
        <f t="shared" si="92"/>
        <v>Salaried</v>
      </c>
      <c r="F461">
        <v>6140.43</v>
      </c>
      <c r="G461">
        <f>ABS(Table1[[#This Row],[Monthly_Income]])</f>
        <v>6140.43</v>
      </c>
      <c r="H461">
        <v>11378.64</v>
      </c>
      <c r="I461" s="5">
        <f t="shared" si="93"/>
        <v>11378.64</v>
      </c>
      <c r="J461">
        <v>60</v>
      </c>
      <c r="K461">
        <v>22.61</v>
      </c>
      <c r="L461">
        <v>3</v>
      </c>
      <c r="M461">
        <f t="shared" si="94"/>
        <v>3</v>
      </c>
      <c r="N461">
        <v>12.9</v>
      </c>
      <c r="O461">
        <f t="shared" si="95"/>
        <v>12.9</v>
      </c>
      <c r="P461">
        <v>15</v>
      </c>
      <c r="Q461">
        <f t="shared" si="96"/>
        <v>15</v>
      </c>
      <c r="R461" t="s">
        <v>15</v>
      </c>
      <c r="S461" t="str">
        <f t="shared" si="97"/>
        <v xml:space="preserve">Performing </v>
      </c>
      <c r="T461" t="s">
        <v>22</v>
      </c>
      <c r="U461" s="3">
        <f t="shared" si="98"/>
        <v>3.0884482031388674E-2</v>
      </c>
      <c r="V461" t="str">
        <f t="shared" si="99"/>
        <v>Healthy</v>
      </c>
      <c r="W461" t="str">
        <f t="shared" si="100"/>
        <v>Good</v>
      </c>
      <c r="X461" s="5" t="str">
        <f t="shared" si="101"/>
        <v>Medium</v>
      </c>
      <c r="Y461" s="5" t="str">
        <f t="shared" si="102"/>
        <v>High</v>
      </c>
      <c r="Z461" s="5" t="str">
        <f>IF(B461=120,"NULL",IF(AND(V461="High Stress", W461="High Risk", Y461="Low"),"High Risk : Reject", IF(AND(V461="Healthy", W461="Good",Y461&lt;&gt;"Low"), "Low Risk : Approve", "Medium Risk : Review")))</f>
        <v>Low Risk : Approve</v>
      </c>
      <c r="AA461" s="5" t="str">
        <f t="shared" si="103"/>
        <v>Medium</v>
      </c>
    </row>
    <row r="462" spans="1:27" x14ac:dyDescent="0.2">
      <c r="A462">
        <v>21081</v>
      </c>
      <c r="B462">
        <v>38</v>
      </c>
      <c r="C462">
        <f t="shared" si="91"/>
        <v>38</v>
      </c>
      <c r="D462" t="s">
        <v>17</v>
      </c>
      <c r="E462" t="str">
        <f t="shared" si="92"/>
        <v>Contract</v>
      </c>
      <c r="F462">
        <v>4903.3999999999996</v>
      </c>
      <c r="G462">
        <f>ABS(Table1[[#This Row],[Monthly_Income]])</f>
        <v>4903.3999999999996</v>
      </c>
      <c r="H462">
        <v>11206.15</v>
      </c>
      <c r="I462" s="5">
        <f t="shared" si="93"/>
        <v>11206.15</v>
      </c>
      <c r="J462">
        <v>60</v>
      </c>
      <c r="K462">
        <v>17.440000000000001</v>
      </c>
      <c r="L462">
        <v>0</v>
      </c>
      <c r="M462">
        <f t="shared" si="94"/>
        <v>0</v>
      </c>
      <c r="N462">
        <v>1.9</v>
      </c>
      <c r="O462">
        <f t="shared" si="95"/>
        <v>1.9</v>
      </c>
      <c r="P462">
        <v>0</v>
      </c>
      <c r="Q462">
        <f t="shared" si="96"/>
        <v>0</v>
      </c>
      <c r="R462" t="s">
        <v>20</v>
      </c>
      <c r="S462" t="str">
        <f t="shared" si="97"/>
        <v>Written Off</v>
      </c>
      <c r="T462" t="s">
        <v>14</v>
      </c>
      <c r="U462" s="3">
        <f t="shared" si="98"/>
        <v>3.8089726856195022E-2</v>
      </c>
      <c r="V462" t="str">
        <f t="shared" si="99"/>
        <v>Healthy</v>
      </c>
      <c r="W462" t="str">
        <f t="shared" si="100"/>
        <v>Good</v>
      </c>
      <c r="X462" s="5" t="str">
        <f t="shared" si="101"/>
        <v>Medium</v>
      </c>
      <c r="Y462" s="5" t="str">
        <f t="shared" si="102"/>
        <v>Low</v>
      </c>
      <c r="Z462" s="5" t="str">
        <f>IF(B462=120,"NULL",IF(AND(V462="High Stress", W462="High Risk", Y462="Low"),"High Risk : Reject", IF(AND(V462="Healthy", W462="Good",Y462&lt;&gt;"Low"), "Low Risk : Approve", "Medium Risk : Review")))</f>
        <v>Medium Risk : Review</v>
      </c>
      <c r="AA462" s="5" t="str">
        <f t="shared" si="103"/>
        <v>Medium</v>
      </c>
    </row>
    <row r="463" spans="1:27" x14ac:dyDescent="0.2">
      <c r="A463">
        <v>24342</v>
      </c>
      <c r="B463">
        <v>49</v>
      </c>
      <c r="C463">
        <f t="shared" si="91"/>
        <v>49</v>
      </c>
      <c r="D463" t="s">
        <v>21</v>
      </c>
      <c r="E463" t="str">
        <f t="shared" si="92"/>
        <v>Salaried</v>
      </c>
      <c r="F463">
        <v>2146.9699999999998</v>
      </c>
      <c r="G463">
        <f>ABS(Table1[[#This Row],[Monthly_Income]])</f>
        <v>2146.9699999999998</v>
      </c>
      <c r="H463"/>
      <c r="I463" s="5" t="str">
        <f t="shared" si="93"/>
        <v>NULL</v>
      </c>
      <c r="J463">
        <v>12</v>
      </c>
      <c r="K463">
        <v>20.87</v>
      </c>
      <c r="L463">
        <v>0</v>
      </c>
      <c r="M463">
        <f t="shared" si="94"/>
        <v>0</v>
      </c>
      <c r="N463">
        <v>7.9</v>
      </c>
      <c r="O463">
        <f t="shared" si="95"/>
        <v>7.9</v>
      </c>
      <c r="P463">
        <v>0</v>
      </c>
      <c r="Q463">
        <f t="shared" si="96"/>
        <v>0</v>
      </c>
      <c r="R463" t="s">
        <v>15</v>
      </c>
      <c r="S463" t="str">
        <f t="shared" si="97"/>
        <v xml:space="preserve">Performing </v>
      </c>
      <c r="T463" t="s">
        <v>22</v>
      </c>
      <c r="U463" s="3" t="str">
        <f t="shared" si="98"/>
        <v>NULL</v>
      </c>
      <c r="V463" t="str">
        <f t="shared" si="99"/>
        <v>NULL</v>
      </c>
      <c r="W463" t="str">
        <f t="shared" si="100"/>
        <v>Good</v>
      </c>
      <c r="X463" s="5" t="str">
        <f t="shared" si="101"/>
        <v>High</v>
      </c>
      <c r="Y463" s="5" t="str">
        <f t="shared" si="102"/>
        <v>High</v>
      </c>
      <c r="Z463" s="5" t="str">
        <f>IF(B463=120,"NULL",IF(AND(V463="High Stress", W463="High Risk", Y463="Low"),"High Risk : Reject", IF(AND(V463="Healthy", W463="Good",Y463&lt;&gt;"Low"), "Low Risk : Approve", "Medium Risk : Review")))</f>
        <v>Medium Risk : Review</v>
      </c>
      <c r="AA463" s="5" t="str">
        <f t="shared" si="103"/>
        <v>Medium</v>
      </c>
    </row>
    <row r="464" spans="1:27" x14ac:dyDescent="0.2">
      <c r="A464">
        <v>22815</v>
      </c>
      <c r="B464">
        <v>49</v>
      </c>
      <c r="C464">
        <f t="shared" si="91"/>
        <v>49</v>
      </c>
      <c r="D464" t="s">
        <v>12</v>
      </c>
      <c r="E464" t="str">
        <f t="shared" si="92"/>
        <v>Self-Employed</v>
      </c>
      <c r="F464">
        <v>4463.01</v>
      </c>
      <c r="G464">
        <f>ABS(Table1[[#This Row],[Monthly_Income]])</f>
        <v>4463.01</v>
      </c>
      <c r="H464">
        <v>31229.79</v>
      </c>
      <c r="I464" s="5">
        <f t="shared" si="93"/>
        <v>31229.79</v>
      </c>
      <c r="J464">
        <v>6</v>
      </c>
      <c r="K464">
        <v>21.09</v>
      </c>
      <c r="L464">
        <v>1</v>
      </c>
      <c r="M464">
        <f t="shared" si="94"/>
        <v>1</v>
      </c>
      <c r="N464">
        <v>10.3</v>
      </c>
      <c r="O464">
        <f t="shared" si="95"/>
        <v>10.3</v>
      </c>
      <c r="P464">
        <v>0</v>
      </c>
      <c r="Q464">
        <f t="shared" si="96"/>
        <v>0</v>
      </c>
      <c r="R464" t="s">
        <v>24</v>
      </c>
      <c r="S464" t="str">
        <f t="shared" si="97"/>
        <v>Non-Performing</v>
      </c>
      <c r="T464" t="s">
        <v>19</v>
      </c>
      <c r="U464" s="3">
        <f t="shared" si="98"/>
        <v>1.1662454262930175</v>
      </c>
      <c r="V464" t="str">
        <f t="shared" si="99"/>
        <v>High Stress</v>
      </c>
      <c r="W464" t="str">
        <f t="shared" si="100"/>
        <v>Good</v>
      </c>
      <c r="X464" s="5" t="str">
        <f t="shared" si="101"/>
        <v>High</v>
      </c>
      <c r="Y464" s="5" t="str">
        <f t="shared" si="102"/>
        <v>Medium</v>
      </c>
      <c r="Z464" s="5" t="str">
        <f>IF(B464=120,"NULL",IF(AND(V464="High Stress", W464="High Risk", Y464="Low"),"High Risk : Reject", IF(AND(V464="Healthy", W464="Good",Y464&lt;&gt;"Low"), "Low Risk : Approve", "Medium Risk : Review")))</f>
        <v>Medium Risk : Review</v>
      </c>
      <c r="AA464" s="5" t="str">
        <f t="shared" si="103"/>
        <v>Medium</v>
      </c>
    </row>
    <row r="465" spans="1:27" x14ac:dyDescent="0.2">
      <c r="A465">
        <v>24271</v>
      </c>
      <c r="B465">
        <v>38</v>
      </c>
      <c r="C465">
        <f t="shared" si="91"/>
        <v>38</v>
      </c>
      <c r="D465" t="s">
        <v>27</v>
      </c>
      <c r="E465" t="str">
        <f t="shared" si="92"/>
        <v>Unemployed</v>
      </c>
      <c r="F465">
        <v>6549.16</v>
      </c>
      <c r="G465">
        <f>ABS(Table1[[#This Row],[Monthly_Income]])</f>
        <v>6549.16</v>
      </c>
      <c r="H465">
        <v>32791.949999999997</v>
      </c>
      <c r="I465" s="5">
        <f t="shared" si="93"/>
        <v>32791.949999999997</v>
      </c>
      <c r="J465">
        <v>60</v>
      </c>
      <c r="K465">
        <v>13.93</v>
      </c>
      <c r="L465">
        <v>4</v>
      </c>
      <c r="M465">
        <f t="shared" si="94"/>
        <v>4</v>
      </c>
      <c r="N465">
        <v>3.3</v>
      </c>
      <c r="O465">
        <f t="shared" si="95"/>
        <v>3.3</v>
      </c>
      <c r="P465">
        <v>60</v>
      </c>
      <c r="Q465">
        <f t="shared" si="96"/>
        <v>60</v>
      </c>
      <c r="R465" t="s">
        <v>13</v>
      </c>
      <c r="S465" t="str">
        <f t="shared" si="97"/>
        <v>Performing</v>
      </c>
      <c r="T465" t="s">
        <v>14</v>
      </c>
      <c r="U465" s="3">
        <f t="shared" si="98"/>
        <v>8.3450778420438645E-2</v>
      </c>
      <c r="V465" t="str">
        <f t="shared" si="99"/>
        <v>Healthy</v>
      </c>
      <c r="W465" t="str">
        <f t="shared" si="100"/>
        <v>High Risk</v>
      </c>
      <c r="X465" s="5" t="str">
        <f t="shared" si="101"/>
        <v>High</v>
      </c>
      <c r="Y465" s="5" t="str">
        <f t="shared" si="102"/>
        <v>Low</v>
      </c>
      <c r="Z465" s="5" t="str">
        <f>IF(B465=120,"NULL",IF(AND(V465="High Stress", W465="High Risk", Y465="Low"),"High Risk : Reject", IF(AND(V465="Healthy", W465="Good",Y465&lt;&gt;"Low"), "Low Risk : Approve", "Medium Risk : Review")))</f>
        <v>Medium Risk : Review</v>
      </c>
      <c r="AA465" s="5" t="str">
        <f t="shared" si="103"/>
        <v>Medium</v>
      </c>
    </row>
    <row r="466" spans="1:27" x14ac:dyDescent="0.2">
      <c r="A466">
        <v>25188</v>
      </c>
      <c r="B466">
        <v>47</v>
      </c>
      <c r="C466">
        <f t="shared" si="91"/>
        <v>47</v>
      </c>
      <c r="D466" t="s">
        <v>23</v>
      </c>
      <c r="E466" t="str">
        <f t="shared" si="92"/>
        <v>Self-Employed</v>
      </c>
      <c r="F466">
        <v>7215.07</v>
      </c>
      <c r="G466">
        <f>ABS(Table1[[#This Row],[Monthly_Income]])</f>
        <v>7215.07</v>
      </c>
      <c r="H466">
        <v>9516.06</v>
      </c>
      <c r="I466" s="5">
        <f t="shared" si="93"/>
        <v>9516.06</v>
      </c>
      <c r="J466">
        <v>18</v>
      </c>
      <c r="K466">
        <v>22.65</v>
      </c>
      <c r="L466">
        <v>3</v>
      </c>
      <c r="M466">
        <f t="shared" si="94"/>
        <v>3</v>
      </c>
      <c r="N466">
        <v>9.4</v>
      </c>
      <c r="O466">
        <f t="shared" si="95"/>
        <v>9.4</v>
      </c>
      <c r="Q466" t="str">
        <f t="shared" si="96"/>
        <v>NULL</v>
      </c>
      <c r="R466" t="s">
        <v>18</v>
      </c>
      <c r="S466" t="str">
        <f t="shared" si="97"/>
        <v>Non-Performing</v>
      </c>
      <c r="T466" t="s">
        <v>14</v>
      </c>
      <c r="U466" s="3">
        <f t="shared" si="98"/>
        <v>7.3273024378141857E-2</v>
      </c>
      <c r="V466" t="str">
        <f t="shared" si="99"/>
        <v>Healthy</v>
      </c>
      <c r="W466" t="str">
        <f t="shared" si="100"/>
        <v>NULL</v>
      </c>
      <c r="X466" s="5" t="str">
        <f t="shared" si="101"/>
        <v>Small</v>
      </c>
      <c r="Y466" s="5" t="str">
        <f t="shared" si="102"/>
        <v>Medium</v>
      </c>
      <c r="Z466" s="5" t="str">
        <f>IF(B466=120,"NULL",IF(AND(V466="High Stress", W466="High Risk", Y466="Low"),"High Risk : Reject", IF(AND(V466="Healthy", W466="Good",Y466&lt;&gt;"Low"), "Low Risk : Approve", "Medium Risk : Review")))</f>
        <v>Medium Risk : Review</v>
      </c>
      <c r="AA466" s="5" t="str">
        <f t="shared" si="103"/>
        <v>Medium</v>
      </c>
    </row>
    <row r="467" spans="1:27" x14ac:dyDescent="0.2">
      <c r="A467">
        <v>20797</v>
      </c>
      <c r="B467">
        <v>46</v>
      </c>
      <c r="C467">
        <f t="shared" si="91"/>
        <v>46</v>
      </c>
      <c r="D467" t="s">
        <v>27</v>
      </c>
      <c r="E467" t="str">
        <f t="shared" si="92"/>
        <v>Unemployed</v>
      </c>
      <c r="F467">
        <v>3082.57</v>
      </c>
      <c r="G467">
        <f>ABS(Table1[[#This Row],[Monthly_Income]])</f>
        <v>3082.57</v>
      </c>
      <c r="H467">
        <v>19415.09</v>
      </c>
      <c r="I467" s="5">
        <f t="shared" si="93"/>
        <v>19415.09</v>
      </c>
      <c r="J467">
        <v>12</v>
      </c>
      <c r="K467">
        <v>15.68</v>
      </c>
      <c r="L467">
        <v>3</v>
      </c>
      <c r="M467">
        <f t="shared" si="94"/>
        <v>3</v>
      </c>
      <c r="N467">
        <v>8.1999999999999993</v>
      </c>
      <c r="O467">
        <f t="shared" si="95"/>
        <v>8.1999999999999993</v>
      </c>
      <c r="P467">
        <v>0</v>
      </c>
      <c r="Q467">
        <f t="shared" si="96"/>
        <v>0</v>
      </c>
      <c r="R467" t="s">
        <v>13</v>
      </c>
      <c r="S467" t="str">
        <f t="shared" si="97"/>
        <v>Performing</v>
      </c>
      <c r="T467" t="s">
        <v>16</v>
      </c>
      <c r="U467" s="3">
        <f t="shared" si="98"/>
        <v>0.5248621009958141</v>
      </c>
      <c r="V467" t="str">
        <f t="shared" si="99"/>
        <v>High Stress</v>
      </c>
      <c r="W467" t="str">
        <f t="shared" si="100"/>
        <v>Good</v>
      </c>
      <c r="X467" s="5" t="str">
        <f t="shared" si="101"/>
        <v>Medium</v>
      </c>
      <c r="Y467" s="5" t="str">
        <f t="shared" si="102"/>
        <v>Low</v>
      </c>
      <c r="Z467" s="5" t="str">
        <f>IF(B467=120,"NULL",IF(AND(V467="High Stress", W467="High Risk", Y467="Low"),"High Risk : Reject", IF(AND(V467="Healthy", W467="Good",Y467&lt;&gt;"Low"), "Low Risk : Approve", "Medium Risk : Review")))</f>
        <v>Medium Risk : Review</v>
      </c>
      <c r="AA467" s="5" t="str">
        <f t="shared" si="103"/>
        <v>Medium</v>
      </c>
    </row>
    <row r="468" spans="1:27" x14ac:dyDescent="0.2">
      <c r="A468">
        <v>25805</v>
      </c>
      <c r="B468">
        <v>47</v>
      </c>
      <c r="C468">
        <f t="shared" si="91"/>
        <v>47</v>
      </c>
      <c r="D468" t="s">
        <v>23</v>
      </c>
      <c r="E468" t="str">
        <f t="shared" si="92"/>
        <v>Self-Employed</v>
      </c>
      <c r="F468">
        <v>2145.33</v>
      </c>
      <c r="G468">
        <f>ABS(Table1[[#This Row],[Monthly_Income]])</f>
        <v>2145.33</v>
      </c>
      <c r="H468">
        <v>14454.23</v>
      </c>
      <c r="I468" s="5">
        <f t="shared" si="93"/>
        <v>14454.23</v>
      </c>
      <c r="J468">
        <v>12</v>
      </c>
      <c r="K468">
        <v>23.51</v>
      </c>
      <c r="L468">
        <v>0</v>
      </c>
      <c r="M468">
        <f t="shared" si="94"/>
        <v>0</v>
      </c>
      <c r="N468">
        <v>13</v>
      </c>
      <c r="O468">
        <f t="shared" si="95"/>
        <v>13</v>
      </c>
      <c r="Q468" t="str">
        <f t="shared" si="96"/>
        <v>NULL</v>
      </c>
      <c r="R468" t="s">
        <v>15</v>
      </c>
      <c r="S468" t="str">
        <f t="shared" si="97"/>
        <v xml:space="preserve">Performing </v>
      </c>
      <c r="T468" t="s">
        <v>25</v>
      </c>
      <c r="U468" s="3">
        <f t="shared" si="98"/>
        <v>0.56146101842917717</v>
      </c>
      <c r="V468" t="str">
        <f t="shared" si="99"/>
        <v>High Stress</v>
      </c>
      <c r="W468" t="str">
        <f t="shared" si="100"/>
        <v>NULL</v>
      </c>
      <c r="X468" s="5" t="str">
        <f t="shared" si="101"/>
        <v>Medium</v>
      </c>
      <c r="Y468" s="5" t="str">
        <f t="shared" si="102"/>
        <v>Medium</v>
      </c>
      <c r="Z468" s="5" t="str">
        <f>IF(B468=120,"NULL",IF(AND(V468="High Stress", W468="High Risk", Y468="Low"),"High Risk : Reject", IF(AND(V468="Healthy", W468="Good",Y468&lt;&gt;"Low"), "Low Risk : Approve", "Medium Risk : Review")))</f>
        <v>Medium Risk : Review</v>
      </c>
      <c r="AA468" s="5" t="str">
        <f t="shared" si="103"/>
        <v>Medium</v>
      </c>
    </row>
    <row r="469" spans="1:27" x14ac:dyDescent="0.2">
      <c r="A469">
        <v>22341</v>
      </c>
      <c r="B469">
        <v>39</v>
      </c>
      <c r="C469">
        <f t="shared" si="91"/>
        <v>39</v>
      </c>
      <c r="D469" t="s">
        <v>12</v>
      </c>
      <c r="E469" t="str">
        <f t="shared" si="92"/>
        <v>Self-Employed</v>
      </c>
      <c r="F469">
        <v>4219.8100000000004</v>
      </c>
      <c r="G469">
        <f>ABS(Table1[[#This Row],[Monthly_Income]])</f>
        <v>4219.8100000000004</v>
      </c>
      <c r="H469">
        <v>25521.33</v>
      </c>
      <c r="I469" s="5">
        <f t="shared" si="93"/>
        <v>25521.33</v>
      </c>
      <c r="J469">
        <v>12</v>
      </c>
      <c r="K469">
        <v>9.99</v>
      </c>
      <c r="L469">
        <v>3</v>
      </c>
      <c r="M469">
        <f t="shared" si="94"/>
        <v>3</v>
      </c>
      <c r="O469" t="str">
        <f t="shared" si="95"/>
        <v>NULL</v>
      </c>
      <c r="P469">
        <v>0</v>
      </c>
      <c r="Q469">
        <f t="shared" si="96"/>
        <v>0</v>
      </c>
      <c r="R469" t="s">
        <v>24</v>
      </c>
      <c r="S469" t="str">
        <f t="shared" si="97"/>
        <v>Non-Performing</v>
      </c>
      <c r="T469" t="s">
        <v>14</v>
      </c>
      <c r="U469" s="3">
        <f t="shared" si="98"/>
        <v>0.50399840277168884</v>
      </c>
      <c r="V469" t="str">
        <f t="shared" si="99"/>
        <v>High Stress</v>
      </c>
      <c r="W469" t="str">
        <f t="shared" si="100"/>
        <v>Good</v>
      </c>
      <c r="X469" s="5" t="str">
        <f t="shared" si="101"/>
        <v>Medium</v>
      </c>
      <c r="Y469" s="5" t="str">
        <f t="shared" si="102"/>
        <v>Medium</v>
      </c>
      <c r="Z469" s="5" t="str">
        <f>IF(B469=120,"NULL",IF(AND(V469="High Stress", W469="High Risk", Y469="Low"),"High Risk : Reject", IF(AND(V469="Healthy", W469="Good",Y469&lt;&gt;"Low"), "Low Risk : Approve", "Medium Risk : Review")))</f>
        <v>Medium Risk : Review</v>
      </c>
      <c r="AA469" s="5" t="str">
        <f t="shared" si="103"/>
        <v>Medium</v>
      </c>
    </row>
    <row r="470" spans="1:27" x14ac:dyDescent="0.2">
      <c r="A470">
        <v>21056</v>
      </c>
      <c r="B470">
        <v>60</v>
      </c>
      <c r="C470">
        <f t="shared" si="91"/>
        <v>60</v>
      </c>
      <c r="D470" t="s">
        <v>12</v>
      </c>
      <c r="E470" t="str">
        <f t="shared" si="92"/>
        <v>Self-Employed</v>
      </c>
      <c r="F470">
        <v>2959.82</v>
      </c>
      <c r="G470">
        <f>ABS(Table1[[#This Row],[Monthly_Income]])</f>
        <v>2959.82</v>
      </c>
      <c r="H470"/>
      <c r="I470" s="5" t="str">
        <f t="shared" si="93"/>
        <v>NULL</v>
      </c>
      <c r="J470">
        <v>12</v>
      </c>
      <c r="K470">
        <v>19.88</v>
      </c>
      <c r="L470">
        <v>4</v>
      </c>
      <c r="M470">
        <f t="shared" si="94"/>
        <v>4</v>
      </c>
      <c r="N470">
        <v>1.8</v>
      </c>
      <c r="O470">
        <f t="shared" si="95"/>
        <v>1.8</v>
      </c>
      <c r="P470">
        <v>30</v>
      </c>
      <c r="Q470">
        <f t="shared" si="96"/>
        <v>30</v>
      </c>
      <c r="R470" t="s">
        <v>20</v>
      </c>
      <c r="S470" t="str">
        <f t="shared" si="97"/>
        <v>Written Off</v>
      </c>
      <c r="T470" t="s">
        <v>25</v>
      </c>
      <c r="U470" s="3" t="str">
        <f t="shared" si="98"/>
        <v>NULL</v>
      </c>
      <c r="V470" t="str">
        <f t="shared" si="99"/>
        <v>NULL</v>
      </c>
      <c r="W470" t="str">
        <f t="shared" si="100"/>
        <v>At Risk</v>
      </c>
      <c r="X470" s="5" t="str">
        <f t="shared" si="101"/>
        <v>High</v>
      </c>
      <c r="Y470" s="5" t="str">
        <f t="shared" si="102"/>
        <v>Medium</v>
      </c>
      <c r="Z470" s="5" t="str">
        <f>IF(B470=120,"NULL",IF(AND(V470="High Stress", W470="High Risk", Y470="Low"),"High Risk : Reject", IF(AND(V470="Healthy", W470="Good",Y470&lt;&gt;"Low"), "Low Risk : Approve", "Medium Risk : Review")))</f>
        <v>Medium Risk : Review</v>
      </c>
      <c r="AA470" s="5" t="str">
        <f t="shared" si="103"/>
        <v>Medium</v>
      </c>
    </row>
    <row r="471" spans="1:27" x14ac:dyDescent="0.2">
      <c r="A471">
        <v>20635</v>
      </c>
      <c r="B471">
        <v>23</v>
      </c>
      <c r="C471">
        <f t="shared" si="91"/>
        <v>23</v>
      </c>
      <c r="D471" t="s">
        <v>23</v>
      </c>
      <c r="E471" t="str">
        <f t="shared" si="92"/>
        <v>Self-Employed</v>
      </c>
      <c r="F471">
        <v>7068.14</v>
      </c>
      <c r="G471">
        <f>ABS(Table1[[#This Row],[Monthly_Income]])</f>
        <v>7068.14</v>
      </c>
      <c r="H471">
        <v>10908.5</v>
      </c>
      <c r="I471" s="5">
        <f t="shared" si="93"/>
        <v>10908.5</v>
      </c>
      <c r="J471">
        <v>18</v>
      </c>
      <c r="K471">
        <v>23.1</v>
      </c>
      <c r="L471">
        <v>0</v>
      </c>
      <c r="M471">
        <f t="shared" si="94"/>
        <v>0</v>
      </c>
      <c r="N471">
        <v>10.9</v>
      </c>
      <c r="O471">
        <f t="shared" si="95"/>
        <v>10.9</v>
      </c>
      <c r="P471">
        <v>60</v>
      </c>
      <c r="Q471">
        <f t="shared" si="96"/>
        <v>60</v>
      </c>
      <c r="R471" t="s">
        <v>15</v>
      </c>
      <c r="S471" t="str">
        <f t="shared" si="97"/>
        <v xml:space="preserve">Performing </v>
      </c>
      <c r="T471" t="s">
        <v>25</v>
      </c>
      <c r="U471" s="3">
        <f t="shared" si="98"/>
        <v>8.5740771656726916E-2</v>
      </c>
      <c r="V471" t="str">
        <f t="shared" si="99"/>
        <v>Healthy</v>
      </c>
      <c r="W471" t="str">
        <f t="shared" si="100"/>
        <v>High Risk</v>
      </c>
      <c r="X471" s="5" t="str">
        <f t="shared" si="101"/>
        <v>Medium</v>
      </c>
      <c r="Y471" s="5" t="str">
        <f t="shared" si="102"/>
        <v>Medium</v>
      </c>
      <c r="Z471" s="5" t="str">
        <f>IF(B471=120,"NULL",IF(AND(V471="High Stress", W471="High Risk", Y471="Low"),"High Risk : Reject", IF(AND(V471="Healthy", W471="Good",Y471&lt;&gt;"Low"), "Low Risk : Approve", "Medium Risk : Review")))</f>
        <v>Medium Risk : Review</v>
      </c>
      <c r="AA471" s="5" t="str">
        <f t="shared" si="103"/>
        <v>Medium</v>
      </c>
    </row>
    <row r="472" spans="1:27" x14ac:dyDescent="0.2">
      <c r="A472">
        <v>25014</v>
      </c>
      <c r="B472">
        <v>64</v>
      </c>
      <c r="C472">
        <f t="shared" si="91"/>
        <v>64</v>
      </c>
      <c r="D472" t="s">
        <v>26</v>
      </c>
      <c r="E472" t="str">
        <f t="shared" si="92"/>
        <v>Salaried</v>
      </c>
      <c r="F472">
        <v>7245.18</v>
      </c>
      <c r="G472">
        <f>ABS(Table1[[#This Row],[Monthly_Income]])</f>
        <v>7245.18</v>
      </c>
      <c r="H472">
        <v>12446.08</v>
      </c>
      <c r="I472" s="5">
        <f t="shared" si="93"/>
        <v>12446.08</v>
      </c>
      <c r="J472">
        <v>36</v>
      </c>
      <c r="K472">
        <v>16.41</v>
      </c>
      <c r="L472">
        <v>4</v>
      </c>
      <c r="M472">
        <f t="shared" si="94"/>
        <v>4</v>
      </c>
      <c r="N472">
        <v>11</v>
      </c>
      <c r="O472">
        <f t="shared" si="95"/>
        <v>11</v>
      </c>
      <c r="P472">
        <v>30</v>
      </c>
      <c r="Q472">
        <f t="shared" si="96"/>
        <v>30</v>
      </c>
      <c r="R472" t="s">
        <v>20</v>
      </c>
      <c r="S472" t="str">
        <f t="shared" si="97"/>
        <v>Written Off</v>
      </c>
      <c r="T472" t="s">
        <v>22</v>
      </c>
      <c r="U472" s="3">
        <f t="shared" si="98"/>
        <v>4.7717854414168377E-2</v>
      </c>
      <c r="V472" t="str">
        <f t="shared" si="99"/>
        <v>Healthy</v>
      </c>
      <c r="W472" t="str">
        <f t="shared" si="100"/>
        <v>At Risk</v>
      </c>
      <c r="X472" s="5" t="str">
        <f t="shared" si="101"/>
        <v>Medium</v>
      </c>
      <c r="Y472" s="5" t="str">
        <f t="shared" si="102"/>
        <v>High</v>
      </c>
      <c r="Z472" s="5" t="str">
        <f>IF(B472=120,"NULL",IF(AND(V472="High Stress", W472="High Risk", Y472="Low"),"High Risk : Reject", IF(AND(V472="Healthy", W472="Good",Y472&lt;&gt;"Low"), "Low Risk : Approve", "Medium Risk : Review")))</f>
        <v>Medium Risk : Review</v>
      </c>
      <c r="AA472" s="5" t="str">
        <f t="shared" si="103"/>
        <v>Medium</v>
      </c>
    </row>
    <row r="473" spans="1:27" x14ac:dyDescent="0.2">
      <c r="A473">
        <v>21212</v>
      </c>
      <c r="B473">
        <v>21</v>
      </c>
      <c r="C473">
        <f t="shared" si="91"/>
        <v>21</v>
      </c>
      <c r="D473" t="s">
        <v>12</v>
      </c>
      <c r="E473" t="str">
        <f t="shared" si="92"/>
        <v>Self-Employed</v>
      </c>
      <c r="F473">
        <v>-1500</v>
      </c>
      <c r="G473">
        <f>ABS(Table1[[#This Row],[Monthly_Income]])</f>
        <v>1500</v>
      </c>
      <c r="H473">
        <v>27851.56</v>
      </c>
      <c r="I473" s="5">
        <f t="shared" si="93"/>
        <v>27851.56</v>
      </c>
      <c r="J473">
        <v>18</v>
      </c>
      <c r="K473">
        <v>21.19</v>
      </c>
      <c r="M473" t="str">
        <f t="shared" si="94"/>
        <v>NULL</v>
      </c>
      <c r="N473">
        <v>5</v>
      </c>
      <c r="O473">
        <f t="shared" si="95"/>
        <v>5</v>
      </c>
      <c r="P473">
        <v>60</v>
      </c>
      <c r="Q473">
        <f t="shared" si="96"/>
        <v>60</v>
      </c>
      <c r="R473" t="s">
        <v>24</v>
      </c>
      <c r="S473" t="str">
        <f t="shared" si="97"/>
        <v>Non-Performing</v>
      </c>
      <c r="T473" t="s">
        <v>19</v>
      </c>
      <c r="U473" s="3">
        <f t="shared" si="98"/>
        <v>1.0315392592592594</v>
      </c>
      <c r="V473" t="str">
        <f t="shared" si="99"/>
        <v>High Stress</v>
      </c>
      <c r="W473" t="str">
        <f t="shared" si="100"/>
        <v>High Risk</v>
      </c>
      <c r="X473" s="5" t="str">
        <f t="shared" si="101"/>
        <v>Medium</v>
      </c>
      <c r="Y473" s="5" t="str">
        <f t="shared" si="102"/>
        <v>Medium</v>
      </c>
      <c r="Z473" s="5" t="str">
        <f>IF(B473=120,"NULL",IF(AND(V473="High Stress", W473="High Risk", Y473="Low"),"High Risk : Reject", IF(AND(V473="Healthy", W473="Good",Y473&lt;&gt;"Low"), "Low Risk : Approve", "Medium Risk : Review")))</f>
        <v>Medium Risk : Review</v>
      </c>
      <c r="AA473" s="5" t="str">
        <f t="shared" si="103"/>
        <v>Low</v>
      </c>
    </row>
    <row r="474" spans="1:27" x14ac:dyDescent="0.2">
      <c r="A474">
        <v>23101</v>
      </c>
      <c r="B474">
        <v>63</v>
      </c>
      <c r="C474">
        <f t="shared" si="91"/>
        <v>63</v>
      </c>
      <c r="D474" t="s">
        <v>23</v>
      </c>
      <c r="E474" t="str">
        <f t="shared" si="92"/>
        <v>Self-Employed</v>
      </c>
      <c r="F474">
        <v>5365.88</v>
      </c>
      <c r="G474">
        <f>ABS(Table1[[#This Row],[Monthly_Income]])</f>
        <v>5365.88</v>
      </c>
      <c r="H474">
        <v>22310.080000000002</v>
      </c>
      <c r="I474" s="5">
        <f t="shared" si="93"/>
        <v>22310.080000000002</v>
      </c>
      <c r="J474">
        <v>60</v>
      </c>
      <c r="K474">
        <v>23.02</v>
      </c>
      <c r="L474">
        <v>0</v>
      </c>
      <c r="M474">
        <f t="shared" si="94"/>
        <v>0</v>
      </c>
      <c r="N474">
        <v>10.9</v>
      </c>
      <c r="O474">
        <f t="shared" si="95"/>
        <v>10.9</v>
      </c>
      <c r="P474">
        <v>15</v>
      </c>
      <c r="Q474">
        <f t="shared" si="96"/>
        <v>15</v>
      </c>
      <c r="R474" t="s">
        <v>20</v>
      </c>
      <c r="S474" t="str">
        <f t="shared" si="97"/>
        <v>Written Off</v>
      </c>
      <c r="T474" t="s">
        <v>22</v>
      </c>
      <c r="U474" s="3">
        <f t="shared" si="98"/>
        <v>6.92961204251058E-2</v>
      </c>
      <c r="V474" t="str">
        <f t="shared" si="99"/>
        <v>Healthy</v>
      </c>
      <c r="W474" t="str">
        <f t="shared" si="100"/>
        <v>Good</v>
      </c>
      <c r="X474" s="5" t="str">
        <f t="shared" si="101"/>
        <v>Medium</v>
      </c>
      <c r="Y474" s="5" t="str">
        <f t="shared" si="102"/>
        <v>Medium</v>
      </c>
      <c r="Z474" s="5" t="str">
        <f>IF(B474=120,"NULL",IF(AND(V474="High Stress", W474="High Risk", Y474="Low"),"High Risk : Reject", IF(AND(V474="Healthy", W474="Good",Y474&lt;&gt;"Low"), "Low Risk : Approve", "Medium Risk : Review")))</f>
        <v>Low Risk : Approve</v>
      </c>
      <c r="AA474" s="5" t="str">
        <f t="shared" si="103"/>
        <v>Medium</v>
      </c>
    </row>
    <row r="475" spans="1:27" x14ac:dyDescent="0.2">
      <c r="A475">
        <v>24652</v>
      </c>
      <c r="B475">
        <v>37</v>
      </c>
      <c r="C475">
        <f t="shared" si="91"/>
        <v>37</v>
      </c>
      <c r="D475" t="s">
        <v>21</v>
      </c>
      <c r="E475" t="str">
        <f t="shared" si="92"/>
        <v>Salaried</v>
      </c>
      <c r="F475">
        <v>6236.32</v>
      </c>
      <c r="G475">
        <f>ABS(Table1[[#This Row],[Monthly_Income]])</f>
        <v>6236.32</v>
      </c>
      <c r="H475">
        <v>13224.86</v>
      </c>
      <c r="I475" s="5">
        <f t="shared" si="93"/>
        <v>13224.86</v>
      </c>
      <c r="J475">
        <v>36</v>
      </c>
      <c r="K475">
        <v>12.43</v>
      </c>
      <c r="L475">
        <v>2</v>
      </c>
      <c r="M475">
        <f t="shared" si="94"/>
        <v>2</v>
      </c>
      <c r="N475">
        <v>9.8000000000000007</v>
      </c>
      <c r="O475">
        <f t="shared" si="95"/>
        <v>9.8000000000000007</v>
      </c>
      <c r="P475">
        <v>0</v>
      </c>
      <c r="Q475">
        <f t="shared" si="96"/>
        <v>0</v>
      </c>
      <c r="R475" t="s">
        <v>13</v>
      </c>
      <c r="S475" t="str">
        <f t="shared" si="97"/>
        <v>Performing</v>
      </c>
      <c r="T475" t="s">
        <v>16</v>
      </c>
      <c r="U475" s="3">
        <f t="shared" si="98"/>
        <v>5.8906089203604413E-2</v>
      </c>
      <c r="V475" t="str">
        <f t="shared" si="99"/>
        <v>Healthy</v>
      </c>
      <c r="W475" t="str">
        <f t="shared" si="100"/>
        <v>Good</v>
      </c>
      <c r="X475" s="5" t="str">
        <f t="shared" si="101"/>
        <v>Medium</v>
      </c>
      <c r="Y475" s="5" t="str">
        <f t="shared" si="102"/>
        <v>High</v>
      </c>
      <c r="Z475" s="5" t="str">
        <f>IF(B475=120,"NULL",IF(AND(V475="High Stress", W475="High Risk", Y475="Low"),"High Risk : Reject", IF(AND(V475="Healthy", W475="Good",Y475&lt;&gt;"Low"), "Low Risk : Approve", "Medium Risk : Review")))</f>
        <v>Low Risk : Approve</v>
      </c>
      <c r="AA475" s="5" t="str">
        <f t="shared" si="103"/>
        <v>Medium</v>
      </c>
    </row>
    <row r="476" spans="1:27" x14ac:dyDescent="0.2">
      <c r="A476">
        <v>23419</v>
      </c>
      <c r="B476">
        <v>64</v>
      </c>
      <c r="C476">
        <f t="shared" si="91"/>
        <v>64</v>
      </c>
      <c r="D476" t="s">
        <v>12</v>
      </c>
      <c r="E476" t="str">
        <f t="shared" si="92"/>
        <v>Self-Employed</v>
      </c>
      <c r="F476">
        <v>3761.64</v>
      </c>
      <c r="G476">
        <f>ABS(Table1[[#This Row],[Monthly_Income]])</f>
        <v>3761.64</v>
      </c>
      <c r="H476">
        <v>9350.99</v>
      </c>
      <c r="I476" s="5">
        <f t="shared" si="93"/>
        <v>9350.99</v>
      </c>
      <c r="J476">
        <v>60</v>
      </c>
      <c r="K476">
        <v>28.94</v>
      </c>
      <c r="M476" t="str">
        <f t="shared" si="94"/>
        <v>NULL</v>
      </c>
      <c r="N476">
        <v>7.1</v>
      </c>
      <c r="O476">
        <f t="shared" si="95"/>
        <v>7.1</v>
      </c>
      <c r="P476">
        <v>90</v>
      </c>
      <c r="Q476">
        <f t="shared" si="96"/>
        <v>90</v>
      </c>
      <c r="R476" t="s">
        <v>24</v>
      </c>
      <c r="S476" t="str">
        <f t="shared" si="97"/>
        <v>Non-Performing</v>
      </c>
      <c r="T476" t="s">
        <v>25</v>
      </c>
      <c r="U476" s="3">
        <f t="shared" si="98"/>
        <v>4.1431352636970398E-2</v>
      </c>
      <c r="V476" t="str">
        <f t="shared" si="99"/>
        <v>Healthy</v>
      </c>
      <c r="W476" t="str">
        <f t="shared" si="100"/>
        <v>High Risk</v>
      </c>
      <c r="X476" s="5" t="str">
        <f t="shared" si="101"/>
        <v>Small</v>
      </c>
      <c r="Y476" s="5" t="str">
        <f t="shared" si="102"/>
        <v>Medium</v>
      </c>
      <c r="Z476" s="5" t="str">
        <f>IF(B476=120,"NULL",IF(AND(V476="High Stress", W476="High Risk", Y476="Low"),"High Risk : Reject", IF(AND(V476="Healthy", W476="Good",Y476&lt;&gt;"Low"), "Low Risk : Approve", "Medium Risk : Review")))</f>
        <v>Medium Risk : Review</v>
      </c>
      <c r="AA476" s="5" t="str">
        <f t="shared" si="103"/>
        <v>Medium</v>
      </c>
    </row>
    <row r="477" spans="1:27" x14ac:dyDescent="0.2">
      <c r="A477">
        <v>22182</v>
      </c>
      <c r="B477">
        <v>21</v>
      </c>
      <c r="C477">
        <f t="shared" si="91"/>
        <v>21</v>
      </c>
      <c r="D477" t="s">
        <v>23</v>
      </c>
      <c r="E477" t="str">
        <f t="shared" si="92"/>
        <v>Self-Employed</v>
      </c>
      <c r="F477">
        <v>8140.47</v>
      </c>
      <c r="G477">
        <f>ABS(Table1[[#This Row],[Monthly_Income]])</f>
        <v>8140.47</v>
      </c>
      <c r="H477">
        <v>10980.62</v>
      </c>
      <c r="I477" s="5">
        <f t="shared" si="93"/>
        <v>10980.62</v>
      </c>
      <c r="J477">
        <v>12</v>
      </c>
      <c r="K477">
        <v>22.61</v>
      </c>
      <c r="M477" t="str">
        <f t="shared" si="94"/>
        <v>NULL</v>
      </c>
      <c r="N477">
        <v>10.3</v>
      </c>
      <c r="O477">
        <f t="shared" si="95"/>
        <v>10.3</v>
      </c>
      <c r="P477">
        <v>0</v>
      </c>
      <c r="Q477">
        <f t="shared" si="96"/>
        <v>0</v>
      </c>
      <c r="R477" t="s">
        <v>15</v>
      </c>
      <c r="S477" t="str">
        <f t="shared" si="97"/>
        <v xml:space="preserve">Performing </v>
      </c>
      <c r="T477" t="s">
        <v>19</v>
      </c>
      <c r="U477" s="3">
        <f t="shared" si="98"/>
        <v>0.11240771929221123</v>
      </c>
      <c r="V477" t="str">
        <f t="shared" si="99"/>
        <v>Healthy</v>
      </c>
      <c r="W477" t="str">
        <f t="shared" si="100"/>
        <v>Good</v>
      </c>
      <c r="X477" s="5" t="str">
        <f t="shared" si="101"/>
        <v>Medium</v>
      </c>
      <c r="Y477" s="5" t="str">
        <f t="shared" si="102"/>
        <v>Medium</v>
      </c>
      <c r="Z477" s="5" t="str">
        <f>IF(B477=120,"NULL",IF(AND(V477="High Stress", W477="High Risk", Y477="Low"),"High Risk : Reject", IF(AND(V477="Healthy", W477="Good",Y477&lt;&gt;"Low"), "Low Risk : Approve", "Medium Risk : Review")))</f>
        <v>Low Risk : Approve</v>
      </c>
      <c r="AA477" s="5" t="str">
        <f t="shared" si="103"/>
        <v>High</v>
      </c>
    </row>
    <row r="478" spans="1:27" x14ac:dyDescent="0.2">
      <c r="A478">
        <v>23906</v>
      </c>
      <c r="B478">
        <v>45</v>
      </c>
      <c r="C478">
        <f t="shared" si="91"/>
        <v>45</v>
      </c>
      <c r="D478" t="s">
        <v>23</v>
      </c>
      <c r="E478" t="str">
        <f t="shared" si="92"/>
        <v>Self-Employed</v>
      </c>
      <c r="F478">
        <v>6339.98</v>
      </c>
      <c r="G478">
        <f>ABS(Table1[[#This Row],[Monthly_Income]])</f>
        <v>6339.98</v>
      </c>
      <c r="H478">
        <v>23242.78</v>
      </c>
      <c r="I478" s="5">
        <f t="shared" si="93"/>
        <v>23242.78</v>
      </c>
      <c r="J478">
        <v>60</v>
      </c>
      <c r="K478">
        <v>18.95</v>
      </c>
      <c r="L478">
        <v>3</v>
      </c>
      <c r="M478">
        <f t="shared" si="94"/>
        <v>3</v>
      </c>
      <c r="N478">
        <v>10.199999999999999</v>
      </c>
      <c r="O478">
        <f t="shared" si="95"/>
        <v>10.199999999999999</v>
      </c>
      <c r="P478">
        <v>90</v>
      </c>
      <c r="Q478">
        <f t="shared" si="96"/>
        <v>90</v>
      </c>
      <c r="R478" t="s">
        <v>15</v>
      </c>
      <c r="S478" t="str">
        <f t="shared" si="97"/>
        <v xml:space="preserve">Performing </v>
      </c>
      <c r="T478" t="s">
        <v>25</v>
      </c>
      <c r="U478" s="3">
        <f t="shared" si="98"/>
        <v>6.1101086543911283E-2</v>
      </c>
      <c r="V478" t="str">
        <f t="shared" si="99"/>
        <v>Healthy</v>
      </c>
      <c r="W478" t="str">
        <f t="shared" si="100"/>
        <v>High Risk</v>
      </c>
      <c r="X478" s="5" t="str">
        <f t="shared" si="101"/>
        <v>Medium</v>
      </c>
      <c r="Y478" s="5" t="str">
        <f t="shared" si="102"/>
        <v>Medium</v>
      </c>
      <c r="Z478" s="5" t="str">
        <f>IF(B478=120,"NULL",IF(AND(V478="High Stress", W478="High Risk", Y478="Low"),"High Risk : Reject", IF(AND(V478="Healthy", W478="Good",Y478&lt;&gt;"Low"), "Low Risk : Approve", "Medium Risk : Review")))</f>
        <v>Medium Risk : Review</v>
      </c>
      <c r="AA478" s="5" t="str">
        <f t="shared" si="103"/>
        <v>Medium</v>
      </c>
    </row>
    <row r="479" spans="1:27" x14ac:dyDescent="0.2">
      <c r="A479">
        <v>25334</v>
      </c>
      <c r="B479">
        <v>39</v>
      </c>
      <c r="C479">
        <f t="shared" si="91"/>
        <v>39</v>
      </c>
      <c r="D479" t="s">
        <v>17</v>
      </c>
      <c r="E479" t="str">
        <f t="shared" si="92"/>
        <v>Contract</v>
      </c>
      <c r="F479">
        <v>5393.09</v>
      </c>
      <c r="G479">
        <f>ABS(Table1[[#This Row],[Monthly_Income]])</f>
        <v>5393.09</v>
      </c>
      <c r="H479">
        <v>37640.47</v>
      </c>
      <c r="I479" s="5">
        <f t="shared" si="93"/>
        <v>37640.47</v>
      </c>
      <c r="J479">
        <v>18</v>
      </c>
      <c r="K479">
        <v>31.97</v>
      </c>
      <c r="M479" t="str">
        <f t="shared" si="94"/>
        <v>NULL</v>
      </c>
      <c r="O479" t="str">
        <f t="shared" si="95"/>
        <v>NULL</v>
      </c>
      <c r="P479">
        <v>60</v>
      </c>
      <c r="Q479">
        <f t="shared" si="96"/>
        <v>60</v>
      </c>
      <c r="R479" t="s">
        <v>15</v>
      </c>
      <c r="S479" t="str">
        <f t="shared" si="97"/>
        <v xml:space="preserve">Performing </v>
      </c>
      <c r="T479" t="s">
        <v>25</v>
      </c>
      <c r="U479" s="3">
        <f t="shared" si="98"/>
        <v>0.38774380220286003</v>
      </c>
      <c r="V479" t="str">
        <f t="shared" si="99"/>
        <v>Stretched</v>
      </c>
      <c r="W479" t="str">
        <f t="shared" si="100"/>
        <v>High Risk</v>
      </c>
      <c r="X479" s="5" t="str">
        <f t="shared" si="101"/>
        <v>High</v>
      </c>
      <c r="Y479" s="5" t="str">
        <f t="shared" si="102"/>
        <v>Low</v>
      </c>
      <c r="Z479" s="5" t="str">
        <f>IF(B479=120,"NULL",IF(AND(V479="High Stress", W479="High Risk", Y479="Low"),"High Risk : Reject", IF(AND(V479="Healthy", W479="Good",Y479&lt;&gt;"Low"), "Low Risk : Approve", "Medium Risk : Review")))</f>
        <v>Medium Risk : Review</v>
      </c>
      <c r="AA479" s="5" t="str">
        <f t="shared" si="103"/>
        <v>Medium</v>
      </c>
    </row>
    <row r="480" spans="1:27" x14ac:dyDescent="0.2">
      <c r="A480">
        <v>21717</v>
      </c>
      <c r="B480">
        <v>37</v>
      </c>
      <c r="C480">
        <f t="shared" si="91"/>
        <v>37</v>
      </c>
      <c r="D480" t="s">
        <v>23</v>
      </c>
      <c r="E480" t="str">
        <f t="shared" si="92"/>
        <v>Self-Employed</v>
      </c>
      <c r="F480">
        <v>4245.0200000000004</v>
      </c>
      <c r="G480">
        <f>ABS(Table1[[#This Row],[Monthly_Income]])</f>
        <v>4245.0200000000004</v>
      </c>
      <c r="H480">
        <v>6116.05</v>
      </c>
      <c r="I480" s="5">
        <f t="shared" si="93"/>
        <v>6116.05</v>
      </c>
      <c r="J480">
        <v>12</v>
      </c>
      <c r="K480">
        <v>18.97</v>
      </c>
      <c r="L480">
        <v>3</v>
      </c>
      <c r="M480">
        <f t="shared" si="94"/>
        <v>3</v>
      </c>
      <c r="N480">
        <v>3.7</v>
      </c>
      <c r="O480">
        <f t="shared" si="95"/>
        <v>3.7</v>
      </c>
      <c r="P480">
        <v>0</v>
      </c>
      <c r="Q480">
        <f t="shared" si="96"/>
        <v>0</v>
      </c>
      <c r="R480" t="s">
        <v>15</v>
      </c>
      <c r="S480" t="str">
        <f t="shared" si="97"/>
        <v xml:space="preserve">Performing </v>
      </c>
      <c r="T480" t="s">
        <v>14</v>
      </c>
      <c r="U480" s="3">
        <f t="shared" si="98"/>
        <v>0.12006323488071512</v>
      </c>
      <c r="V480" t="str">
        <f t="shared" si="99"/>
        <v>Healthy</v>
      </c>
      <c r="W480" t="str">
        <f t="shared" si="100"/>
        <v>Good</v>
      </c>
      <c r="X480" s="5" t="str">
        <f t="shared" si="101"/>
        <v>Small</v>
      </c>
      <c r="Y480" s="5" t="str">
        <f t="shared" si="102"/>
        <v>Medium</v>
      </c>
      <c r="Z480" s="5" t="str">
        <f>IF(B480=120,"NULL",IF(AND(V480="High Stress", W480="High Risk", Y480="Low"),"High Risk : Reject", IF(AND(V480="Healthy", W480="Good",Y480&lt;&gt;"Low"), "Low Risk : Approve", "Medium Risk : Review")))</f>
        <v>Low Risk : Approve</v>
      </c>
      <c r="AA480" s="5" t="str">
        <f t="shared" si="103"/>
        <v>Medium</v>
      </c>
    </row>
    <row r="481" spans="1:27" x14ac:dyDescent="0.2">
      <c r="A481">
        <v>23058</v>
      </c>
      <c r="B481">
        <v>18</v>
      </c>
      <c r="C481">
        <f t="shared" si="91"/>
        <v>18</v>
      </c>
      <c r="D481" t="s">
        <v>12</v>
      </c>
      <c r="E481" t="str">
        <f t="shared" si="92"/>
        <v>Self-Employed</v>
      </c>
      <c r="F481">
        <v>3650.1</v>
      </c>
      <c r="G481">
        <f>ABS(Table1[[#This Row],[Monthly_Income]])</f>
        <v>3650.1</v>
      </c>
      <c r="H481">
        <v>79.27</v>
      </c>
      <c r="I481" s="5">
        <f t="shared" si="93"/>
        <v>79.27</v>
      </c>
      <c r="J481">
        <v>6</v>
      </c>
      <c r="K481">
        <v>18.53</v>
      </c>
      <c r="L481">
        <v>3</v>
      </c>
      <c r="M481">
        <f t="shared" si="94"/>
        <v>3</v>
      </c>
      <c r="N481">
        <v>8</v>
      </c>
      <c r="O481">
        <f t="shared" si="95"/>
        <v>8</v>
      </c>
      <c r="P481">
        <v>0</v>
      </c>
      <c r="Q481">
        <f t="shared" si="96"/>
        <v>0</v>
      </c>
      <c r="R481" t="s">
        <v>24</v>
      </c>
      <c r="S481" t="str">
        <f t="shared" si="97"/>
        <v>Non-Performing</v>
      </c>
      <c r="T481" t="s">
        <v>19</v>
      </c>
      <c r="U481" s="3">
        <f t="shared" si="98"/>
        <v>3.6195355378391462E-3</v>
      </c>
      <c r="V481" t="str">
        <f t="shared" si="99"/>
        <v>Healthy</v>
      </c>
      <c r="W481" t="str">
        <f t="shared" si="100"/>
        <v>Good</v>
      </c>
      <c r="X481" s="5" t="str">
        <f t="shared" si="101"/>
        <v>Small</v>
      </c>
      <c r="Y481" s="5" t="str">
        <f t="shared" si="102"/>
        <v>Medium</v>
      </c>
      <c r="Z481" s="5" t="str">
        <f>IF(B481=120,"NULL",IF(AND(V481="High Stress", W481="High Risk", Y481="Low"),"High Risk : Reject", IF(AND(V481="Healthy", W481="Good",Y481&lt;&gt;"Low"), "Low Risk : Approve", "Medium Risk : Review")))</f>
        <v>Low Risk : Approve</v>
      </c>
      <c r="AA481" s="5" t="str">
        <f t="shared" si="103"/>
        <v>Medium</v>
      </c>
    </row>
    <row r="482" spans="1:27" x14ac:dyDescent="0.2">
      <c r="A482">
        <v>21015</v>
      </c>
      <c r="B482">
        <v>21</v>
      </c>
      <c r="C482">
        <f t="shared" si="91"/>
        <v>21</v>
      </c>
      <c r="D482" t="s">
        <v>27</v>
      </c>
      <c r="E482" t="str">
        <f t="shared" si="92"/>
        <v>Unemployed</v>
      </c>
      <c r="F482">
        <v>6695.14</v>
      </c>
      <c r="G482">
        <f>ABS(Table1[[#This Row],[Monthly_Income]])</f>
        <v>6695.14</v>
      </c>
      <c r="H482">
        <v>16383.88</v>
      </c>
      <c r="I482" s="5">
        <f t="shared" si="93"/>
        <v>16383.88</v>
      </c>
      <c r="J482">
        <v>60</v>
      </c>
      <c r="K482">
        <v>22.68</v>
      </c>
      <c r="L482">
        <v>1</v>
      </c>
      <c r="M482">
        <f t="shared" si="94"/>
        <v>1</v>
      </c>
      <c r="N482">
        <v>8</v>
      </c>
      <c r="O482">
        <f t="shared" si="95"/>
        <v>8</v>
      </c>
      <c r="P482">
        <v>0</v>
      </c>
      <c r="Q482">
        <f t="shared" si="96"/>
        <v>0</v>
      </c>
      <c r="R482" t="s">
        <v>24</v>
      </c>
      <c r="S482" t="str">
        <f t="shared" si="97"/>
        <v>Non-Performing</v>
      </c>
      <c r="T482" t="s">
        <v>14</v>
      </c>
      <c r="U482" s="3">
        <f t="shared" si="98"/>
        <v>4.0785505107685076E-2</v>
      </c>
      <c r="V482" t="str">
        <f t="shared" si="99"/>
        <v>Healthy</v>
      </c>
      <c r="W482" t="str">
        <f t="shared" si="100"/>
        <v>Good</v>
      </c>
      <c r="X482" s="5" t="str">
        <f t="shared" si="101"/>
        <v>Medium</v>
      </c>
      <c r="Y482" s="5" t="str">
        <f t="shared" si="102"/>
        <v>Low</v>
      </c>
      <c r="Z482" s="5" t="str">
        <f>IF(B482=120,"NULL",IF(AND(V482="High Stress", W482="High Risk", Y482="Low"),"High Risk : Reject", IF(AND(V482="Healthy", W482="Good",Y482&lt;&gt;"Low"), "Low Risk : Approve", "Medium Risk : Review")))</f>
        <v>Medium Risk : Review</v>
      </c>
      <c r="AA482" s="5" t="str">
        <f t="shared" si="103"/>
        <v>Medium</v>
      </c>
    </row>
    <row r="483" spans="1:27" x14ac:dyDescent="0.2">
      <c r="A483">
        <v>23451</v>
      </c>
      <c r="B483">
        <v>27</v>
      </c>
      <c r="C483">
        <f t="shared" si="91"/>
        <v>27</v>
      </c>
      <c r="D483" t="s">
        <v>12</v>
      </c>
      <c r="E483" t="str">
        <f t="shared" si="92"/>
        <v>Self-Employed</v>
      </c>
      <c r="F483">
        <v>6462.97</v>
      </c>
      <c r="G483">
        <f>ABS(Table1[[#This Row],[Monthly_Income]])</f>
        <v>6462.97</v>
      </c>
      <c r="H483">
        <v>18070.560000000001</v>
      </c>
      <c r="I483" s="5">
        <f t="shared" si="93"/>
        <v>18070.560000000001</v>
      </c>
      <c r="J483">
        <v>6</v>
      </c>
      <c r="K483">
        <v>19.86</v>
      </c>
      <c r="L483">
        <v>4</v>
      </c>
      <c r="M483">
        <f t="shared" si="94"/>
        <v>4</v>
      </c>
      <c r="N483">
        <v>6.2</v>
      </c>
      <c r="O483">
        <f t="shared" si="95"/>
        <v>6.2</v>
      </c>
      <c r="P483">
        <v>60</v>
      </c>
      <c r="Q483">
        <f t="shared" si="96"/>
        <v>60</v>
      </c>
      <c r="R483" t="s">
        <v>15</v>
      </c>
      <c r="S483" t="str">
        <f t="shared" si="97"/>
        <v xml:space="preserve">Performing </v>
      </c>
      <c r="T483" t="s">
        <v>19</v>
      </c>
      <c r="U483" s="3">
        <f t="shared" si="98"/>
        <v>0.46600247254745114</v>
      </c>
      <c r="V483" t="str">
        <f t="shared" si="99"/>
        <v>High Stress</v>
      </c>
      <c r="W483" t="str">
        <f t="shared" si="100"/>
        <v>High Risk</v>
      </c>
      <c r="X483" s="5" t="str">
        <f t="shared" si="101"/>
        <v>Medium</v>
      </c>
      <c r="Y483" s="5" t="str">
        <f t="shared" si="102"/>
        <v>Medium</v>
      </c>
      <c r="Z483" s="5" t="str">
        <f>IF(B483=120,"NULL",IF(AND(V483="High Stress", W483="High Risk", Y483="Low"),"High Risk : Reject", IF(AND(V483="Healthy", W483="Good",Y483&lt;&gt;"Low"), "Low Risk : Approve", "Medium Risk : Review")))</f>
        <v>Medium Risk : Review</v>
      </c>
      <c r="AA483" s="5" t="str">
        <f t="shared" si="103"/>
        <v>Medium</v>
      </c>
    </row>
    <row r="484" spans="1:27" x14ac:dyDescent="0.2">
      <c r="A484">
        <v>23094</v>
      </c>
      <c r="B484">
        <v>51</v>
      </c>
      <c r="C484">
        <f t="shared" si="91"/>
        <v>51</v>
      </c>
      <c r="D484" t="s">
        <v>26</v>
      </c>
      <c r="E484" t="str">
        <f t="shared" si="92"/>
        <v>Salaried</v>
      </c>
      <c r="F484">
        <v>3084.21</v>
      </c>
      <c r="G484">
        <f>ABS(Table1[[#This Row],[Monthly_Income]])</f>
        <v>3084.21</v>
      </c>
      <c r="H484">
        <v>13139.22</v>
      </c>
      <c r="I484" s="5">
        <f t="shared" si="93"/>
        <v>13139.22</v>
      </c>
      <c r="J484">
        <v>18</v>
      </c>
      <c r="K484">
        <v>4.42</v>
      </c>
      <c r="L484">
        <v>3</v>
      </c>
      <c r="M484">
        <f t="shared" si="94"/>
        <v>3</v>
      </c>
      <c r="N484">
        <v>7.8</v>
      </c>
      <c r="O484">
        <f t="shared" si="95"/>
        <v>7.8</v>
      </c>
      <c r="P484">
        <v>120</v>
      </c>
      <c r="Q484">
        <f t="shared" si="96"/>
        <v>120</v>
      </c>
      <c r="R484" t="s">
        <v>13</v>
      </c>
      <c r="S484" t="str">
        <f t="shared" si="97"/>
        <v>Performing</v>
      </c>
      <c r="T484" t="s">
        <v>14</v>
      </c>
      <c r="U484" s="3">
        <f t="shared" si="98"/>
        <v>0.23667541012663426</v>
      </c>
      <c r="V484" t="str">
        <f t="shared" si="99"/>
        <v>Healthy</v>
      </c>
      <c r="W484" t="str">
        <f t="shared" si="100"/>
        <v>High Risk</v>
      </c>
      <c r="X484" s="5" t="str">
        <f t="shared" si="101"/>
        <v>Medium</v>
      </c>
      <c r="Y484" s="5" t="str">
        <f t="shared" si="102"/>
        <v>High</v>
      </c>
      <c r="Z484" s="5" t="str">
        <f>IF(B484=120,"NULL",IF(AND(V484="High Stress", W484="High Risk", Y484="Low"),"High Risk : Reject", IF(AND(V484="Healthy", W484="Good",Y484&lt;&gt;"Low"), "Low Risk : Approve", "Medium Risk : Review")))</f>
        <v>Medium Risk : Review</v>
      </c>
      <c r="AA484" s="5" t="str">
        <f t="shared" si="103"/>
        <v>Medium</v>
      </c>
    </row>
    <row r="485" spans="1:27" x14ac:dyDescent="0.2">
      <c r="A485">
        <v>20615</v>
      </c>
      <c r="B485">
        <v>40</v>
      </c>
      <c r="C485">
        <f t="shared" si="91"/>
        <v>40</v>
      </c>
      <c r="D485" t="s">
        <v>12</v>
      </c>
      <c r="E485" t="str">
        <f t="shared" si="92"/>
        <v>Self-Employed</v>
      </c>
      <c r="F485">
        <v>4982.8999999999996</v>
      </c>
      <c r="G485">
        <f>ABS(Table1[[#This Row],[Monthly_Income]])</f>
        <v>4982.8999999999996</v>
      </c>
      <c r="H485">
        <v>16910.95</v>
      </c>
      <c r="I485" s="5">
        <f t="shared" si="93"/>
        <v>16910.95</v>
      </c>
      <c r="J485">
        <v>48</v>
      </c>
      <c r="K485">
        <v>28.78</v>
      </c>
      <c r="L485">
        <v>2</v>
      </c>
      <c r="M485">
        <f t="shared" si="94"/>
        <v>2</v>
      </c>
      <c r="N485">
        <v>15.6</v>
      </c>
      <c r="O485">
        <f t="shared" si="95"/>
        <v>15.6</v>
      </c>
      <c r="P485">
        <v>0</v>
      </c>
      <c r="Q485">
        <f t="shared" si="96"/>
        <v>0</v>
      </c>
      <c r="R485" t="s">
        <v>20</v>
      </c>
      <c r="S485" t="str">
        <f t="shared" si="97"/>
        <v>Written Off</v>
      </c>
      <c r="T485" t="s">
        <v>14</v>
      </c>
      <c r="U485" s="3">
        <f t="shared" si="98"/>
        <v>7.0704099687598262E-2</v>
      </c>
      <c r="V485" t="str">
        <f t="shared" si="99"/>
        <v>Healthy</v>
      </c>
      <c r="W485" t="str">
        <f t="shared" si="100"/>
        <v>Good</v>
      </c>
      <c r="X485" s="5" t="str">
        <f t="shared" si="101"/>
        <v>Medium</v>
      </c>
      <c r="Y485" s="5" t="str">
        <f t="shared" si="102"/>
        <v>Medium</v>
      </c>
      <c r="Z485" s="5" t="str">
        <f>IF(B485=120,"NULL",IF(AND(V485="High Stress", W485="High Risk", Y485="Low"),"High Risk : Reject", IF(AND(V485="Healthy", W485="Good",Y485&lt;&gt;"Low"), "Low Risk : Approve", "Medium Risk : Review")))</f>
        <v>Low Risk : Approve</v>
      </c>
      <c r="AA485" s="5" t="str">
        <f t="shared" si="103"/>
        <v>Medium</v>
      </c>
    </row>
    <row r="486" spans="1:27" x14ac:dyDescent="0.2">
      <c r="A486">
        <v>21401</v>
      </c>
      <c r="B486">
        <v>58</v>
      </c>
      <c r="C486">
        <f t="shared" si="91"/>
        <v>58</v>
      </c>
      <c r="D486" t="s">
        <v>21</v>
      </c>
      <c r="E486" t="str">
        <f t="shared" si="92"/>
        <v>Salaried</v>
      </c>
      <c r="F486">
        <v>1742.25</v>
      </c>
      <c r="G486">
        <f>ABS(Table1[[#This Row],[Monthly_Income]])</f>
        <v>1742.25</v>
      </c>
      <c r="H486">
        <v>6610.11</v>
      </c>
      <c r="I486" s="5">
        <f t="shared" si="93"/>
        <v>6610.11</v>
      </c>
      <c r="J486">
        <v>18</v>
      </c>
      <c r="K486">
        <v>14.97</v>
      </c>
      <c r="L486">
        <v>3</v>
      </c>
      <c r="M486">
        <f t="shared" si="94"/>
        <v>3</v>
      </c>
      <c r="N486">
        <v>14.3</v>
      </c>
      <c r="O486">
        <f t="shared" si="95"/>
        <v>14.3</v>
      </c>
      <c r="P486">
        <v>120</v>
      </c>
      <c r="Q486">
        <f t="shared" si="96"/>
        <v>120</v>
      </c>
      <c r="R486" t="s">
        <v>24</v>
      </c>
      <c r="S486" t="str">
        <f t="shared" si="97"/>
        <v>Non-Performing</v>
      </c>
      <c r="T486" t="s">
        <v>14</v>
      </c>
      <c r="U486" s="3">
        <f t="shared" si="98"/>
        <v>0.21077820825560817</v>
      </c>
      <c r="V486" t="str">
        <f t="shared" si="99"/>
        <v>Healthy</v>
      </c>
      <c r="W486" t="str">
        <f t="shared" si="100"/>
        <v>High Risk</v>
      </c>
      <c r="X486" s="5" t="str">
        <f t="shared" si="101"/>
        <v>Small</v>
      </c>
      <c r="Y486" s="5" t="str">
        <f t="shared" si="102"/>
        <v>High</v>
      </c>
      <c r="Z486" s="5" t="str">
        <f>IF(B486=120,"NULL",IF(AND(V486="High Stress", W486="High Risk", Y486="Low"),"High Risk : Reject", IF(AND(V486="Healthy", W486="Good",Y486&lt;&gt;"Low"), "Low Risk : Approve", "Medium Risk : Review")))</f>
        <v>Medium Risk : Review</v>
      </c>
      <c r="AA486" s="5" t="str">
        <f t="shared" si="103"/>
        <v>Low</v>
      </c>
    </row>
    <row r="487" spans="1:27" x14ac:dyDescent="0.2">
      <c r="A487">
        <v>24262</v>
      </c>
      <c r="B487">
        <v>28</v>
      </c>
      <c r="C487">
        <f t="shared" si="91"/>
        <v>28</v>
      </c>
      <c r="D487" t="s">
        <v>21</v>
      </c>
      <c r="E487" t="str">
        <f t="shared" si="92"/>
        <v>Salaried</v>
      </c>
      <c r="F487">
        <v>7624.55</v>
      </c>
      <c r="G487">
        <f>ABS(Table1[[#This Row],[Monthly_Income]])</f>
        <v>7624.55</v>
      </c>
      <c r="H487"/>
      <c r="I487" s="5" t="str">
        <f t="shared" si="93"/>
        <v>NULL</v>
      </c>
      <c r="J487">
        <v>6</v>
      </c>
      <c r="K487">
        <v>20.329999999999998</v>
      </c>
      <c r="L487">
        <v>4</v>
      </c>
      <c r="M487">
        <f t="shared" si="94"/>
        <v>4</v>
      </c>
      <c r="N487">
        <v>9.1</v>
      </c>
      <c r="O487">
        <f t="shared" si="95"/>
        <v>9.1</v>
      </c>
      <c r="P487">
        <v>30</v>
      </c>
      <c r="Q487">
        <f t="shared" si="96"/>
        <v>30</v>
      </c>
      <c r="R487" t="s">
        <v>24</v>
      </c>
      <c r="S487" t="str">
        <f t="shared" si="97"/>
        <v>Non-Performing</v>
      </c>
      <c r="T487" t="s">
        <v>22</v>
      </c>
      <c r="U487" s="3" t="str">
        <f t="shared" si="98"/>
        <v>NULL</v>
      </c>
      <c r="V487" t="str">
        <f t="shared" si="99"/>
        <v>NULL</v>
      </c>
      <c r="W487" t="str">
        <f t="shared" si="100"/>
        <v>At Risk</v>
      </c>
      <c r="X487" s="5" t="str">
        <f t="shared" si="101"/>
        <v>High</v>
      </c>
      <c r="Y487" s="5" t="str">
        <f t="shared" si="102"/>
        <v>High</v>
      </c>
      <c r="Z487" s="5" t="str">
        <f>IF(B487=120,"NULL",IF(AND(V487="High Stress", W487="High Risk", Y487="Low"),"High Risk : Reject", IF(AND(V487="Healthy", W487="Good",Y487&lt;&gt;"Low"), "Low Risk : Approve", "Medium Risk : Review")))</f>
        <v>Medium Risk : Review</v>
      </c>
      <c r="AA487" s="5" t="str">
        <f t="shared" si="103"/>
        <v>Medium</v>
      </c>
    </row>
    <row r="488" spans="1:27" x14ac:dyDescent="0.2">
      <c r="A488">
        <v>25914</v>
      </c>
      <c r="B488">
        <v>63</v>
      </c>
      <c r="C488">
        <f t="shared" si="91"/>
        <v>63</v>
      </c>
      <c r="D488" t="s">
        <v>21</v>
      </c>
      <c r="E488" t="str">
        <f t="shared" si="92"/>
        <v>Salaried</v>
      </c>
      <c r="F488">
        <v>7339.28</v>
      </c>
      <c r="G488">
        <f>ABS(Table1[[#This Row],[Monthly_Income]])</f>
        <v>7339.28</v>
      </c>
      <c r="H488">
        <v>21276.799999999999</v>
      </c>
      <c r="I488" s="5">
        <f t="shared" si="93"/>
        <v>21276.799999999999</v>
      </c>
      <c r="J488">
        <v>60</v>
      </c>
      <c r="K488">
        <v>16.420000000000002</v>
      </c>
      <c r="L488">
        <v>0</v>
      </c>
      <c r="M488">
        <f t="shared" si="94"/>
        <v>0</v>
      </c>
      <c r="N488">
        <v>8.9</v>
      </c>
      <c r="O488">
        <f t="shared" si="95"/>
        <v>8.9</v>
      </c>
      <c r="P488">
        <v>0</v>
      </c>
      <c r="Q488">
        <f t="shared" si="96"/>
        <v>0</v>
      </c>
      <c r="R488" t="s">
        <v>15</v>
      </c>
      <c r="S488" t="str">
        <f t="shared" si="97"/>
        <v xml:space="preserve">Performing </v>
      </c>
      <c r="T488" t="s">
        <v>25</v>
      </c>
      <c r="U488" s="3">
        <f t="shared" si="98"/>
        <v>4.8317182793589201E-2</v>
      </c>
      <c r="V488" t="str">
        <f t="shared" si="99"/>
        <v>Healthy</v>
      </c>
      <c r="W488" t="str">
        <f t="shared" si="100"/>
        <v>Good</v>
      </c>
      <c r="X488" s="5" t="str">
        <f t="shared" si="101"/>
        <v>Medium</v>
      </c>
      <c r="Y488" s="5" t="str">
        <f t="shared" si="102"/>
        <v>High</v>
      </c>
      <c r="Z488" s="5" t="str">
        <f>IF(B488=120,"NULL",IF(AND(V488="High Stress", W488="High Risk", Y488="Low"),"High Risk : Reject", IF(AND(V488="Healthy", W488="Good",Y488&lt;&gt;"Low"), "Low Risk : Approve", "Medium Risk : Review")))</f>
        <v>Low Risk : Approve</v>
      </c>
      <c r="AA488" s="5" t="str">
        <f t="shared" si="103"/>
        <v>Medium</v>
      </c>
    </row>
    <row r="489" spans="1:27" x14ac:dyDescent="0.2">
      <c r="A489">
        <v>22629</v>
      </c>
      <c r="B489">
        <v>49</v>
      </c>
      <c r="C489">
        <f t="shared" si="91"/>
        <v>49</v>
      </c>
      <c r="D489" t="s">
        <v>12</v>
      </c>
      <c r="E489" t="str">
        <f t="shared" si="92"/>
        <v>Self-Employed</v>
      </c>
      <c r="F489">
        <v>3474.64</v>
      </c>
      <c r="G489">
        <f>ABS(Table1[[#This Row],[Monthly_Income]])</f>
        <v>3474.64</v>
      </c>
      <c r="H489">
        <v>25858.37</v>
      </c>
      <c r="I489" s="5">
        <f t="shared" si="93"/>
        <v>25858.37</v>
      </c>
      <c r="J489">
        <v>24</v>
      </c>
      <c r="K489">
        <v>17.559999999999999</v>
      </c>
      <c r="L489">
        <v>0</v>
      </c>
      <c r="M489">
        <f t="shared" si="94"/>
        <v>0</v>
      </c>
      <c r="N489">
        <v>6.5</v>
      </c>
      <c r="O489">
        <f t="shared" si="95"/>
        <v>6.5</v>
      </c>
      <c r="P489">
        <v>0</v>
      </c>
      <c r="Q489">
        <f t="shared" si="96"/>
        <v>0</v>
      </c>
      <c r="R489" t="s">
        <v>13</v>
      </c>
      <c r="S489" t="str">
        <f t="shared" si="97"/>
        <v>Performing</v>
      </c>
      <c r="T489" t="s">
        <v>14</v>
      </c>
      <c r="U489" s="3">
        <f t="shared" si="98"/>
        <v>0.31008452194567876</v>
      </c>
      <c r="V489" t="str">
        <f t="shared" si="99"/>
        <v>Stretched</v>
      </c>
      <c r="W489" t="str">
        <f t="shared" si="100"/>
        <v>Good</v>
      </c>
      <c r="X489" s="5" t="str">
        <f t="shared" si="101"/>
        <v>Medium</v>
      </c>
      <c r="Y489" s="5" t="str">
        <f t="shared" si="102"/>
        <v>Medium</v>
      </c>
      <c r="Z489" s="5" t="str">
        <f>IF(B489=120,"NULL",IF(AND(V489="High Stress", W489="High Risk", Y489="Low"),"High Risk : Reject", IF(AND(V489="Healthy", W489="Good",Y489&lt;&gt;"Low"), "Low Risk : Approve", "Medium Risk : Review")))</f>
        <v>Medium Risk : Review</v>
      </c>
      <c r="AA489" s="5" t="str">
        <f t="shared" si="103"/>
        <v>Medium</v>
      </c>
    </row>
    <row r="490" spans="1:27" x14ac:dyDescent="0.2">
      <c r="A490">
        <v>24510</v>
      </c>
      <c r="B490">
        <v>48</v>
      </c>
      <c r="C490">
        <f t="shared" si="91"/>
        <v>48</v>
      </c>
      <c r="D490" t="s">
        <v>12</v>
      </c>
      <c r="E490" t="str">
        <f t="shared" si="92"/>
        <v>Self-Employed</v>
      </c>
      <c r="F490">
        <v>3738.06</v>
      </c>
      <c r="G490">
        <f>ABS(Table1[[#This Row],[Monthly_Income]])</f>
        <v>3738.06</v>
      </c>
      <c r="H490">
        <v>11654.95</v>
      </c>
      <c r="I490" s="5">
        <f t="shared" si="93"/>
        <v>11654.95</v>
      </c>
      <c r="J490">
        <v>6</v>
      </c>
      <c r="K490">
        <v>12.17</v>
      </c>
      <c r="L490">
        <v>1</v>
      </c>
      <c r="M490">
        <f t="shared" si="94"/>
        <v>1</v>
      </c>
      <c r="N490">
        <v>5.8</v>
      </c>
      <c r="O490">
        <f t="shared" si="95"/>
        <v>5.8</v>
      </c>
      <c r="P490">
        <v>0</v>
      </c>
      <c r="Q490">
        <f t="shared" si="96"/>
        <v>0</v>
      </c>
      <c r="R490" t="s">
        <v>13</v>
      </c>
      <c r="S490" t="str">
        <f t="shared" si="97"/>
        <v>Performing</v>
      </c>
      <c r="T490" t="s">
        <v>25</v>
      </c>
      <c r="U490" s="3">
        <f t="shared" si="98"/>
        <v>0.51965235086292538</v>
      </c>
      <c r="V490" t="str">
        <f t="shared" si="99"/>
        <v>High Stress</v>
      </c>
      <c r="W490" t="str">
        <f t="shared" si="100"/>
        <v>Good</v>
      </c>
      <c r="X490" s="5" t="str">
        <f t="shared" si="101"/>
        <v>Medium</v>
      </c>
      <c r="Y490" s="5" t="str">
        <f t="shared" si="102"/>
        <v>Medium</v>
      </c>
      <c r="Z490" s="5" t="str">
        <f>IF(B490=120,"NULL",IF(AND(V490="High Stress", W490="High Risk", Y490="Low"),"High Risk : Reject", IF(AND(V490="Healthy", W490="Good",Y490&lt;&gt;"Low"), "Low Risk : Approve", "Medium Risk : Review")))</f>
        <v>Medium Risk : Review</v>
      </c>
      <c r="AA490" s="5" t="str">
        <f t="shared" si="103"/>
        <v>Medium</v>
      </c>
    </row>
    <row r="491" spans="1:27" x14ac:dyDescent="0.2">
      <c r="A491">
        <v>21175</v>
      </c>
      <c r="B491">
        <v>36</v>
      </c>
      <c r="C491">
        <f t="shared" si="91"/>
        <v>36</v>
      </c>
      <c r="D491" t="s">
        <v>17</v>
      </c>
      <c r="E491" t="str">
        <f t="shared" si="92"/>
        <v>Contract</v>
      </c>
      <c r="F491">
        <v>-587.27</v>
      </c>
      <c r="G491">
        <f>ABS(Table1[[#This Row],[Monthly_Income]])</f>
        <v>587.27</v>
      </c>
      <c r="H491">
        <v>29358.42</v>
      </c>
      <c r="I491" s="5">
        <f t="shared" si="93"/>
        <v>29358.42</v>
      </c>
      <c r="J491">
        <v>18</v>
      </c>
      <c r="K491">
        <v>18.829999999999998</v>
      </c>
      <c r="L491">
        <v>0</v>
      </c>
      <c r="M491">
        <f t="shared" si="94"/>
        <v>0</v>
      </c>
      <c r="N491">
        <v>5.3</v>
      </c>
      <c r="O491">
        <f t="shared" si="95"/>
        <v>5.3</v>
      </c>
      <c r="P491">
        <v>60</v>
      </c>
      <c r="Q491">
        <f t="shared" si="96"/>
        <v>60</v>
      </c>
      <c r="R491" t="s">
        <v>24</v>
      </c>
      <c r="S491" t="str">
        <f t="shared" si="97"/>
        <v>Non-Performing</v>
      </c>
      <c r="T491" t="s">
        <v>22</v>
      </c>
      <c r="U491" s="3">
        <f t="shared" si="98"/>
        <v>2.7772972113905583</v>
      </c>
      <c r="V491" t="str">
        <f t="shared" si="99"/>
        <v>High Stress</v>
      </c>
      <c r="W491" t="str">
        <f t="shared" si="100"/>
        <v>High Risk</v>
      </c>
      <c r="X491" s="5" t="str">
        <f t="shared" si="101"/>
        <v>Medium</v>
      </c>
      <c r="Y491" s="5" t="str">
        <f t="shared" si="102"/>
        <v>Low</v>
      </c>
      <c r="Z491" s="5" t="str">
        <f>IF(B491=120,"NULL",IF(AND(V491="High Stress", W491="High Risk", Y491="Low"),"High Risk : Reject", IF(AND(V491="Healthy", W491="Good",Y491&lt;&gt;"Low"), "Low Risk : Approve", "Medium Risk : Review")))</f>
        <v>High Risk : Reject</v>
      </c>
      <c r="AA491" s="5" t="str">
        <f t="shared" si="103"/>
        <v>Low</v>
      </c>
    </row>
    <row r="492" spans="1:27" x14ac:dyDescent="0.2">
      <c r="A492">
        <v>22081</v>
      </c>
      <c r="B492">
        <v>32</v>
      </c>
      <c r="C492">
        <f t="shared" si="91"/>
        <v>32</v>
      </c>
      <c r="D492" t="s">
        <v>27</v>
      </c>
      <c r="E492" t="str">
        <f t="shared" si="92"/>
        <v>Unemployed</v>
      </c>
      <c r="F492">
        <v>722.7</v>
      </c>
      <c r="G492">
        <f>ABS(Table1[[#This Row],[Monthly_Income]])</f>
        <v>722.7</v>
      </c>
      <c r="H492">
        <v>26030.33</v>
      </c>
      <c r="I492" s="5">
        <f t="shared" si="93"/>
        <v>26030.33</v>
      </c>
      <c r="J492">
        <v>48</v>
      </c>
      <c r="K492">
        <v>15.93</v>
      </c>
      <c r="L492">
        <v>3</v>
      </c>
      <c r="M492">
        <f t="shared" si="94"/>
        <v>3</v>
      </c>
      <c r="N492">
        <v>1.6</v>
      </c>
      <c r="O492">
        <f t="shared" si="95"/>
        <v>1.6</v>
      </c>
      <c r="P492">
        <v>90</v>
      </c>
      <c r="Q492">
        <f t="shared" si="96"/>
        <v>90</v>
      </c>
      <c r="R492" t="s">
        <v>18</v>
      </c>
      <c r="S492" t="str">
        <f t="shared" si="97"/>
        <v>Non-Performing</v>
      </c>
      <c r="T492" t="s">
        <v>16</v>
      </c>
      <c r="U492" s="3">
        <f t="shared" si="98"/>
        <v>0.75037849960795155</v>
      </c>
      <c r="V492" t="str">
        <f t="shared" si="99"/>
        <v>High Stress</v>
      </c>
      <c r="W492" t="str">
        <f t="shared" si="100"/>
        <v>High Risk</v>
      </c>
      <c r="X492" s="5" t="str">
        <f t="shared" si="101"/>
        <v>Medium</v>
      </c>
      <c r="Y492" s="5" t="str">
        <f t="shared" si="102"/>
        <v>Low</v>
      </c>
      <c r="Z492" s="5" t="str">
        <f>IF(B492=120,"NULL",IF(AND(V492="High Stress", W492="High Risk", Y492="Low"),"High Risk : Reject", IF(AND(V492="Healthy", W492="Good",Y492&lt;&gt;"Low"), "Low Risk : Approve", "Medium Risk : Review")))</f>
        <v>High Risk : Reject</v>
      </c>
      <c r="AA492" s="5" t="str">
        <f t="shared" si="103"/>
        <v>Low</v>
      </c>
    </row>
    <row r="493" spans="1:27" x14ac:dyDescent="0.2">
      <c r="A493">
        <v>24928</v>
      </c>
      <c r="B493">
        <v>52</v>
      </c>
      <c r="C493">
        <f t="shared" si="91"/>
        <v>52</v>
      </c>
      <c r="D493" t="s">
        <v>26</v>
      </c>
      <c r="E493" t="str">
        <f t="shared" si="92"/>
        <v>Salaried</v>
      </c>
      <c r="F493">
        <v>7503.33</v>
      </c>
      <c r="G493">
        <f>ABS(Table1[[#This Row],[Monthly_Income]])</f>
        <v>7503.33</v>
      </c>
      <c r="H493">
        <v>31151.69</v>
      </c>
      <c r="I493" s="5">
        <f t="shared" si="93"/>
        <v>31151.69</v>
      </c>
      <c r="J493">
        <v>36</v>
      </c>
      <c r="K493">
        <v>7.18</v>
      </c>
      <c r="L493">
        <v>3</v>
      </c>
      <c r="M493">
        <f t="shared" si="94"/>
        <v>3</v>
      </c>
      <c r="N493">
        <v>7.9</v>
      </c>
      <c r="O493">
        <f t="shared" si="95"/>
        <v>7.9</v>
      </c>
      <c r="P493">
        <v>0</v>
      </c>
      <c r="Q493">
        <f t="shared" si="96"/>
        <v>0</v>
      </c>
      <c r="R493" t="s">
        <v>18</v>
      </c>
      <c r="S493" t="str">
        <f t="shared" si="97"/>
        <v>Non-Performing</v>
      </c>
      <c r="T493" t="s">
        <v>22</v>
      </c>
      <c r="U493" s="3">
        <f t="shared" si="98"/>
        <v>0.11532542514086708</v>
      </c>
      <c r="V493" t="str">
        <f t="shared" si="99"/>
        <v>Healthy</v>
      </c>
      <c r="W493" t="str">
        <f t="shared" si="100"/>
        <v>Good</v>
      </c>
      <c r="X493" s="5" t="str">
        <f t="shared" si="101"/>
        <v>High</v>
      </c>
      <c r="Y493" s="5" t="str">
        <f t="shared" si="102"/>
        <v>High</v>
      </c>
      <c r="Z493" s="5" t="str">
        <f>IF(B493=120,"NULL",IF(AND(V493="High Stress", W493="High Risk", Y493="Low"),"High Risk : Reject", IF(AND(V493="Healthy", W493="Good",Y493&lt;&gt;"Low"), "Low Risk : Approve", "Medium Risk : Review")))</f>
        <v>Low Risk : Approve</v>
      </c>
      <c r="AA493" s="5" t="str">
        <f t="shared" si="103"/>
        <v>Medium</v>
      </c>
    </row>
    <row r="494" spans="1:27" x14ac:dyDescent="0.2">
      <c r="A494">
        <v>21495</v>
      </c>
      <c r="B494">
        <v>59</v>
      </c>
      <c r="C494">
        <f t="shared" si="91"/>
        <v>59</v>
      </c>
      <c r="D494" t="s">
        <v>23</v>
      </c>
      <c r="E494" t="str">
        <f t="shared" si="92"/>
        <v>Self-Employed</v>
      </c>
      <c r="F494">
        <v>4128.3999999999996</v>
      </c>
      <c r="G494">
        <f>ABS(Table1[[#This Row],[Monthly_Income]])</f>
        <v>4128.3999999999996</v>
      </c>
      <c r="H494">
        <v>29361.34</v>
      </c>
      <c r="I494" s="5">
        <f t="shared" si="93"/>
        <v>29361.34</v>
      </c>
      <c r="J494">
        <v>48</v>
      </c>
      <c r="K494">
        <v>11.71</v>
      </c>
      <c r="L494">
        <v>3</v>
      </c>
      <c r="M494">
        <f t="shared" si="94"/>
        <v>3</v>
      </c>
      <c r="N494">
        <v>10.199999999999999</v>
      </c>
      <c r="O494">
        <f t="shared" si="95"/>
        <v>10.199999999999999</v>
      </c>
      <c r="P494">
        <v>0</v>
      </c>
      <c r="Q494">
        <f t="shared" si="96"/>
        <v>0</v>
      </c>
      <c r="R494" t="s">
        <v>20</v>
      </c>
      <c r="S494" t="str">
        <f t="shared" si="97"/>
        <v>Written Off</v>
      </c>
      <c r="T494" t="s">
        <v>16</v>
      </c>
      <c r="U494" s="3">
        <f t="shared" si="98"/>
        <v>0.14816747004489231</v>
      </c>
      <c r="V494" t="str">
        <f t="shared" si="99"/>
        <v>Healthy</v>
      </c>
      <c r="W494" t="str">
        <f t="shared" si="100"/>
        <v>Good</v>
      </c>
      <c r="X494" s="5" t="str">
        <f t="shared" si="101"/>
        <v>Medium</v>
      </c>
      <c r="Y494" s="5" t="str">
        <f t="shared" si="102"/>
        <v>Medium</v>
      </c>
      <c r="Z494" s="5" t="str">
        <f>IF(B494=120,"NULL",IF(AND(V494="High Stress", W494="High Risk", Y494="Low"),"High Risk : Reject", IF(AND(V494="Healthy", W494="Good",Y494&lt;&gt;"Low"), "Low Risk : Approve", "Medium Risk : Review")))</f>
        <v>Low Risk : Approve</v>
      </c>
      <c r="AA494" s="5" t="str">
        <f t="shared" si="103"/>
        <v>Medium</v>
      </c>
    </row>
    <row r="495" spans="1:27" x14ac:dyDescent="0.2">
      <c r="A495">
        <v>21763</v>
      </c>
      <c r="B495">
        <v>46</v>
      </c>
      <c r="C495">
        <f t="shared" si="91"/>
        <v>46</v>
      </c>
      <c r="D495" t="s">
        <v>26</v>
      </c>
      <c r="E495" t="str">
        <f t="shared" si="92"/>
        <v>Salaried</v>
      </c>
      <c r="F495">
        <v>2011.55</v>
      </c>
      <c r="G495">
        <f>ABS(Table1[[#This Row],[Monthly_Income]])</f>
        <v>2011.55</v>
      </c>
      <c r="H495">
        <v>24389.96</v>
      </c>
      <c r="I495" s="5">
        <f t="shared" si="93"/>
        <v>24389.96</v>
      </c>
      <c r="J495">
        <v>36</v>
      </c>
      <c r="K495">
        <v>16.93</v>
      </c>
      <c r="L495">
        <v>3</v>
      </c>
      <c r="M495">
        <f t="shared" si="94"/>
        <v>3</v>
      </c>
      <c r="N495">
        <v>3.9</v>
      </c>
      <c r="O495">
        <f t="shared" si="95"/>
        <v>3.9</v>
      </c>
      <c r="P495">
        <v>0</v>
      </c>
      <c r="Q495">
        <f t="shared" si="96"/>
        <v>0</v>
      </c>
      <c r="R495" t="s">
        <v>20</v>
      </c>
      <c r="S495" t="str">
        <f t="shared" si="97"/>
        <v>Written Off</v>
      </c>
      <c r="T495" t="s">
        <v>16</v>
      </c>
      <c r="U495" s="3">
        <f t="shared" si="98"/>
        <v>0.33680439903998849</v>
      </c>
      <c r="V495" t="str">
        <f t="shared" si="99"/>
        <v>Stretched</v>
      </c>
      <c r="W495" t="str">
        <f t="shared" si="100"/>
        <v>Good</v>
      </c>
      <c r="X495" s="5" t="str">
        <f t="shared" si="101"/>
        <v>Medium</v>
      </c>
      <c r="Y495" s="5" t="str">
        <f t="shared" si="102"/>
        <v>High</v>
      </c>
      <c r="Z495" s="5" t="str">
        <f>IF(B495=120,"NULL",IF(AND(V495="High Stress", W495="High Risk", Y495="Low"),"High Risk : Reject", IF(AND(V495="Healthy", W495="Good",Y495&lt;&gt;"Low"), "Low Risk : Approve", "Medium Risk : Review")))</f>
        <v>Medium Risk : Review</v>
      </c>
      <c r="AA495" s="5" t="str">
        <f t="shared" si="103"/>
        <v>Medium</v>
      </c>
    </row>
    <row r="496" spans="1:27" x14ac:dyDescent="0.2">
      <c r="A496">
        <v>22059</v>
      </c>
      <c r="B496">
        <v>56</v>
      </c>
      <c r="C496">
        <f t="shared" si="91"/>
        <v>56</v>
      </c>
      <c r="D496" t="s">
        <v>23</v>
      </c>
      <c r="E496" t="str">
        <f t="shared" si="92"/>
        <v>Self-Employed</v>
      </c>
      <c r="F496">
        <v>2733.75</v>
      </c>
      <c r="G496">
        <f>ABS(Table1[[#This Row],[Monthly_Income]])</f>
        <v>2733.75</v>
      </c>
      <c r="H496">
        <v>38220.120000000003</v>
      </c>
      <c r="I496" s="5">
        <f t="shared" si="93"/>
        <v>38220.120000000003</v>
      </c>
      <c r="J496">
        <v>48</v>
      </c>
      <c r="K496">
        <v>23.9</v>
      </c>
      <c r="L496">
        <v>2</v>
      </c>
      <c r="M496">
        <f t="shared" si="94"/>
        <v>2</v>
      </c>
      <c r="N496">
        <v>6.7</v>
      </c>
      <c r="O496">
        <f t="shared" si="95"/>
        <v>6.7</v>
      </c>
      <c r="P496">
        <v>0</v>
      </c>
      <c r="Q496">
        <f t="shared" si="96"/>
        <v>0</v>
      </c>
      <c r="R496" t="s">
        <v>24</v>
      </c>
      <c r="S496" t="str">
        <f t="shared" si="97"/>
        <v>Non-Performing</v>
      </c>
      <c r="T496" t="s">
        <v>25</v>
      </c>
      <c r="U496" s="3">
        <f t="shared" si="98"/>
        <v>0.29126748971193417</v>
      </c>
      <c r="V496" t="str">
        <f t="shared" si="99"/>
        <v>Healthy</v>
      </c>
      <c r="W496" t="str">
        <f t="shared" si="100"/>
        <v>Good</v>
      </c>
      <c r="X496" s="5" t="str">
        <f t="shared" si="101"/>
        <v>High</v>
      </c>
      <c r="Y496" s="5" t="str">
        <f t="shared" si="102"/>
        <v>Medium</v>
      </c>
      <c r="Z496" s="5" t="str">
        <f>IF(B496=120,"NULL",IF(AND(V496="High Stress", W496="High Risk", Y496="Low"),"High Risk : Reject", IF(AND(V496="Healthy", W496="Good",Y496&lt;&gt;"Low"), "Low Risk : Approve", "Medium Risk : Review")))</f>
        <v>Low Risk : Approve</v>
      </c>
      <c r="AA496" s="5" t="str">
        <f t="shared" si="103"/>
        <v>Medium</v>
      </c>
    </row>
    <row r="497" spans="1:27" x14ac:dyDescent="0.2">
      <c r="A497">
        <v>23406</v>
      </c>
      <c r="B497">
        <v>43</v>
      </c>
      <c r="C497">
        <f t="shared" si="91"/>
        <v>43</v>
      </c>
      <c r="D497" t="s">
        <v>12</v>
      </c>
      <c r="E497" t="str">
        <f t="shared" si="92"/>
        <v>Self-Employed</v>
      </c>
      <c r="F497">
        <v>5517.68</v>
      </c>
      <c r="G497">
        <f>ABS(Table1[[#This Row],[Monthly_Income]])</f>
        <v>5517.68</v>
      </c>
      <c r="H497">
        <v>30727.18</v>
      </c>
      <c r="I497" s="5">
        <f t="shared" si="93"/>
        <v>30727.18</v>
      </c>
      <c r="J497">
        <v>6</v>
      </c>
      <c r="K497">
        <v>14.67</v>
      </c>
      <c r="L497">
        <v>3</v>
      </c>
      <c r="M497">
        <f t="shared" si="94"/>
        <v>3</v>
      </c>
      <c r="N497">
        <v>10.4</v>
      </c>
      <c r="O497">
        <f t="shared" si="95"/>
        <v>10.4</v>
      </c>
      <c r="P497">
        <v>0</v>
      </c>
      <c r="Q497">
        <f t="shared" si="96"/>
        <v>0</v>
      </c>
      <c r="R497" t="s">
        <v>24</v>
      </c>
      <c r="S497" t="str">
        <f t="shared" si="97"/>
        <v>Non-Performing</v>
      </c>
      <c r="T497" t="s">
        <v>22</v>
      </c>
      <c r="U497" s="3">
        <f t="shared" si="98"/>
        <v>0.92814310845621106</v>
      </c>
      <c r="V497" t="str">
        <f t="shared" si="99"/>
        <v>High Stress</v>
      </c>
      <c r="W497" t="str">
        <f t="shared" si="100"/>
        <v>Good</v>
      </c>
      <c r="X497" s="5" t="str">
        <f t="shared" si="101"/>
        <v>High</v>
      </c>
      <c r="Y497" s="5" t="str">
        <f t="shared" si="102"/>
        <v>Medium</v>
      </c>
      <c r="Z497" s="5" t="str">
        <f>IF(B497=120,"NULL",IF(AND(V497="High Stress", W497="High Risk", Y497="Low"),"High Risk : Reject", IF(AND(V497="Healthy", W497="Good",Y497&lt;&gt;"Low"), "Low Risk : Approve", "Medium Risk : Review")))</f>
        <v>Medium Risk : Review</v>
      </c>
      <c r="AA497" s="5" t="str">
        <f t="shared" si="103"/>
        <v>Medium</v>
      </c>
    </row>
    <row r="498" spans="1:27" x14ac:dyDescent="0.2">
      <c r="A498">
        <v>22724</v>
      </c>
      <c r="B498">
        <v>38</v>
      </c>
      <c r="C498">
        <f t="shared" si="91"/>
        <v>38</v>
      </c>
      <c r="D498" t="s">
        <v>17</v>
      </c>
      <c r="E498" t="str">
        <f t="shared" si="92"/>
        <v>Contract</v>
      </c>
      <c r="F498">
        <v>4865.49</v>
      </c>
      <c r="G498">
        <f>ABS(Table1[[#This Row],[Monthly_Income]])</f>
        <v>4865.49</v>
      </c>
      <c r="H498">
        <v>12885.09</v>
      </c>
      <c r="I498" s="5">
        <f t="shared" si="93"/>
        <v>12885.09</v>
      </c>
      <c r="J498">
        <v>18</v>
      </c>
      <c r="K498">
        <v>22.77</v>
      </c>
      <c r="L498">
        <v>2</v>
      </c>
      <c r="M498">
        <f t="shared" si="94"/>
        <v>2</v>
      </c>
      <c r="N498">
        <v>4</v>
      </c>
      <c r="O498">
        <f t="shared" si="95"/>
        <v>4</v>
      </c>
      <c r="P498">
        <v>0</v>
      </c>
      <c r="Q498">
        <f t="shared" si="96"/>
        <v>0</v>
      </c>
      <c r="R498" t="s">
        <v>15</v>
      </c>
      <c r="S498" t="str">
        <f t="shared" si="97"/>
        <v xml:space="preserve">Performing </v>
      </c>
      <c r="T498" t="s">
        <v>16</v>
      </c>
      <c r="U498" s="3">
        <f t="shared" si="98"/>
        <v>0.1471256406514726</v>
      </c>
      <c r="V498" t="str">
        <f t="shared" si="99"/>
        <v>Healthy</v>
      </c>
      <c r="W498" t="str">
        <f t="shared" si="100"/>
        <v>Good</v>
      </c>
      <c r="X498" s="5" t="str">
        <f t="shared" si="101"/>
        <v>Medium</v>
      </c>
      <c r="Y498" s="5" t="str">
        <f t="shared" si="102"/>
        <v>Low</v>
      </c>
      <c r="Z498" s="5" t="str">
        <f>IF(B498=120,"NULL",IF(AND(V498="High Stress", W498="High Risk", Y498="Low"),"High Risk : Reject", IF(AND(V498="Healthy", W498="Good",Y498&lt;&gt;"Low"), "Low Risk : Approve", "Medium Risk : Review")))</f>
        <v>Medium Risk : Review</v>
      </c>
      <c r="AA498" s="5" t="str">
        <f t="shared" si="103"/>
        <v>Medium</v>
      </c>
    </row>
    <row r="499" spans="1:27" x14ac:dyDescent="0.2">
      <c r="A499">
        <v>22978</v>
      </c>
      <c r="B499">
        <v>24</v>
      </c>
      <c r="C499">
        <f t="shared" si="91"/>
        <v>24</v>
      </c>
      <c r="D499" t="s">
        <v>17</v>
      </c>
      <c r="E499" t="str">
        <f t="shared" si="92"/>
        <v>Contract</v>
      </c>
      <c r="F499">
        <v>5551.39</v>
      </c>
      <c r="G499">
        <f>ABS(Table1[[#This Row],[Monthly_Income]])</f>
        <v>5551.39</v>
      </c>
      <c r="H499">
        <v>28062.29</v>
      </c>
      <c r="I499" s="5">
        <f t="shared" si="93"/>
        <v>28062.29</v>
      </c>
      <c r="J499">
        <v>60</v>
      </c>
      <c r="K499">
        <v>9.39</v>
      </c>
      <c r="L499">
        <v>0</v>
      </c>
      <c r="M499">
        <f t="shared" si="94"/>
        <v>0</v>
      </c>
      <c r="N499">
        <v>6.8</v>
      </c>
      <c r="O499">
        <f t="shared" si="95"/>
        <v>6.8</v>
      </c>
      <c r="P499">
        <v>15</v>
      </c>
      <c r="Q499">
        <f t="shared" si="96"/>
        <v>15</v>
      </c>
      <c r="R499" t="s">
        <v>13</v>
      </c>
      <c r="S499" t="str">
        <f t="shared" si="97"/>
        <v>Performing</v>
      </c>
      <c r="T499" t="s">
        <v>16</v>
      </c>
      <c r="U499" s="3">
        <f t="shared" si="98"/>
        <v>8.4250040680502236E-2</v>
      </c>
      <c r="V499" t="str">
        <f t="shared" si="99"/>
        <v>Healthy</v>
      </c>
      <c r="W499" t="str">
        <f t="shared" si="100"/>
        <v>Good</v>
      </c>
      <c r="X499" s="5" t="str">
        <f t="shared" si="101"/>
        <v>Medium</v>
      </c>
      <c r="Y499" s="5" t="str">
        <f t="shared" si="102"/>
        <v>Low</v>
      </c>
      <c r="Z499" s="5" t="str">
        <f>IF(B499=120,"NULL",IF(AND(V499="High Stress", W499="High Risk", Y499="Low"),"High Risk : Reject", IF(AND(V499="Healthy", W499="Good",Y499&lt;&gt;"Low"), "Low Risk : Approve", "Medium Risk : Review")))</f>
        <v>Medium Risk : Review</v>
      </c>
      <c r="AA499" s="5" t="str">
        <f t="shared" si="103"/>
        <v>Medium</v>
      </c>
    </row>
    <row r="500" spans="1:27" x14ac:dyDescent="0.2">
      <c r="A500">
        <v>21575</v>
      </c>
      <c r="B500">
        <v>46</v>
      </c>
      <c r="C500">
        <f t="shared" si="91"/>
        <v>46</v>
      </c>
      <c r="D500" t="s">
        <v>23</v>
      </c>
      <c r="E500" t="str">
        <f t="shared" si="92"/>
        <v>Self-Employed</v>
      </c>
      <c r="F500">
        <v>6066.86</v>
      </c>
      <c r="G500">
        <f>ABS(Table1[[#This Row],[Monthly_Income]])</f>
        <v>6066.86</v>
      </c>
      <c r="H500">
        <v>21458.79</v>
      </c>
      <c r="I500" s="5">
        <f t="shared" si="93"/>
        <v>21458.79</v>
      </c>
      <c r="J500">
        <v>18</v>
      </c>
      <c r="K500">
        <v>30.02</v>
      </c>
      <c r="L500">
        <v>1</v>
      </c>
      <c r="M500">
        <f t="shared" si="94"/>
        <v>1</v>
      </c>
      <c r="N500">
        <v>8.5</v>
      </c>
      <c r="O500">
        <f t="shared" si="95"/>
        <v>8.5</v>
      </c>
      <c r="P500">
        <v>0</v>
      </c>
      <c r="Q500">
        <f t="shared" si="96"/>
        <v>0</v>
      </c>
      <c r="R500" t="s">
        <v>20</v>
      </c>
      <c r="S500" t="str">
        <f t="shared" si="97"/>
        <v>Written Off</v>
      </c>
      <c r="T500" t="s">
        <v>25</v>
      </c>
      <c r="U500" s="3">
        <f t="shared" si="98"/>
        <v>0.19650280375680337</v>
      </c>
      <c r="V500" t="str">
        <f t="shared" si="99"/>
        <v>Healthy</v>
      </c>
      <c r="W500" t="str">
        <f t="shared" si="100"/>
        <v>Good</v>
      </c>
      <c r="X500" s="5" t="str">
        <f t="shared" si="101"/>
        <v>Medium</v>
      </c>
      <c r="Y500" s="5" t="str">
        <f t="shared" si="102"/>
        <v>Medium</v>
      </c>
      <c r="Z500" s="5" t="str">
        <f>IF(B500=120,"NULL",IF(AND(V500="High Stress", W500="High Risk", Y500="Low"),"High Risk : Reject", IF(AND(V500="Healthy", W500="Good",Y500&lt;&gt;"Low"), "Low Risk : Approve", "Medium Risk : Review")))</f>
        <v>Low Risk : Approve</v>
      </c>
      <c r="AA500" s="5" t="str">
        <f t="shared" si="103"/>
        <v>Medium</v>
      </c>
    </row>
    <row r="501" spans="1:27" x14ac:dyDescent="0.2">
      <c r="A501">
        <v>25480</v>
      </c>
      <c r="B501">
        <v>27</v>
      </c>
      <c r="C501">
        <f t="shared" si="91"/>
        <v>27</v>
      </c>
      <c r="D501" t="s">
        <v>17</v>
      </c>
      <c r="E501" t="str">
        <f t="shared" si="92"/>
        <v>Contract</v>
      </c>
      <c r="F501">
        <v>3891.92</v>
      </c>
      <c r="G501">
        <f>ABS(Table1[[#This Row],[Monthly_Income]])</f>
        <v>3891.92</v>
      </c>
      <c r="H501">
        <v>22108.82</v>
      </c>
      <c r="I501" s="5">
        <f t="shared" si="93"/>
        <v>22108.82</v>
      </c>
      <c r="J501">
        <v>60</v>
      </c>
      <c r="K501">
        <v>19.489999999999998</v>
      </c>
      <c r="L501">
        <v>2</v>
      </c>
      <c r="M501">
        <f t="shared" si="94"/>
        <v>2</v>
      </c>
      <c r="N501">
        <v>12.8</v>
      </c>
      <c r="O501">
        <f t="shared" si="95"/>
        <v>12.8</v>
      </c>
      <c r="P501">
        <v>0</v>
      </c>
      <c r="Q501">
        <f t="shared" si="96"/>
        <v>0</v>
      </c>
      <c r="R501" t="s">
        <v>13</v>
      </c>
      <c r="S501" t="str">
        <f t="shared" si="97"/>
        <v>Performing</v>
      </c>
      <c r="T501" t="s">
        <v>14</v>
      </c>
      <c r="U501" s="3">
        <f t="shared" si="98"/>
        <v>9.4678290749381624E-2</v>
      </c>
      <c r="V501" t="str">
        <f t="shared" si="99"/>
        <v>Healthy</v>
      </c>
      <c r="W501" t="str">
        <f t="shared" si="100"/>
        <v>Good</v>
      </c>
      <c r="X501" s="5" t="str">
        <f t="shared" si="101"/>
        <v>Medium</v>
      </c>
      <c r="Y501" s="5" t="str">
        <f t="shared" si="102"/>
        <v>Low</v>
      </c>
      <c r="Z501" s="5" t="str">
        <f>IF(B501=120,"NULL",IF(AND(V501="High Stress", W501="High Risk", Y501="Low"),"High Risk : Reject", IF(AND(V501="Healthy", W501="Good",Y501&lt;&gt;"Low"), "Low Risk : Approve", "Medium Risk : Review")))</f>
        <v>Medium Risk : Review</v>
      </c>
      <c r="AA501" s="5" t="str">
        <f t="shared" si="103"/>
        <v>Medium</v>
      </c>
    </row>
    <row r="502" spans="1:27" x14ac:dyDescent="0.2">
      <c r="A502">
        <v>23537</v>
      </c>
      <c r="B502">
        <v>27</v>
      </c>
      <c r="C502">
        <f t="shared" si="91"/>
        <v>27</v>
      </c>
      <c r="D502" t="s">
        <v>12</v>
      </c>
      <c r="E502" t="str">
        <f t="shared" si="92"/>
        <v>Self-Employed</v>
      </c>
      <c r="F502">
        <v>-1500</v>
      </c>
      <c r="G502">
        <f>ABS(Table1[[#This Row],[Monthly_Income]])</f>
        <v>1500</v>
      </c>
      <c r="H502">
        <v>7390.21</v>
      </c>
      <c r="I502" s="5">
        <f t="shared" si="93"/>
        <v>7390.21</v>
      </c>
      <c r="J502">
        <v>36</v>
      </c>
      <c r="K502">
        <v>12.79</v>
      </c>
      <c r="L502">
        <v>1</v>
      </c>
      <c r="M502">
        <f t="shared" si="94"/>
        <v>1</v>
      </c>
      <c r="N502">
        <v>5.3</v>
      </c>
      <c r="O502">
        <f t="shared" si="95"/>
        <v>5.3</v>
      </c>
      <c r="P502">
        <v>30</v>
      </c>
      <c r="Q502">
        <f t="shared" si="96"/>
        <v>30</v>
      </c>
      <c r="R502" t="s">
        <v>20</v>
      </c>
      <c r="S502" t="str">
        <f t="shared" si="97"/>
        <v>Written Off</v>
      </c>
      <c r="T502" t="s">
        <v>22</v>
      </c>
      <c r="U502" s="3">
        <f t="shared" si="98"/>
        <v>0.13685574074074075</v>
      </c>
      <c r="V502" t="str">
        <f t="shared" si="99"/>
        <v>Healthy</v>
      </c>
      <c r="W502" t="str">
        <f t="shared" si="100"/>
        <v>At Risk</v>
      </c>
      <c r="X502" s="5" t="str">
        <f t="shared" si="101"/>
        <v>Small</v>
      </c>
      <c r="Y502" s="5" t="str">
        <f t="shared" si="102"/>
        <v>Medium</v>
      </c>
      <c r="Z502" s="5" t="str">
        <f>IF(B502=120,"NULL",IF(AND(V502="High Stress", W502="High Risk", Y502="Low"),"High Risk : Reject", IF(AND(V502="Healthy", W502="Good",Y502&lt;&gt;"Low"), "Low Risk : Approve", "Medium Risk : Review")))</f>
        <v>Medium Risk : Review</v>
      </c>
      <c r="AA502" s="5" t="str">
        <f t="shared" si="103"/>
        <v>Low</v>
      </c>
    </row>
    <row r="503" spans="1:27" x14ac:dyDescent="0.2">
      <c r="A503">
        <v>21989</v>
      </c>
      <c r="B503">
        <v>27</v>
      </c>
      <c r="C503">
        <f t="shared" si="91"/>
        <v>27</v>
      </c>
      <c r="D503" t="s">
        <v>26</v>
      </c>
      <c r="E503" t="str">
        <f t="shared" si="92"/>
        <v>Salaried</v>
      </c>
      <c r="F503">
        <v>4666.6899999999996</v>
      </c>
      <c r="G503">
        <f>ABS(Table1[[#This Row],[Monthly_Income]])</f>
        <v>4666.6899999999996</v>
      </c>
      <c r="H503"/>
      <c r="I503" s="5" t="str">
        <f t="shared" si="93"/>
        <v>NULL</v>
      </c>
      <c r="J503">
        <v>48</v>
      </c>
      <c r="K503">
        <v>55</v>
      </c>
      <c r="L503">
        <v>4</v>
      </c>
      <c r="M503">
        <f t="shared" si="94"/>
        <v>4</v>
      </c>
      <c r="N503">
        <v>7.4</v>
      </c>
      <c r="O503">
        <f t="shared" si="95"/>
        <v>7.4</v>
      </c>
      <c r="P503">
        <v>0</v>
      </c>
      <c r="Q503">
        <f t="shared" si="96"/>
        <v>0</v>
      </c>
      <c r="R503" t="s">
        <v>24</v>
      </c>
      <c r="S503" t="str">
        <f t="shared" si="97"/>
        <v>Non-Performing</v>
      </c>
      <c r="T503" t="s">
        <v>22</v>
      </c>
      <c r="U503" s="3" t="str">
        <f t="shared" si="98"/>
        <v>NULL</v>
      </c>
      <c r="V503" t="str">
        <f t="shared" si="99"/>
        <v>NULL</v>
      </c>
      <c r="W503" t="str">
        <f t="shared" si="100"/>
        <v>Good</v>
      </c>
      <c r="X503" s="5" t="str">
        <f t="shared" si="101"/>
        <v>High</v>
      </c>
      <c r="Y503" s="5" t="str">
        <f t="shared" si="102"/>
        <v>High</v>
      </c>
      <c r="Z503" s="5" t="str">
        <f>IF(B503=120,"NULL",IF(AND(V503="High Stress", W503="High Risk", Y503="Low"),"High Risk : Reject", IF(AND(V503="Healthy", W503="Good",Y503&lt;&gt;"Low"), "Low Risk : Approve", "Medium Risk : Review")))</f>
        <v>Medium Risk : Review</v>
      </c>
      <c r="AA503" s="5" t="str">
        <f t="shared" si="103"/>
        <v>Medium</v>
      </c>
    </row>
    <row r="504" spans="1:27" x14ac:dyDescent="0.2">
      <c r="A504">
        <v>21944</v>
      </c>
      <c r="B504">
        <v>33</v>
      </c>
      <c r="C504">
        <f t="shared" si="91"/>
        <v>33</v>
      </c>
      <c r="D504" t="s">
        <v>17</v>
      </c>
      <c r="E504" t="str">
        <f t="shared" si="92"/>
        <v>Contract</v>
      </c>
      <c r="F504">
        <v>3617.07</v>
      </c>
      <c r="G504">
        <f>ABS(Table1[[#This Row],[Monthly_Income]])</f>
        <v>3617.07</v>
      </c>
      <c r="H504">
        <v>7069.96</v>
      </c>
      <c r="I504" s="5">
        <f t="shared" si="93"/>
        <v>7069.96</v>
      </c>
      <c r="J504">
        <v>36</v>
      </c>
      <c r="K504">
        <v>20.420000000000002</v>
      </c>
      <c r="L504">
        <v>3</v>
      </c>
      <c r="M504">
        <f t="shared" si="94"/>
        <v>3</v>
      </c>
      <c r="N504">
        <v>10.7</v>
      </c>
      <c r="O504">
        <f t="shared" si="95"/>
        <v>10.7</v>
      </c>
      <c r="P504">
        <v>0</v>
      </c>
      <c r="Q504">
        <f t="shared" si="96"/>
        <v>0</v>
      </c>
      <c r="R504" t="s">
        <v>20</v>
      </c>
      <c r="S504" t="str">
        <f t="shared" si="97"/>
        <v>Written Off</v>
      </c>
      <c r="T504" t="s">
        <v>19</v>
      </c>
      <c r="U504" s="3">
        <f t="shared" si="98"/>
        <v>5.429471306272142E-2</v>
      </c>
      <c r="V504" t="str">
        <f t="shared" si="99"/>
        <v>Healthy</v>
      </c>
      <c r="W504" t="str">
        <f t="shared" si="100"/>
        <v>Good</v>
      </c>
      <c r="X504" s="5" t="str">
        <f t="shared" si="101"/>
        <v>Small</v>
      </c>
      <c r="Y504" s="5" t="str">
        <f t="shared" si="102"/>
        <v>Low</v>
      </c>
      <c r="Z504" s="5" t="str">
        <f>IF(B504=120,"NULL",IF(AND(V504="High Stress", W504="High Risk", Y504="Low"),"High Risk : Reject", IF(AND(V504="Healthy", W504="Good",Y504&lt;&gt;"Low"), "Low Risk : Approve", "Medium Risk : Review")))</f>
        <v>Medium Risk : Review</v>
      </c>
      <c r="AA504" s="5" t="str">
        <f t="shared" si="103"/>
        <v>Medium</v>
      </c>
    </row>
    <row r="505" spans="1:27" x14ac:dyDescent="0.2">
      <c r="A505">
        <v>22561</v>
      </c>
      <c r="B505">
        <v>50</v>
      </c>
      <c r="C505">
        <f t="shared" si="91"/>
        <v>50</v>
      </c>
      <c r="D505" t="s">
        <v>23</v>
      </c>
      <c r="E505" t="str">
        <f t="shared" si="92"/>
        <v>Self-Employed</v>
      </c>
      <c r="F505">
        <v>5401.68</v>
      </c>
      <c r="G505">
        <f>ABS(Table1[[#This Row],[Monthly_Income]])</f>
        <v>5401.68</v>
      </c>
      <c r="H505">
        <v>16316.44</v>
      </c>
      <c r="I505" s="5">
        <f t="shared" si="93"/>
        <v>16316.44</v>
      </c>
      <c r="J505">
        <v>36</v>
      </c>
      <c r="K505">
        <v>14.34</v>
      </c>
      <c r="L505">
        <v>2</v>
      </c>
      <c r="M505">
        <f t="shared" si="94"/>
        <v>2</v>
      </c>
      <c r="N505">
        <v>6.5</v>
      </c>
      <c r="O505">
        <f t="shared" si="95"/>
        <v>6.5</v>
      </c>
      <c r="P505">
        <v>0</v>
      </c>
      <c r="Q505">
        <f t="shared" si="96"/>
        <v>0</v>
      </c>
      <c r="R505" t="s">
        <v>15</v>
      </c>
      <c r="S505" t="str">
        <f t="shared" si="97"/>
        <v xml:space="preserve">Performing </v>
      </c>
      <c r="T505" t="s">
        <v>16</v>
      </c>
      <c r="U505" s="3">
        <f t="shared" si="98"/>
        <v>8.3906200375521031E-2</v>
      </c>
      <c r="V505" t="str">
        <f t="shared" si="99"/>
        <v>Healthy</v>
      </c>
      <c r="W505" t="str">
        <f t="shared" si="100"/>
        <v>Good</v>
      </c>
      <c r="X505" s="5" t="str">
        <f t="shared" si="101"/>
        <v>Medium</v>
      </c>
      <c r="Y505" s="5" t="str">
        <f t="shared" si="102"/>
        <v>Medium</v>
      </c>
      <c r="Z505" s="5" t="str">
        <f>IF(B505=120,"NULL",IF(AND(V505="High Stress", W505="High Risk", Y505="Low"),"High Risk : Reject", IF(AND(V505="Healthy", W505="Good",Y505&lt;&gt;"Low"), "Low Risk : Approve", "Medium Risk : Review")))</f>
        <v>Low Risk : Approve</v>
      </c>
      <c r="AA505" s="5" t="str">
        <f t="shared" si="103"/>
        <v>Medium</v>
      </c>
    </row>
    <row r="506" spans="1:27" x14ac:dyDescent="0.2">
      <c r="A506">
        <v>20083</v>
      </c>
      <c r="B506">
        <v>43</v>
      </c>
      <c r="C506">
        <f t="shared" si="91"/>
        <v>43</v>
      </c>
      <c r="D506" t="s">
        <v>17</v>
      </c>
      <c r="E506" t="str">
        <f t="shared" si="92"/>
        <v>Contract</v>
      </c>
      <c r="F506">
        <v>3328.58</v>
      </c>
      <c r="G506">
        <f>ABS(Table1[[#This Row],[Monthly_Income]])</f>
        <v>3328.58</v>
      </c>
      <c r="H506">
        <v>25920.49</v>
      </c>
      <c r="I506" s="5">
        <f t="shared" si="93"/>
        <v>25920.49</v>
      </c>
      <c r="J506">
        <v>24</v>
      </c>
      <c r="K506">
        <v>32.83</v>
      </c>
      <c r="L506">
        <v>4</v>
      </c>
      <c r="M506">
        <f t="shared" si="94"/>
        <v>4</v>
      </c>
      <c r="N506">
        <v>8.4</v>
      </c>
      <c r="O506">
        <f t="shared" si="95"/>
        <v>8.4</v>
      </c>
      <c r="P506">
        <v>60</v>
      </c>
      <c r="Q506">
        <f t="shared" si="96"/>
        <v>60</v>
      </c>
      <c r="R506" t="s">
        <v>13</v>
      </c>
      <c r="S506" t="str">
        <f t="shared" si="97"/>
        <v>Performing</v>
      </c>
      <c r="T506" t="s">
        <v>22</v>
      </c>
      <c r="U506" s="3">
        <f t="shared" si="98"/>
        <v>0.32446881753380324</v>
      </c>
      <c r="V506" t="str">
        <f t="shared" si="99"/>
        <v>Stretched</v>
      </c>
      <c r="W506" t="str">
        <f t="shared" si="100"/>
        <v>High Risk</v>
      </c>
      <c r="X506" s="5" t="str">
        <f t="shared" si="101"/>
        <v>Medium</v>
      </c>
      <c r="Y506" s="5" t="str">
        <f t="shared" si="102"/>
        <v>Low</v>
      </c>
      <c r="Z506" s="5" t="str">
        <f>IF(B506=120,"NULL",IF(AND(V506="High Stress", W506="High Risk", Y506="Low"),"High Risk : Reject", IF(AND(V506="Healthy", W506="Good",Y506&lt;&gt;"Low"), "Low Risk : Approve", "Medium Risk : Review")))</f>
        <v>Medium Risk : Review</v>
      </c>
      <c r="AA506" s="5" t="str">
        <f t="shared" si="103"/>
        <v>Medium</v>
      </c>
    </row>
    <row r="507" spans="1:27" x14ac:dyDescent="0.2">
      <c r="A507">
        <v>21799</v>
      </c>
      <c r="B507">
        <v>42</v>
      </c>
      <c r="C507">
        <f t="shared" si="91"/>
        <v>42</v>
      </c>
      <c r="D507" t="s">
        <v>12</v>
      </c>
      <c r="E507" t="str">
        <f t="shared" si="92"/>
        <v>Self-Employed</v>
      </c>
      <c r="F507">
        <v>3938.89</v>
      </c>
      <c r="G507">
        <f>ABS(Table1[[#This Row],[Monthly_Income]])</f>
        <v>3938.89</v>
      </c>
      <c r="H507"/>
      <c r="I507" s="5" t="str">
        <f t="shared" si="93"/>
        <v>NULL</v>
      </c>
      <c r="J507">
        <v>18</v>
      </c>
      <c r="K507">
        <v>27.46</v>
      </c>
      <c r="L507">
        <v>4</v>
      </c>
      <c r="M507">
        <f t="shared" si="94"/>
        <v>4</v>
      </c>
      <c r="N507">
        <v>10.8</v>
      </c>
      <c r="O507">
        <f t="shared" si="95"/>
        <v>10.8</v>
      </c>
      <c r="P507">
        <v>90</v>
      </c>
      <c r="Q507">
        <f t="shared" si="96"/>
        <v>90</v>
      </c>
      <c r="R507" t="s">
        <v>24</v>
      </c>
      <c r="S507" t="str">
        <f t="shared" si="97"/>
        <v>Non-Performing</v>
      </c>
      <c r="T507" t="s">
        <v>14</v>
      </c>
      <c r="U507" s="3" t="str">
        <f t="shared" si="98"/>
        <v>NULL</v>
      </c>
      <c r="V507" t="str">
        <f t="shared" si="99"/>
        <v>NULL</v>
      </c>
      <c r="W507" t="str">
        <f t="shared" si="100"/>
        <v>High Risk</v>
      </c>
      <c r="X507" s="5" t="str">
        <f t="shared" si="101"/>
        <v>High</v>
      </c>
      <c r="Y507" s="5" t="str">
        <f t="shared" si="102"/>
        <v>Medium</v>
      </c>
      <c r="Z507" s="5" t="str">
        <f>IF(B507=120,"NULL",IF(AND(V507="High Stress", W507="High Risk", Y507="Low"),"High Risk : Reject", IF(AND(V507="Healthy", W507="Good",Y507&lt;&gt;"Low"), "Low Risk : Approve", "Medium Risk : Review")))</f>
        <v>Medium Risk : Review</v>
      </c>
      <c r="AA507" s="5" t="str">
        <f t="shared" si="103"/>
        <v>Medium</v>
      </c>
    </row>
    <row r="508" spans="1:27" x14ac:dyDescent="0.2">
      <c r="A508">
        <v>23986</v>
      </c>
      <c r="B508">
        <v>31</v>
      </c>
      <c r="C508">
        <f t="shared" si="91"/>
        <v>31</v>
      </c>
      <c r="D508" t="s">
        <v>26</v>
      </c>
      <c r="E508" t="str">
        <f t="shared" si="92"/>
        <v>Salaried</v>
      </c>
      <c r="F508">
        <v>2251.88</v>
      </c>
      <c r="G508">
        <f>ABS(Table1[[#This Row],[Monthly_Income]])</f>
        <v>2251.88</v>
      </c>
      <c r="H508">
        <v>13750.96</v>
      </c>
      <c r="I508" s="5">
        <f t="shared" si="93"/>
        <v>13750.96</v>
      </c>
      <c r="J508">
        <v>24</v>
      </c>
      <c r="K508">
        <v>13.82</v>
      </c>
      <c r="L508">
        <v>0</v>
      </c>
      <c r="M508">
        <f t="shared" si="94"/>
        <v>0</v>
      </c>
      <c r="N508">
        <v>2.8</v>
      </c>
      <c r="O508">
        <f t="shared" si="95"/>
        <v>2.8</v>
      </c>
      <c r="P508">
        <v>15</v>
      </c>
      <c r="Q508">
        <f t="shared" si="96"/>
        <v>15</v>
      </c>
      <c r="R508" t="s">
        <v>20</v>
      </c>
      <c r="S508" t="str">
        <f t="shared" si="97"/>
        <v>Written Off</v>
      </c>
      <c r="T508" t="s">
        <v>16</v>
      </c>
      <c r="U508" s="3">
        <f t="shared" si="98"/>
        <v>0.25443481298589027</v>
      </c>
      <c r="V508" t="str">
        <f t="shared" si="99"/>
        <v>Healthy</v>
      </c>
      <c r="W508" t="str">
        <f t="shared" si="100"/>
        <v>Good</v>
      </c>
      <c r="X508" s="5" t="str">
        <f t="shared" si="101"/>
        <v>Medium</v>
      </c>
      <c r="Y508" s="5" t="str">
        <f t="shared" si="102"/>
        <v>High</v>
      </c>
      <c r="Z508" s="5" t="str">
        <f>IF(B508=120,"NULL",IF(AND(V508="High Stress", W508="High Risk", Y508="Low"),"High Risk : Reject", IF(AND(V508="Healthy", W508="Good",Y508&lt;&gt;"Low"), "Low Risk : Approve", "Medium Risk : Review")))</f>
        <v>Low Risk : Approve</v>
      </c>
      <c r="AA508" s="5" t="str">
        <f t="shared" si="103"/>
        <v>Medium</v>
      </c>
    </row>
    <row r="509" spans="1:27" x14ac:dyDescent="0.2">
      <c r="A509">
        <v>23331</v>
      </c>
      <c r="B509">
        <v>31</v>
      </c>
      <c r="C509">
        <f t="shared" si="91"/>
        <v>31</v>
      </c>
      <c r="D509" t="s">
        <v>27</v>
      </c>
      <c r="E509" t="str">
        <f t="shared" si="92"/>
        <v>Unemployed</v>
      </c>
      <c r="F509">
        <v>-1500</v>
      </c>
      <c r="G509">
        <f>ABS(Table1[[#This Row],[Monthly_Income]])</f>
        <v>1500</v>
      </c>
      <c r="H509">
        <v>24799.360000000001</v>
      </c>
      <c r="I509" s="5">
        <f t="shared" si="93"/>
        <v>24799.360000000001</v>
      </c>
      <c r="J509">
        <v>12</v>
      </c>
      <c r="K509">
        <v>19.52</v>
      </c>
      <c r="L509">
        <v>1</v>
      </c>
      <c r="M509">
        <f t="shared" si="94"/>
        <v>1</v>
      </c>
      <c r="N509">
        <v>-1.1000000000000001</v>
      </c>
      <c r="O509">
        <f t="shared" si="95"/>
        <v>1.1000000000000001</v>
      </c>
      <c r="P509">
        <v>0</v>
      </c>
      <c r="Q509">
        <f t="shared" si="96"/>
        <v>0</v>
      </c>
      <c r="R509" t="s">
        <v>20</v>
      </c>
      <c r="S509" t="str">
        <f t="shared" si="97"/>
        <v>Written Off</v>
      </c>
      <c r="T509" t="s">
        <v>16</v>
      </c>
      <c r="U509" s="3">
        <f t="shared" si="98"/>
        <v>1.3777422222222222</v>
      </c>
      <c r="V509" t="str">
        <f t="shared" si="99"/>
        <v>High Stress</v>
      </c>
      <c r="W509" t="str">
        <f t="shared" si="100"/>
        <v>Good</v>
      </c>
      <c r="X509" s="5" t="str">
        <f t="shared" si="101"/>
        <v>Medium</v>
      </c>
      <c r="Y509" s="5" t="str">
        <f t="shared" si="102"/>
        <v>Low</v>
      </c>
      <c r="Z509" s="5" t="str">
        <f>IF(B509=120,"NULL",IF(AND(V509="High Stress", W509="High Risk", Y509="Low"),"High Risk : Reject", IF(AND(V509="Healthy", W509="Good",Y509&lt;&gt;"Low"), "Low Risk : Approve", "Medium Risk : Review")))</f>
        <v>Medium Risk : Review</v>
      </c>
      <c r="AA509" s="5" t="str">
        <f t="shared" si="103"/>
        <v>Low</v>
      </c>
    </row>
    <row r="510" spans="1:27" x14ac:dyDescent="0.2">
      <c r="A510">
        <v>24111</v>
      </c>
      <c r="B510">
        <v>24</v>
      </c>
      <c r="C510">
        <f t="shared" si="91"/>
        <v>24</v>
      </c>
      <c r="D510" t="s">
        <v>23</v>
      </c>
      <c r="E510" t="str">
        <f t="shared" si="92"/>
        <v>Self-Employed</v>
      </c>
      <c r="F510">
        <v>4503.67</v>
      </c>
      <c r="G510">
        <f>ABS(Table1[[#This Row],[Monthly_Income]])</f>
        <v>4503.67</v>
      </c>
      <c r="H510">
        <v>10750.52</v>
      </c>
      <c r="I510" s="5">
        <f t="shared" si="93"/>
        <v>10750.52</v>
      </c>
      <c r="J510">
        <v>6</v>
      </c>
      <c r="K510">
        <v>24.68</v>
      </c>
      <c r="L510">
        <v>4</v>
      </c>
      <c r="M510">
        <f t="shared" si="94"/>
        <v>4</v>
      </c>
      <c r="N510">
        <v>1.9</v>
      </c>
      <c r="O510">
        <f t="shared" si="95"/>
        <v>1.9</v>
      </c>
      <c r="P510">
        <v>30</v>
      </c>
      <c r="Q510">
        <f t="shared" si="96"/>
        <v>30</v>
      </c>
      <c r="R510" t="s">
        <v>15</v>
      </c>
      <c r="S510" t="str">
        <f t="shared" si="97"/>
        <v xml:space="preserve">Performing </v>
      </c>
      <c r="T510" t="s">
        <v>14</v>
      </c>
      <c r="U510" s="3">
        <f t="shared" si="98"/>
        <v>0.39784294438387657</v>
      </c>
      <c r="V510" t="str">
        <f t="shared" si="99"/>
        <v>Stretched</v>
      </c>
      <c r="W510" t="str">
        <f t="shared" si="100"/>
        <v>At Risk</v>
      </c>
      <c r="X510" s="5" t="str">
        <f t="shared" si="101"/>
        <v>Medium</v>
      </c>
      <c r="Y510" s="5" t="str">
        <f t="shared" si="102"/>
        <v>Medium</v>
      </c>
      <c r="Z510" s="5" t="str">
        <f>IF(B510=120,"NULL",IF(AND(V510="High Stress", W510="High Risk", Y510="Low"),"High Risk : Reject", IF(AND(V510="Healthy", W510="Good",Y510&lt;&gt;"Low"), "Low Risk : Approve", "Medium Risk : Review")))</f>
        <v>Medium Risk : Review</v>
      </c>
      <c r="AA510" s="5" t="str">
        <f t="shared" si="103"/>
        <v>Medium</v>
      </c>
    </row>
    <row r="511" spans="1:27" x14ac:dyDescent="0.2">
      <c r="A511">
        <v>25807</v>
      </c>
      <c r="B511">
        <v>38</v>
      </c>
      <c r="C511">
        <f t="shared" si="91"/>
        <v>38</v>
      </c>
      <c r="D511" t="s">
        <v>27</v>
      </c>
      <c r="E511" t="str">
        <f t="shared" si="92"/>
        <v>Unemployed</v>
      </c>
      <c r="F511">
        <v>6883.01</v>
      </c>
      <c r="G511">
        <f>ABS(Table1[[#This Row],[Monthly_Income]])</f>
        <v>6883.01</v>
      </c>
      <c r="H511">
        <v>6544.97</v>
      </c>
      <c r="I511" s="5">
        <f t="shared" si="93"/>
        <v>6544.97</v>
      </c>
      <c r="J511">
        <v>36</v>
      </c>
      <c r="K511">
        <v>22.43</v>
      </c>
      <c r="L511">
        <v>4</v>
      </c>
      <c r="M511">
        <f t="shared" si="94"/>
        <v>4</v>
      </c>
      <c r="N511">
        <v>7.6</v>
      </c>
      <c r="O511">
        <f t="shared" si="95"/>
        <v>7.6</v>
      </c>
      <c r="P511">
        <v>60</v>
      </c>
      <c r="Q511">
        <f t="shared" si="96"/>
        <v>60</v>
      </c>
      <c r="R511" t="s">
        <v>15</v>
      </c>
      <c r="S511" t="str">
        <f t="shared" si="97"/>
        <v xml:space="preserve">Performing </v>
      </c>
      <c r="T511" t="s">
        <v>19</v>
      </c>
      <c r="U511" s="3">
        <f t="shared" si="98"/>
        <v>2.6413549046452382E-2</v>
      </c>
      <c r="V511" t="str">
        <f t="shared" si="99"/>
        <v>Healthy</v>
      </c>
      <c r="W511" t="str">
        <f t="shared" si="100"/>
        <v>High Risk</v>
      </c>
      <c r="X511" s="5" t="str">
        <f t="shared" si="101"/>
        <v>Small</v>
      </c>
      <c r="Y511" s="5" t="str">
        <f t="shared" si="102"/>
        <v>Low</v>
      </c>
      <c r="Z511" s="5" t="str">
        <f>IF(B511=120,"NULL",IF(AND(V511="High Stress", W511="High Risk", Y511="Low"),"High Risk : Reject", IF(AND(V511="Healthy", W511="Good",Y511&lt;&gt;"Low"), "Low Risk : Approve", "Medium Risk : Review")))</f>
        <v>Medium Risk : Review</v>
      </c>
      <c r="AA511" s="5" t="str">
        <f t="shared" si="103"/>
        <v>Medium</v>
      </c>
    </row>
    <row r="512" spans="1:27" x14ac:dyDescent="0.2">
      <c r="A512">
        <v>20323</v>
      </c>
      <c r="B512">
        <v>57</v>
      </c>
      <c r="C512">
        <f t="shared" si="91"/>
        <v>57</v>
      </c>
      <c r="D512" t="s">
        <v>21</v>
      </c>
      <c r="E512" t="str">
        <f t="shared" si="92"/>
        <v>Salaried</v>
      </c>
      <c r="F512">
        <v>5308.47</v>
      </c>
      <c r="G512">
        <f>ABS(Table1[[#This Row],[Monthly_Income]])</f>
        <v>5308.47</v>
      </c>
      <c r="H512">
        <v>26626.75</v>
      </c>
      <c r="I512" s="5">
        <f t="shared" si="93"/>
        <v>26626.75</v>
      </c>
      <c r="J512">
        <v>18</v>
      </c>
      <c r="K512">
        <v>28.88</v>
      </c>
      <c r="L512">
        <v>4</v>
      </c>
      <c r="M512">
        <f t="shared" si="94"/>
        <v>4</v>
      </c>
      <c r="N512">
        <v>11.2</v>
      </c>
      <c r="O512">
        <f t="shared" si="95"/>
        <v>11.2</v>
      </c>
      <c r="P512">
        <v>120</v>
      </c>
      <c r="Q512">
        <f t="shared" si="96"/>
        <v>120</v>
      </c>
      <c r="R512" t="s">
        <v>15</v>
      </c>
      <c r="S512" t="str">
        <f t="shared" si="97"/>
        <v xml:space="preserve">Performing </v>
      </c>
      <c r="T512" t="s">
        <v>25</v>
      </c>
      <c r="U512" s="3">
        <f t="shared" si="98"/>
        <v>0.27866106220603842</v>
      </c>
      <c r="V512" t="str">
        <f t="shared" si="99"/>
        <v>Healthy</v>
      </c>
      <c r="W512" t="str">
        <f t="shared" si="100"/>
        <v>High Risk</v>
      </c>
      <c r="X512" s="5" t="str">
        <f t="shared" si="101"/>
        <v>Medium</v>
      </c>
      <c r="Y512" s="5" t="str">
        <f t="shared" si="102"/>
        <v>High</v>
      </c>
      <c r="Z512" s="5" t="str">
        <f>IF(B512=120,"NULL",IF(AND(V512="High Stress", W512="High Risk", Y512="Low"),"High Risk : Reject", IF(AND(V512="Healthy", W512="Good",Y512&lt;&gt;"Low"), "Low Risk : Approve", "Medium Risk : Review")))</f>
        <v>Medium Risk : Review</v>
      </c>
      <c r="AA512" s="5" t="str">
        <f t="shared" si="103"/>
        <v>Medium</v>
      </c>
    </row>
    <row r="513" spans="1:27" x14ac:dyDescent="0.2">
      <c r="A513">
        <v>21312</v>
      </c>
      <c r="B513">
        <v>42</v>
      </c>
      <c r="C513">
        <f t="shared" si="91"/>
        <v>42</v>
      </c>
      <c r="D513" t="s">
        <v>26</v>
      </c>
      <c r="E513" t="str">
        <f t="shared" si="92"/>
        <v>Salaried</v>
      </c>
      <c r="F513">
        <v>1330.38</v>
      </c>
      <c r="G513">
        <f>ABS(Table1[[#This Row],[Monthly_Income]])</f>
        <v>1330.38</v>
      </c>
      <c r="H513">
        <v>32169.4</v>
      </c>
      <c r="I513" s="5">
        <f t="shared" si="93"/>
        <v>32169.4</v>
      </c>
      <c r="J513">
        <v>12</v>
      </c>
      <c r="K513">
        <v>32.39</v>
      </c>
      <c r="L513">
        <v>3</v>
      </c>
      <c r="M513">
        <f t="shared" si="94"/>
        <v>3</v>
      </c>
      <c r="N513">
        <v>12.5</v>
      </c>
      <c r="O513">
        <f t="shared" si="95"/>
        <v>12.5</v>
      </c>
      <c r="P513">
        <v>0</v>
      </c>
      <c r="Q513">
        <f t="shared" si="96"/>
        <v>0</v>
      </c>
      <c r="R513" t="s">
        <v>15</v>
      </c>
      <c r="S513" t="str">
        <f t="shared" si="97"/>
        <v xml:space="preserve">Performing </v>
      </c>
      <c r="T513" t="s">
        <v>22</v>
      </c>
      <c r="U513" s="3">
        <f t="shared" si="98"/>
        <v>2.0150508376052958</v>
      </c>
      <c r="V513" t="str">
        <f t="shared" si="99"/>
        <v>High Stress</v>
      </c>
      <c r="W513" t="str">
        <f t="shared" si="100"/>
        <v>Good</v>
      </c>
      <c r="X513" s="5" t="str">
        <f t="shared" si="101"/>
        <v>High</v>
      </c>
      <c r="Y513" s="5" t="str">
        <f t="shared" si="102"/>
        <v>High</v>
      </c>
      <c r="Z513" s="5" t="str">
        <f>IF(B513=120,"NULL",IF(AND(V513="High Stress", W513="High Risk", Y513="Low"),"High Risk : Reject", IF(AND(V513="Healthy", W513="Good",Y513&lt;&gt;"Low"), "Low Risk : Approve", "Medium Risk : Review")))</f>
        <v>Medium Risk : Review</v>
      </c>
      <c r="AA513" s="5" t="str">
        <f t="shared" si="103"/>
        <v>Low</v>
      </c>
    </row>
    <row r="514" spans="1:27" x14ac:dyDescent="0.2">
      <c r="A514">
        <v>22953</v>
      </c>
      <c r="B514">
        <v>52</v>
      </c>
      <c r="C514">
        <f t="shared" ref="C514:C577" si="104">IF(B514=120,"NULL",B514)</f>
        <v>52</v>
      </c>
      <c r="D514" t="s">
        <v>17</v>
      </c>
      <c r="E514" t="str">
        <f t="shared" ref="E514:E577" si="105">TRIM(IF(D514="Self employed","Self-Employed",D514))</f>
        <v>Contract</v>
      </c>
      <c r="F514">
        <v>8894.14</v>
      </c>
      <c r="G514">
        <f>ABS(Table1[[#This Row],[Monthly_Income]])</f>
        <v>8894.14</v>
      </c>
      <c r="H514">
        <v>27249.21</v>
      </c>
      <c r="I514" s="5">
        <f t="shared" ref="I514:I577" si="106">IF(H514="","NULL",ABS(H514))</f>
        <v>27249.21</v>
      </c>
      <c r="J514">
        <v>48</v>
      </c>
      <c r="K514">
        <v>23.73</v>
      </c>
      <c r="L514">
        <v>3</v>
      </c>
      <c r="M514">
        <f t="shared" ref="M514:M577" si="107">IF(L514="","NULL",L514)</f>
        <v>3</v>
      </c>
      <c r="O514" t="str">
        <f t="shared" ref="O514:O577" si="108">IF(N514="","NULL",ABS(N514))</f>
        <v>NULL</v>
      </c>
      <c r="P514">
        <v>120</v>
      </c>
      <c r="Q514">
        <f t="shared" ref="Q514:Q577" si="109">IF(P514="","NULL",P514)</f>
        <v>120</v>
      </c>
      <c r="R514" t="s">
        <v>13</v>
      </c>
      <c r="S514" t="str">
        <f t="shared" ref="S514:S577" si="110">IF(R514="Non performing","Non-Performing",R514)</f>
        <v>Performing</v>
      </c>
      <c r="T514" t="s">
        <v>19</v>
      </c>
      <c r="U514" s="3">
        <f t="shared" ref="U514:U577" si="111">IFERROR(I514/(G514*J514),"NULL")</f>
        <v>6.3827629765216207E-2</v>
      </c>
      <c r="V514" t="str">
        <f t="shared" ref="V514:V577" si="112">IF(U514="NULL","NULL",IF(U514&lt;=0.3,"Healthy",IF(U514&lt;=0.45,"Stretched","High Stress")))</f>
        <v>Healthy</v>
      </c>
      <c r="W514" t="str">
        <f t="shared" ref="W514:W577" si="113">IF(Q514="NULL","NULL",IF(Q514&lt;30,"Good",IF(Q514&lt;60,"At Risk","High Risk")))</f>
        <v>High Risk</v>
      </c>
      <c r="X514" s="5" t="str">
        <f t="shared" ref="X514:X577" si="114">IF(I514&lt;10000,"Small",IF(I514&lt;=30000,"Medium","High"))</f>
        <v>Medium</v>
      </c>
      <c r="Y514" s="5" t="str">
        <f t="shared" ref="Y514:Y577" si="115">IF(E514="Salaried","High",IF(E514="Self-Employed","Medium","Low"))</f>
        <v>Low</v>
      </c>
      <c r="Z514" s="5" t="str">
        <f>IF(B514=120,"NULL",IF(AND(V514="High Stress", W514="High Risk", Y514="Low"),"High Risk : Reject", IF(AND(V514="Healthy", W514="Good",Y514&lt;&gt;"Low"), "Low Risk : Approve", "Medium Risk : Review")))</f>
        <v>Medium Risk : Review</v>
      </c>
      <c r="AA514" s="5" t="str">
        <f t="shared" ref="AA514:AA577" si="116">IF(G514="NULL","NULL",IF(G514&gt;8000,"High",IF(G514&gt;2000,"Medium","Low")))</f>
        <v>High</v>
      </c>
    </row>
    <row r="515" spans="1:27" x14ac:dyDescent="0.2">
      <c r="A515">
        <v>23150</v>
      </c>
      <c r="B515">
        <v>61</v>
      </c>
      <c r="C515">
        <f t="shared" si="104"/>
        <v>61</v>
      </c>
      <c r="D515" t="s">
        <v>23</v>
      </c>
      <c r="E515" t="str">
        <f t="shared" si="105"/>
        <v>Self-Employed</v>
      </c>
      <c r="F515">
        <v>9718.81</v>
      </c>
      <c r="G515">
        <f>ABS(Table1[[#This Row],[Monthly_Income]])</f>
        <v>9718.81</v>
      </c>
      <c r="H515">
        <v>11739.62</v>
      </c>
      <c r="I515" s="5">
        <f t="shared" si="106"/>
        <v>11739.62</v>
      </c>
      <c r="J515">
        <v>48</v>
      </c>
      <c r="K515">
        <v>16.18</v>
      </c>
      <c r="L515">
        <v>4</v>
      </c>
      <c r="M515">
        <f t="shared" si="107"/>
        <v>4</v>
      </c>
      <c r="N515">
        <v>10</v>
      </c>
      <c r="O515">
        <f t="shared" si="108"/>
        <v>10</v>
      </c>
      <c r="P515">
        <v>0</v>
      </c>
      <c r="Q515">
        <f t="shared" si="109"/>
        <v>0</v>
      </c>
      <c r="R515" t="s">
        <v>24</v>
      </c>
      <c r="S515" t="str">
        <f t="shared" si="110"/>
        <v>Non-Performing</v>
      </c>
      <c r="T515" t="s">
        <v>14</v>
      </c>
      <c r="U515" s="3">
        <f t="shared" si="111"/>
        <v>2.5165160823873156E-2</v>
      </c>
      <c r="V515" t="str">
        <f t="shared" si="112"/>
        <v>Healthy</v>
      </c>
      <c r="W515" t="str">
        <f t="shared" si="113"/>
        <v>Good</v>
      </c>
      <c r="X515" s="5" t="str">
        <f t="shared" si="114"/>
        <v>Medium</v>
      </c>
      <c r="Y515" s="5" t="str">
        <f t="shared" si="115"/>
        <v>Medium</v>
      </c>
      <c r="Z515" s="5" t="str">
        <f>IF(B515=120,"NULL",IF(AND(V515="High Stress", W515="High Risk", Y515="Low"),"High Risk : Reject", IF(AND(V515="Healthy", W515="Good",Y515&lt;&gt;"Low"), "Low Risk : Approve", "Medium Risk : Review")))</f>
        <v>Low Risk : Approve</v>
      </c>
      <c r="AA515" s="5" t="str">
        <f t="shared" si="116"/>
        <v>High</v>
      </c>
    </row>
    <row r="516" spans="1:27" x14ac:dyDescent="0.2">
      <c r="A516">
        <v>25597</v>
      </c>
      <c r="B516">
        <v>46</v>
      </c>
      <c r="C516">
        <f t="shared" si="104"/>
        <v>46</v>
      </c>
      <c r="D516" t="s">
        <v>12</v>
      </c>
      <c r="E516" t="str">
        <f t="shared" si="105"/>
        <v>Self-Employed</v>
      </c>
      <c r="F516">
        <v>-1500</v>
      </c>
      <c r="G516">
        <f>ABS(Table1[[#This Row],[Monthly_Income]])</f>
        <v>1500</v>
      </c>
      <c r="H516">
        <v>24308.79</v>
      </c>
      <c r="I516" s="5">
        <f t="shared" si="106"/>
        <v>24308.79</v>
      </c>
      <c r="J516">
        <v>48</v>
      </c>
      <c r="K516">
        <v>19.09</v>
      </c>
      <c r="L516">
        <v>0</v>
      </c>
      <c r="M516">
        <f t="shared" si="107"/>
        <v>0</v>
      </c>
      <c r="N516">
        <v>6.6</v>
      </c>
      <c r="O516">
        <f t="shared" si="108"/>
        <v>6.6</v>
      </c>
      <c r="P516">
        <v>30</v>
      </c>
      <c r="Q516">
        <f t="shared" si="109"/>
        <v>30</v>
      </c>
      <c r="R516" t="s">
        <v>24</v>
      </c>
      <c r="S516" t="str">
        <f t="shared" si="110"/>
        <v>Non-Performing</v>
      </c>
      <c r="T516" t="s">
        <v>14</v>
      </c>
      <c r="U516" s="3">
        <f t="shared" si="111"/>
        <v>0.33762208333333332</v>
      </c>
      <c r="V516" t="str">
        <f t="shared" si="112"/>
        <v>Stretched</v>
      </c>
      <c r="W516" t="str">
        <f t="shared" si="113"/>
        <v>At Risk</v>
      </c>
      <c r="X516" s="5" t="str">
        <f t="shared" si="114"/>
        <v>Medium</v>
      </c>
      <c r="Y516" s="5" t="str">
        <f t="shared" si="115"/>
        <v>Medium</v>
      </c>
      <c r="Z516" s="5" t="str">
        <f>IF(B516=120,"NULL",IF(AND(V516="High Stress", W516="High Risk", Y516="Low"),"High Risk : Reject", IF(AND(V516="Healthy", W516="Good",Y516&lt;&gt;"Low"), "Low Risk : Approve", "Medium Risk : Review")))</f>
        <v>Medium Risk : Review</v>
      </c>
      <c r="AA516" s="5" t="str">
        <f t="shared" si="116"/>
        <v>Low</v>
      </c>
    </row>
    <row r="517" spans="1:27" x14ac:dyDescent="0.2">
      <c r="A517">
        <v>23242</v>
      </c>
      <c r="B517">
        <v>34</v>
      </c>
      <c r="C517">
        <f t="shared" si="104"/>
        <v>34</v>
      </c>
      <c r="D517" t="s">
        <v>21</v>
      </c>
      <c r="E517" t="str">
        <f t="shared" si="105"/>
        <v>Salaried</v>
      </c>
      <c r="F517">
        <v>8998.7199999999993</v>
      </c>
      <c r="G517">
        <f>ABS(Table1[[#This Row],[Monthly_Income]])</f>
        <v>8998.7199999999993</v>
      </c>
      <c r="H517">
        <v>10601.05</v>
      </c>
      <c r="I517" s="5">
        <f t="shared" si="106"/>
        <v>10601.05</v>
      </c>
      <c r="J517">
        <v>24</v>
      </c>
      <c r="K517">
        <v>17.559999999999999</v>
      </c>
      <c r="L517">
        <v>1</v>
      </c>
      <c r="M517">
        <f t="shared" si="107"/>
        <v>1</v>
      </c>
      <c r="N517">
        <v>8.6999999999999993</v>
      </c>
      <c r="O517">
        <f t="shared" si="108"/>
        <v>8.6999999999999993</v>
      </c>
      <c r="P517">
        <v>60</v>
      </c>
      <c r="Q517">
        <f t="shared" si="109"/>
        <v>60</v>
      </c>
      <c r="R517" t="s">
        <v>18</v>
      </c>
      <c r="S517" t="str">
        <f t="shared" si="110"/>
        <v>Non-Performing</v>
      </c>
      <c r="T517" t="s">
        <v>22</v>
      </c>
      <c r="U517" s="3">
        <f t="shared" si="111"/>
        <v>4.9085916293280234E-2</v>
      </c>
      <c r="V517" t="str">
        <f t="shared" si="112"/>
        <v>Healthy</v>
      </c>
      <c r="W517" t="str">
        <f t="shared" si="113"/>
        <v>High Risk</v>
      </c>
      <c r="X517" s="5" t="str">
        <f t="shared" si="114"/>
        <v>Medium</v>
      </c>
      <c r="Y517" s="5" t="str">
        <f t="shared" si="115"/>
        <v>High</v>
      </c>
      <c r="Z517" s="5" t="str">
        <f>IF(B517=120,"NULL",IF(AND(V517="High Stress", W517="High Risk", Y517="Low"),"High Risk : Reject", IF(AND(V517="Healthy", W517="Good",Y517&lt;&gt;"Low"), "Low Risk : Approve", "Medium Risk : Review")))</f>
        <v>Medium Risk : Review</v>
      </c>
      <c r="AA517" s="5" t="str">
        <f t="shared" si="116"/>
        <v>High</v>
      </c>
    </row>
    <row r="518" spans="1:27" x14ac:dyDescent="0.2">
      <c r="A518">
        <v>20155</v>
      </c>
      <c r="B518">
        <v>30</v>
      </c>
      <c r="C518">
        <f t="shared" si="104"/>
        <v>30</v>
      </c>
      <c r="D518" t="s">
        <v>27</v>
      </c>
      <c r="E518" t="str">
        <f t="shared" si="105"/>
        <v>Unemployed</v>
      </c>
      <c r="F518">
        <v>8409.34</v>
      </c>
      <c r="G518">
        <f>ABS(Table1[[#This Row],[Monthly_Income]])</f>
        <v>8409.34</v>
      </c>
      <c r="H518">
        <v>25400.51</v>
      </c>
      <c r="I518" s="5">
        <f t="shared" si="106"/>
        <v>25400.51</v>
      </c>
      <c r="J518">
        <v>18</v>
      </c>
      <c r="K518">
        <v>55</v>
      </c>
      <c r="L518">
        <v>1</v>
      </c>
      <c r="M518">
        <f t="shared" si="107"/>
        <v>1</v>
      </c>
      <c r="N518">
        <v>15.2</v>
      </c>
      <c r="O518">
        <f t="shared" si="108"/>
        <v>15.2</v>
      </c>
      <c r="P518">
        <v>15</v>
      </c>
      <c r="Q518">
        <f t="shared" si="109"/>
        <v>15</v>
      </c>
      <c r="R518" t="s">
        <v>15</v>
      </c>
      <c r="S518" t="str">
        <f t="shared" si="110"/>
        <v xml:space="preserve">Performing </v>
      </c>
      <c r="T518" t="s">
        <v>25</v>
      </c>
      <c r="U518" s="3">
        <f t="shared" si="111"/>
        <v>0.1678062064852229</v>
      </c>
      <c r="V518" t="str">
        <f t="shared" si="112"/>
        <v>Healthy</v>
      </c>
      <c r="W518" t="str">
        <f t="shared" si="113"/>
        <v>Good</v>
      </c>
      <c r="X518" s="5" t="str">
        <f t="shared" si="114"/>
        <v>Medium</v>
      </c>
      <c r="Y518" s="5" t="str">
        <f t="shared" si="115"/>
        <v>Low</v>
      </c>
      <c r="Z518" s="5" t="str">
        <f>IF(B518=120,"NULL",IF(AND(V518="High Stress", W518="High Risk", Y518="Low"),"High Risk : Reject", IF(AND(V518="Healthy", W518="Good",Y518&lt;&gt;"Low"), "Low Risk : Approve", "Medium Risk : Review")))</f>
        <v>Medium Risk : Review</v>
      </c>
      <c r="AA518" s="5" t="str">
        <f t="shared" si="116"/>
        <v>High</v>
      </c>
    </row>
    <row r="519" spans="1:27" x14ac:dyDescent="0.2">
      <c r="A519">
        <v>22664</v>
      </c>
      <c r="B519">
        <v>37</v>
      </c>
      <c r="C519">
        <f t="shared" si="104"/>
        <v>37</v>
      </c>
      <c r="D519" t="s">
        <v>26</v>
      </c>
      <c r="E519" t="str">
        <f t="shared" si="105"/>
        <v>Salaried</v>
      </c>
      <c r="F519">
        <v>4237.62</v>
      </c>
      <c r="G519">
        <f>ABS(Table1[[#This Row],[Monthly_Income]])</f>
        <v>4237.62</v>
      </c>
      <c r="H519">
        <v>24022.89</v>
      </c>
      <c r="I519" s="5">
        <f t="shared" si="106"/>
        <v>24022.89</v>
      </c>
      <c r="J519">
        <v>36</v>
      </c>
      <c r="K519">
        <v>27.77</v>
      </c>
      <c r="L519">
        <v>3</v>
      </c>
      <c r="M519">
        <f t="shared" si="107"/>
        <v>3</v>
      </c>
      <c r="N519">
        <v>1.6</v>
      </c>
      <c r="O519">
        <f t="shared" si="108"/>
        <v>1.6</v>
      </c>
      <c r="P519">
        <v>0</v>
      </c>
      <c r="Q519">
        <f t="shared" si="109"/>
        <v>0</v>
      </c>
      <c r="R519" t="s">
        <v>15</v>
      </c>
      <c r="S519" t="str">
        <f t="shared" si="110"/>
        <v xml:space="preserve">Performing </v>
      </c>
      <c r="T519" t="s">
        <v>22</v>
      </c>
      <c r="U519" s="3">
        <f t="shared" si="111"/>
        <v>0.15747105686682619</v>
      </c>
      <c r="V519" t="str">
        <f t="shared" si="112"/>
        <v>Healthy</v>
      </c>
      <c r="W519" t="str">
        <f t="shared" si="113"/>
        <v>Good</v>
      </c>
      <c r="X519" s="5" t="str">
        <f t="shared" si="114"/>
        <v>Medium</v>
      </c>
      <c r="Y519" s="5" t="str">
        <f t="shared" si="115"/>
        <v>High</v>
      </c>
      <c r="Z519" s="5" t="str">
        <f>IF(B519=120,"NULL",IF(AND(V519="High Stress", W519="High Risk", Y519="Low"),"High Risk : Reject", IF(AND(V519="Healthy", W519="Good",Y519&lt;&gt;"Low"), "Low Risk : Approve", "Medium Risk : Review")))</f>
        <v>Low Risk : Approve</v>
      </c>
      <c r="AA519" s="5" t="str">
        <f t="shared" si="116"/>
        <v>Medium</v>
      </c>
    </row>
    <row r="520" spans="1:27" x14ac:dyDescent="0.2">
      <c r="A520">
        <v>25907</v>
      </c>
      <c r="B520">
        <v>30</v>
      </c>
      <c r="C520">
        <f t="shared" si="104"/>
        <v>30</v>
      </c>
      <c r="D520" t="s">
        <v>12</v>
      </c>
      <c r="E520" t="str">
        <f t="shared" si="105"/>
        <v>Self-Employed</v>
      </c>
      <c r="F520">
        <v>4104.51</v>
      </c>
      <c r="G520">
        <f>ABS(Table1[[#This Row],[Monthly_Income]])</f>
        <v>4104.51</v>
      </c>
      <c r="H520">
        <v>21820.639999999999</v>
      </c>
      <c r="I520" s="5">
        <f t="shared" si="106"/>
        <v>21820.639999999999</v>
      </c>
      <c r="J520">
        <v>6</v>
      </c>
      <c r="K520">
        <v>17.48</v>
      </c>
      <c r="L520">
        <v>3</v>
      </c>
      <c r="M520">
        <f t="shared" si="107"/>
        <v>3</v>
      </c>
      <c r="N520">
        <v>6.9</v>
      </c>
      <c r="O520">
        <f t="shared" si="108"/>
        <v>6.9</v>
      </c>
      <c r="P520">
        <v>30</v>
      </c>
      <c r="Q520">
        <f t="shared" si="109"/>
        <v>30</v>
      </c>
      <c r="R520" t="s">
        <v>13</v>
      </c>
      <c r="S520" t="str">
        <f t="shared" si="110"/>
        <v>Performing</v>
      </c>
      <c r="T520" t="s">
        <v>16</v>
      </c>
      <c r="U520" s="3">
        <f t="shared" si="111"/>
        <v>0.88604323861638368</v>
      </c>
      <c r="V520" t="str">
        <f t="shared" si="112"/>
        <v>High Stress</v>
      </c>
      <c r="W520" t="str">
        <f t="shared" si="113"/>
        <v>At Risk</v>
      </c>
      <c r="X520" s="5" t="str">
        <f t="shared" si="114"/>
        <v>Medium</v>
      </c>
      <c r="Y520" s="5" t="str">
        <f t="shared" si="115"/>
        <v>Medium</v>
      </c>
      <c r="Z520" s="5" t="str">
        <f>IF(B520=120,"NULL",IF(AND(V520="High Stress", W520="High Risk", Y520="Low"),"High Risk : Reject", IF(AND(V520="Healthy", W520="Good",Y520&lt;&gt;"Low"), "Low Risk : Approve", "Medium Risk : Review")))</f>
        <v>Medium Risk : Review</v>
      </c>
      <c r="AA520" s="5" t="str">
        <f t="shared" si="116"/>
        <v>Medium</v>
      </c>
    </row>
    <row r="521" spans="1:27" x14ac:dyDescent="0.2">
      <c r="A521">
        <v>20536</v>
      </c>
      <c r="B521">
        <v>40</v>
      </c>
      <c r="C521">
        <f t="shared" si="104"/>
        <v>40</v>
      </c>
      <c r="D521" t="s">
        <v>17</v>
      </c>
      <c r="E521" t="str">
        <f t="shared" si="105"/>
        <v>Contract</v>
      </c>
      <c r="F521">
        <v>5829.61</v>
      </c>
      <c r="G521">
        <f>ABS(Table1[[#This Row],[Monthly_Income]])</f>
        <v>5829.61</v>
      </c>
      <c r="H521">
        <v>18863.86</v>
      </c>
      <c r="I521" s="5">
        <f t="shared" si="106"/>
        <v>18863.86</v>
      </c>
      <c r="J521">
        <v>48</v>
      </c>
      <c r="K521">
        <v>10.92</v>
      </c>
      <c r="L521">
        <v>0</v>
      </c>
      <c r="M521">
        <f t="shared" si="107"/>
        <v>0</v>
      </c>
      <c r="N521">
        <v>7.9</v>
      </c>
      <c r="O521">
        <f t="shared" si="108"/>
        <v>7.9</v>
      </c>
      <c r="P521">
        <v>0</v>
      </c>
      <c r="Q521">
        <f t="shared" si="109"/>
        <v>0</v>
      </c>
      <c r="R521" t="s">
        <v>18</v>
      </c>
      <c r="S521" t="str">
        <f t="shared" si="110"/>
        <v>Non-Performing</v>
      </c>
      <c r="T521" t="s">
        <v>14</v>
      </c>
      <c r="U521" s="3">
        <f t="shared" si="111"/>
        <v>6.7413957937723687E-2</v>
      </c>
      <c r="V521" t="str">
        <f t="shared" si="112"/>
        <v>Healthy</v>
      </c>
      <c r="W521" t="str">
        <f t="shared" si="113"/>
        <v>Good</v>
      </c>
      <c r="X521" s="5" t="str">
        <f t="shared" si="114"/>
        <v>Medium</v>
      </c>
      <c r="Y521" s="5" t="str">
        <f t="shared" si="115"/>
        <v>Low</v>
      </c>
      <c r="Z521" s="5" t="str">
        <f>IF(B521=120,"NULL",IF(AND(V521="High Stress", W521="High Risk", Y521="Low"),"High Risk : Reject", IF(AND(V521="Healthy", W521="Good",Y521&lt;&gt;"Low"), "Low Risk : Approve", "Medium Risk : Review")))</f>
        <v>Medium Risk : Review</v>
      </c>
      <c r="AA521" s="5" t="str">
        <f t="shared" si="116"/>
        <v>Medium</v>
      </c>
    </row>
    <row r="522" spans="1:27" x14ac:dyDescent="0.2">
      <c r="A522">
        <v>23768</v>
      </c>
      <c r="B522">
        <v>34</v>
      </c>
      <c r="C522">
        <f t="shared" si="104"/>
        <v>34</v>
      </c>
      <c r="D522" t="s">
        <v>12</v>
      </c>
      <c r="E522" t="str">
        <f t="shared" si="105"/>
        <v>Self-Employed</v>
      </c>
      <c r="F522">
        <v>4006.59</v>
      </c>
      <c r="G522">
        <f>ABS(Table1[[#This Row],[Monthly_Income]])</f>
        <v>4006.59</v>
      </c>
      <c r="H522">
        <v>14995.41</v>
      </c>
      <c r="I522" s="5">
        <f t="shared" si="106"/>
        <v>14995.41</v>
      </c>
      <c r="J522">
        <v>12</v>
      </c>
      <c r="K522">
        <v>24.73</v>
      </c>
      <c r="M522" t="str">
        <f t="shared" si="107"/>
        <v>NULL</v>
      </c>
      <c r="N522">
        <v>10.7</v>
      </c>
      <c r="O522">
        <f t="shared" si="108"/>
        <v>10.7</v>
      </c>
      <c r="P522">
        <v>60</v>
      </c>
      <c r="Q522">
        <f t="shared" si="109"/>
        <v>60</v>
      </c>
      <c r="R522" t="s">
        <v>15</v>
      </c>
      <c r="S522" t="str">
        <f t="shared" si="110"/>
        <v xml:space="preserve">Performing </v>
      </c>
      <c r="T522" t="s">
        <v>16</v>
      </c>
      <c r="U522" s="3">
        <f t="shared" si="111"/>
        <v>0.31189053534302236</v>
      </c>
      <c r="V522" t="str">
        <f t="shared" si="112"/>
        <v>Stretched</v>
      </c>
      <c r="W522" t="str">
        <f t="shared" si="113"/>
        <v>High Risk</v>
      </c>
      <c r="X522" s="5" t="str">
        <f t="shared" si="114"/>
        <v>Medium</v>
      </c>
      <c r="Y522" s="5" t="str">
        <f t="shared" si="115"/>
        <v>Medium</v>
      </c>
      <c r="Z522" s="5" t="str">
        <f>IF(B522=120,"NULL",IF(AND(V522="High Stress", W522="High Risk", Y522="Low"),"High Risk : Reject", IF(AND(V522="Healthy", W522="Good",Y522&lt;&gt;"Low"), "Low Risk : Approve", "Medium Risk : Review")))</f>
        <v>Medium Risk : Review</v>
      </c>
      <c r="AA522" s="5" t="str">
        <f t="shared" si="116"/>
        <v>Medium</v>
      </c>
    </row>
    <row r="523" spans="1:27" x14ac:dyDescent="0.2">
      <c r="A523">
        <v>23997</v>
      </c>
      <c r="B523">
        <v>54</v>
      </c>
      <c r="C523">
        <f t="shared" si="104"/>
        <v>54</v>
      </c>
      <c r="D523" t="s">
        <v>17</v>
      </c>
      <c r="E523" t="str">
        <f t="shared" si="105"/>
        <v>Contract</v>
      </c>
      <c r="F523">
        <v>1883.84</v>
      </c>
      <c r="G523">
        <f>ABS(Table1[[#This Row],[Monthly_Income]])</f>
        <v>1883.84</v>
      </c>
      <c r="H523">
        <v>31600.82</v>
      </c>
      <c r="I523" s="5">
        <f t="shared" si="106"/>
        <v>31600.82</v>
      </c>
      <c r="J523">
        <v>48</v>
      </c>
      <c r="K523">
        <v>18.13</v>
      </c>
      <c r="L523">
        <v>4</v>
      </c>
      <c r="M523">
        <f t="shared" si="107"/>
        <v>4</v>
      </c>
      <c r="N523">
        <v>3.6</v>
      </c>
      <c r="O523">
        <f t="shared" si="108"/>
        <v>3.6</v>
      </c>
      <c r="P523">
        <v>60</v>
      </c>
      <c r="Q523">
        <f t="shared" si="109"/>
        <v>60</v>
      </c>
      <c r="R523" t="s">
        <v>18</v>
      </c>
      <c r="S523" t="str">
        <f t="shared" si="110"/>
        <v>Non-Performing</v>
      </c>
      <c r="T523" t="s">
        <v>25</v>
      </c>
      <c r="U523" s="3">
        <f t="shared" si="111"/>
        <v>0.34947257551950628</v>
      </c>
      <c r="V523" t="str">
        <f t="shared" si="112"/>
        <v>Stretched</v>
      </c>
      <c r="W523" t="str">
        <f t="shared" si="113"/>
        <v>High Risk</v>
      </c>
      <c r="X523" s="5" t="str">
        <f t="shared" si="114"/>
        <v>High</v>
      </c>
      <c r="Y523" s="5" t="str">
        <f t="shared" si="115"/>
        <v>Low</v>
      </c>
      <c r="Z523" s="5" t="str">
        <f>IF(B523=120,"NULL",IF(AND(V523="High Stress", W523="High Risk", Y523="Low"),"High Risk : Reject", IF(AND(V523="Healthy", W523="Good",Y523&lt;&gt;"Low"), "Low Risk : Approve", "Medium Risk : Review")))</f>
        <v>Medium Risk : Review</v>
      </c>
      <c r="AA523" s="5" t="str">
        <f t="shared" si="116"/>
        <v>Low</v>
      </c>
    </row>
    <row r="524" spans="1:27" x14ac:dyDescent="0.2">
      <c r="A524">
        <v>23421</v>
      </c>
      <c r="B524">
        <v>51</v>
      </c>
      <c r="C524">
        <f t="shared" si="104"/>
        <v>51</v>
      </c>
      <c r="D524" t="s">
        <v>21</v>
      </c>
      <c r="E524" t="str">
        <f t="shared" si="105"/>
        <v>Salaried</v>
      </c>
      <c r="F524">
        <v>4734.24</v>
      </c>
      <c r="G524">
        <f>ABS(Table1[[#This Row],[Monthly_Income]])</f>
        <v>4734.24</v>
      </c>
      <c r="H524">
        <v>18421.900000000001</v>
      </c>
      <c r="I524" s="5">
        <f t="shared" si="106"/>
        <v>18421.900000000001</v>
      </c>
      <c r="J524">
        <v>48</v>
      </c>
      <c r="K524">
        <v>13.94</v>
      </c>
      <c r="L524">
        <v>2</v>
      </c>
      <c r="M524">
        <f t="shared" si="107"/>
        <v>2</v>
      </c>
      <c r="N524">
        <v>6.6</v>
      </c>
      <c r="O524">
        <f t="shared" si="108"/>
        <v>6.6</v>
      </c>
      <c r="P524">
        <v>0</v>
      </c>
      <c r="Q524">
        <f t="shared" si="109"/>
        <v>0</v>
      </c>
      <c r="R524" t="s">
        <v>20</v>
      </c>
      <c r="S524" t="str">
        <f t="shared" si="110"/>
        <v>Written Off</v>
      </c>
      <c r="T524" t="s">
        <v>22</v>
      </c>
      <c r="U524" s="3">
        <f t="shared" si="111"/>
        <v>8.1066778053781263E-2</v>
      </c>
      <c r="V524" t="str">
        <f t="shared" si="112"/>
        <v>Healthy</v>
      </c>
      <c r="W524" t="str">
        <f t="shared" si="113"/>
        <v>Good</v>
      </c>
      <c r="X524" s="5" t="str">
        <f t="shared" si="114"/>
        <v>Medium</v>
      </c>
      <c r="Y524" s="5" t="str">
        <f t="shared" si="115"/>
        <v>High</v>
      </c>
      <c r="Z524" s="5" t="str">
        <f>IF(B524=120,"NULL",IF(AND(V524="High Stress", W524="High Risk", Y524="Low"),"High Risk : Reject", IF(AND(V524="Healthy", W524="Good",Y524&lt;&gt;"Low"), "Low Risk : Approve", "Medium Risk : Review")))</f>
        <v>Low Risk : Approve</v>
      </c>
      <c r="AA524" s="5" t="str">
        <f t="shared" si="116"/>
        <v>Medium</v>
      </c>
    </row>
    <row r="525" spans="1:27" x14ac:dyDescent="0.2">
      <c r="A525">
        <v>22940</v>
      </c>
      <c r="B525">
        <v>38</v>
      </c>
      <c r="C525">
        <f t="shared" si="104"/>
        <v>38</v>
      </c>
      <c r="D525" t="s">
        <v>27</v>
      </c>
      <c r="E525" t="str">
        <f t="shared" si="105"/>
        <v>Unemployed</v>
      </c>
      <c r="F525">
        <v>3770.85</v>
      </c>
      <c r="G525">
        <f>ABS(Table1[[#This Row],[Monthly_Income]])</f>
        <v>3770.85</v>
      </c>
      <c r="H525">
        <v>12703.98</v>
      </c>
      <c r="I525" s="5">
        <f t="shared" si="106"/>
        <v>12703.98</v>
      </c>
      <c r="J525">
        <v>6</v>
      </c>
      <c r="K525">
        <v>21.33</v>
      </c>
      <c r="L525">
        <v>2</v>
      </c>
      <c r="M525">
        <f t="shared" si="107"/>
        <v>2</v>
      </c>
      <c r="N525">
        <v>5.4</v>
      </c>
      <c r="O525">
        <f t="shared" si="108"/>
        <v>5.4</v>
      </c>
      <c r="P525">
        <v>60</v>
      </c>
      <c r="Q525">
        <f t="shared" si="109"/>
        <v>60</v>
      </c>
      <c r="R525" t="s">
        <v>24</v>
      </c>
      <c r="S525" t="str">
        <f t="shared" si="110"/>
        <v>Non-Performing</v>
      </c>
      <c r="T525" t="s">
        <v>22</v>
      </c>
      <c r="U525" s="3">
        <f t="shared" si="111"/>
        <v>0.56149939668774951</v>
      </c>
      <c r="V525" t="str">
        <f t="shared" si="112"/>
        <v>High Stress</v>
      </c>
      <c r="W525" t="str">
        <f t="shared" si="113"/>
        <v>High Risk</v>
      </c>
      <c r="X525" s="5" t="str">
        <f t="shared" si="114"/>
        <v>Medium</v>
      </c>
      <c r="Y525" s="5" t="str">
        <f t="shared" si="115"/>
        <v>Low</v>
      </c>
      <c r="Z525" s="5" t="str">
        <f>IF(B525=120,"NULL",IF(AND(V525="High Stress", W525="High Risk", Y525="Low"),"High Risk : Reject", IF(AND(V525="Healthy", W525="Good",Y525&lt;&gt;"Low"), "Low Risk : Approve", "Medium Risk : Review")))</f>
        <v>High Risk : Reject</v>
      </c>
      <c r="AA525" s="5" t="str">
        <f t="shared" si="116"/>
        <v>Medium</v>
      </c>
    </row>
    <row r="526" spans="1:27" x14ac:dyDescent="0.2">
      <c r="A526">
        <v>23792</v>
      </c>
      <c r="B526">
        <v>31</v>
      </c>
      <c r="C526">
        <f t="shared" si="104"/>
        <v>31</v>
      </c>
      <c r="D526" t="s">
        <v>17</v>
      </c>
      <c r="E526" t="str">
        <f t="shared" si="105"/>
        <v>Contract</v>
      </c>
      <c r="F526">
        <v>-1500</v>
      </c>
      <c r="G526">
        <f>ABS(Table1[[#This Row],[Monthly_Income]])</f>
        <v>1500</v>
      </c>
      <c r="H526">
        <v>20623.07</v>
      </c>
      <c r="I526" s="5">
        <f t="shared" si="106"/>
        <v>20623.07</v>
      </c>
      <c r="J526">
        <v>6</v>
      </c>
      <c r="K526">
        <v>24.89</v>
      </c>
      <c r="L526">
        <v>2</v>
      </c>
      <c r="M526">
        <f t="shared" si="107"/>
        <v>2</v>
      </c>
      <c r="N526">
        <v>9</v>
      </c>
      <c r="O526">
        <f t="shared" si="108"/>
        <v>9</v>
      </c>
      <c r="P526">
        <v>90</v>
      </c>
      <c r="Q526">
        <f t="shared" si="109"/>
        <v>90</v>
      </c>
      <c r="R526" t="s">
        <v>15</v>
      </c>
      <c r="S526" t="str">
        <f t="shared" si="110"/>
        <v xml:space="preserve">Performing </v>
      </c>
      <c r="T526" t="s">
        <v>19</v>
      </c>
      <c r="U526" s="3">
        <f t="shared" si="111"/>
        <v>2.291452222222222</v>
      </c>
      <c r="V526" t="str">
        <f t="shared" si="112"/>
        <v>High Stress</v>
      </c>
      <c r="W526" t="str">
        <f t="shared" si="113"/>
        <v>High Risk</v>
      </c>
      <c r="X526" s="5" t="str">
        <f t="shared" si="114"/>
        <v>Medium</v>
      </c>
      <c r="Y526" s="5" t="str">
        <f t="shared" si="115"/>
        <v>Low</v>
      </c>
      <c r="Z526" s="5" t="str">
        <f>IF(B526=120,"NULL",IF(AND(V526="High Stress", W526="High Risk", Y526="Low"),"High Risk : Reject", IF(AND(V526="Healthy", W526="Good",Y526&lt;&gt;"Low"), "Low Risk : Approve", "Medium Risk : Review")))</f>
        <v>High Risk : Reject</v>
      </c>
      <c r="AA526" s="5" t="str">
        <f t="shared" si="116"/>
        <v>Low</v>
      </c>
    </row>
    <row r="527" spans="1:27" x14ac:dyDescent="0.2">
      <c r="A527">
        <v>25934</v>
      </c>
      <c r="B527">
        <v>42</v>
      </c>
      <c r="C527">
        <f t="shared" si="104"/>
        <v>42</v>
      </c>
      <c r="D527" t="s">
        <v>21</v>
      </c>
      <c r="E527" t="str">
        <f t="shared" si="105"/>
        <v>Salaried</v>
      </c>
      <c r="F527">
        <v>3885.56</v>
      </c>
      <c r="G527">
        <f>ABS(Table1[[#This Row],[Monthly_Income]])</f>
        <v>3885.56</v>
      </c>
      <c r="H527">
        <v>23081.31</v>
      </c>
      <c r="I527" s="5">
        <f t="shared" si="106"/>
        <v>23081.31</v>
      </c>
      <c r="J527">
        <v>48</v>
      </c>
      <c r="K527">
        <v>20.64</v>
      </c>
      <c r="L527">
        <v>4</v>
      </c>
      <c r="M527">
        <f t="shared" si="107"/>
        <v>4</v>
      </c>
      <c r="N527">
        <v>5.7</v>
      </c>
      <c r="O527">
        <f t="shared" si="108"/>
        <v>5.7</v>
      </c>
      <c r="Q527" t="str">
        <f t="shared" si="109"/>
        <v>NULL</v>
      </c>
      <c r="R527" t="s">
        <v>15</v>
      </c>
      <c r="S527" t="str">
        <f t="shared" si="110"/>
        <v xml:space="preserve">Performing </v>
      </c>
      <c r="T527" t="s">
        <v>16</v>
      </c>
      <c r="U527" s="3">
        <f t="shared" si="111"/>
        <v>0.12375580997333718</v>
      </c>
      <c r="V527" t="str">
        <f t="shared" si="112"/>
        <v>Healthy</v>
      </c>
      <c r="W527" t="str">
        <f t="shared" si="113"/>
        <v>NULL</v>
      </c>
      <c r="X527" s="5" t="str">
        <f t="shared" si="114"/>
        <v>Medium</v>
      </c>
      <c r="Y527" s="5" t="str">
        <f t="shared" si="115"/>
        <v>High</v>
      </c>
      <c r="Z527" s="5" t="str">
        <f>IF(B527=120,"NULL",IF(AND(V527="High Stress", W527="High Risk", Y527="Low"),"High Risk : Reject", IF(AND(V527="Healthy", W527="Good",Y527&lt;&gt;"Low"), "Low Risk : Approve", "Medium Risk : Review")))</f>
        <v>Medium Risk : Review</v>
      </c>
      <c r="AA527" s="5" t="str">
        <f t="shared" si="116"/>
        <v>Medium</v>
      </c>
    </row>
    <row r="528" spans="1:27" x14ac:dyDescent="0.2">
      <c r="A528">
        <v>22914</v>
      </c>
      <c r="B528">
        <v>21</v>
      </c>
      <c r="C528">
        <f t="shared" si="104"/>
        <v>21</v>
      </c>
      <c r="D528" t="s">
        <v>12</v>
      </c>
      <c r="E528" t="str">
        <f t="shared" si="105"/>
        <v>Self-Employed</v>
      </c>
      <c r="F528">
        <v>5625.42</v>
      </c>
      <c r="G528">
        <f>ABS(Table1[[#This Row],[Monthly_Income]])</f>
        <v>5625.42</v>
      </c>
      <c r="H528">
        <v>21631.64</v>
      </c>
      <c r="I528" s="5">
        <f t="shared" si="106"/>
        <v>21631.64</v>
      </c>
      <c r="J528">
        <v>48</v>
      </c>
      <c r="K528">
        <v>16.55</v>
      </c>
      <c r="M528" t="str">
        <f t="shared" si="107"/>
        <v>NULL</v>
      </c>
      <c r="N528">
        <v>7.5</v>
      </c>
      <c r="O528">
        <f t="shared" si="108"/>
        <v>7.5</v>
      </c>
      <c r="P528">
        <v>0</v>
      </c>
      <c r="Q528">
        <f t="shared" si="109"/>
        <v>0</v>
      </c>
      <c r="R528" t="s">
        <v>24</v>
      </c>
      <c r="S528" t="str">
        <f t="shared" si="110"/>
        <v>Non-Performing</v>
      </c>
      <c r="T528" t="s">
        <v>19</v>
      </c>
      <c r="U528" s="3">
        <f t="shared" si="111"/>
        <v>8.0111203548653545E-2</v>
      </c>
      <c r="V528" t="str">
        <f t="shared" si="112"/>
        <v>Healthy</v>
      </c>
      <c r="W528" t="str">
        <f t="shared" si="113"/>
        <v>Good</v>
      </c>
      <c r="X528" s="5" t="str">
        <f t="shared" si="114"/>
        <v>Medium</v>
      </c>
      <c r="Y528" s="5" t="str">
        <f t="shared" si="115"/>
        <v>Medium</v>
      </c>
      <c r="Z528" s="5" t="str">
        <f>IF(B528=120,"NULL",IF(AND(V528="High Stress", W528="High Risk", Y528="Low"),"High Risk : Reject", IF(AND(V528="Healthy", W528="Good",Y528&lt;&gt;"Low"), "Low Risk : Approve", "Medium Risk : Review")))</f>
        <v>Low Risk : Approve</v>
      </c>
      <c r="AA528" s="5" t="str">
        <f t="shared" si="116"/>
        <v>Medium</v>
      </c>
    </row>
    <row r="529" spans="1:27" x14ac:dyDescent="0.2">
      <c r="A529">
        <v>23865</v>
      </c>
      <c r="B529">
        <v>29</v>
      </c>
      <c r="C529">
        <f t="shared" si="104"/>
        <v>29</v>
      </c>
      <c r="D529" t="s">
        <v>27</v>
      </c>
      <c r="E529" t="str">
        <f t="shared" si="105"/>
        <v>Unemployed</v>
      </c>
      <c r="F529">
        <v>6189.49</v>
      </c>
      <c r="G529">
        <f>ABS(Table1[[#This Row],[Monthly_Income]])</f>
        <v>6189.49</v>
      </c>
      <c r="H529">
        <v>21644.15</v>
      </c>
      <c r="I529" s="5">
        <f t="shared" si="106"/>
        <v>21644.15</v>
      </c>
      <c r="J529">
        <v>6</v>
      </c>
      <c r="K529">
        <v>34</v>
      </c>
      <c r="L529">
        <v>3</v>
      </c>
      <c r="M529">
        <f t="shared" si="107"/>
        <v>3</v>
      </c>
      <c r="N529">
        <v>10</v>
      </c>
      <c r="O529">
        <f t="shared" si="108"/>
        <v>10</v>
      </c>
      <c r="P529">
        <v>0</v>
      </c>
      <c r="Q529">
        <f t="shared" si="109"/>
        <v>0</v>
      </c>
      <c r="R529" t="s">
        <v>18</v>
      </c>
      <c r="S529" t="str">
        <f t="shared" si="110"/>
        <v>Non-Performing</v>
      </c>
      <c r="T529" t="s">
        <v>22</v>
      </c>
      <c r="U529" s="3">
        <f t="shared" si="111"/>
        <v>0.5828199630879658</v>
      </c>
      <c r="V529" t="str">
        <f t="shared" si="112"/>
        <v>High Stress</v>
      </c>
      <c r="W529" t="str">
        <f t="shared" si="113"/>
        <v>Good</v>
      </c>
      <c r="X529" s="5" t="str">
        <f t="shared" si="114"/>
        <v>Medium</v>
      </c>
      <c r="Y529" s="5" t="str">
        <f t="shared" si="115"/>
        <v>Low</v>
      </c>
      <c r="Z529" s="5" t="str">
        <f>IF(B529=120,"NULL",IF(AND(V529="High Stress", W529="High Risk", Y529="Low"),"High Risk : Reject", IF(AND(V529="Healthy", W529="Good",Y529&lt;&gt;"Low"), "Low Risk : Approve", "Medium Risk : Review")))</f>
        <v>Medium Risk : Review</v>
      </c>
      <c r="AA529" s="5" t="str">
        <f t="shared" si="116"/>
        <v>Medium</v>
      </c>
    </row>
    <row r="530" spans="1:27" x14ac:dyDescent="0.2">
      <c r="A530">
        <v>21640</v>
      </c>
      <c r="B530">
        <v>56</v>
      </c>
      <c r="C530">
        <f t="shared" si="104"/>
        <v>56</v>
      </c>
      <c r="D530" t="s">
        <v>26</v>
      </c>
      <c r="E530" t="str">
        <f t="shared" si="105"/>
        <v>Salaried</v>
      </c>
      <c r="F530">
        <v>3272.93</v>
      </c>
      <c r="G530">
        <f>ABS(Table1[[#This Row],[Monthly_Income]])</f>
        <v>3272.93</v>
      </c>
      <c r="H530">
        <v>12672.25</v>
      </c>
      <c r="I530" s="5">
        <f t="shared" si="106"/>
        <v>12672.25</v>
      </c>
      <c r="J530">
        <v>60</v>
      </c>
      <c r="K530">
        <v>18.14</v>
      </c>
      <c r="L530">
        <v>3</v>
      </c>
      <c r="M530">
        <f t="shared" si="107"/>
        <v>3</v>
      </c>
      <c r="N530">
        <v>12.2</v>
      </c>
      <c r="O530">
        <f t="shared" si="108"/>
        <v>12.2</v>
      </c>
      <c r="P530">
        <v>0</v>
      </c>
      <c r="Q530">
        <f t="shared" si="109"/>
        <v>0</v>
      </c>
      <c r="R530" t="s">
        <v>18</v>
      </c>
      <c r="S530" t="str">
        <f t="shared" si="110"/>
        <v>Non-Performing</v>
      </c>
      <c r="T530" t="s">
        <v>25</v>
      </c>
      <c r="U530" s="3">
        <f t="shared" si="111"/>
        <v>6.4530609168746866E-2</v>
      </c>
      <c r="V530" t="str">
        <f t="shared" si="112"/>
        <v>Healthy</v>
      </c>
      <c r="W530" t="str">
        <f t="shared" si="113"/>
        <v>Good</v>
      </c>
      <c r="X530" s="5" t="str">
        <f t="shared" si="114"/>
        <v>Medium</v>
      </c>
      <c r="Y530" s="5" t="str">
        <f t="shared" si="115"/>
        <v>High</v>
      </c>
      <c r="Z530" s="5" t="str">
        <f>IF(B530=120,"NULL",IF(AND(V530="High Stress", W530="High Risk", Y530="Low"),"High Risk : Reject", IF(AND(V530="Healthy", W530="Good",Y530&lt;&gt;"Low"), "Low Risk : Approve", "Medium Risk : Review")))</f>
        <v>Low Risk : Approve</v>
      </c>
      <c r="AA530" s="5" t="str">
        <f t="shared" si="116"/>
        <v>Medium</v>
      </c>
    </row>
    <row r="531" spans="1:27" x14ac:dyDescent="0.2">
      <c r="A531">
        <v>20827</v>
      </c>
      <c r="B531">
        <v>54</v>
      </c>
      <c r="C531">
        <f t="shared" si="104"/>
        <v>54</v>
      </c>
      <c r="D531" t="s">
        <v>23</v>
      </c>
      <c r="E531" t="str">
        <f t="shared" si="105"/>
        <v>Self-Employed</v>
      </c>
      <c r="F531">
        <v>2026.64</v>
      </c>
      <c r="G531">
        <f>ABS(Table1[[#This Row],[Monthly_Income]])</f>
        <v>2026.64</v>
      </c>
      <c r="H531">
        <v>18751.060000000001</v>
      </c>
      <c r="I531" s="5">
        <f t="shared" si="106"/>
        <v>18751.060000000001</v>
      </c>
      <c r="J531">
        <v>36</v>
      </c>
      <c r="K531">
        <v>16.34</v>
      </c>
      <c r="L531">
        <v>2</v>
      </c>
      <c r="M531">
        <f t="shared" si="107"/>
        <v>2</v>
      </c>
      <c r="N531">
        <v>14.9</v>
      </c>
      <c r="O531">
        <f t="shared" si="108"/>
        <v>14.9</v>
      </c>
      <c r="P531">
        <v>0</v>
      </c>
      <c r="Q531">
        <f t="shared" si="109"/>
        <v>0</v>
      </c>
      <c r="R531" t="s">
        <v>18</v>
      </c>
      <c r="S531" t="str">
        <f t="shared" si="110"/>
        <v>Non-Performing</v>
      </c>
      <c r="T531" t="s">
        <v>22</v>
      </c>
      <c r="U531" s="3">
        <f t="shared" si="111"/>
        <v>0.25700804177247943</v>
      </c>
      <c r="V531" t="str">
        <f t="shared" si="112"/>
        <v>Healthy</v>
      </c>
      <c r="W531" t="str">
        <f t="shared" si="113"/>
        <v>Good</v>
      </c>
      <c r="X531" s="5" t="str">
        <f t="shared" si="114"/>
        <v>Medium</v>
      </c>
      <c r="Y531" s="5" t="str">
        <f t="shared" si="115"/>
        <v>Medium</v>
      </c>
      <c r="Z531" s="5" t="str">
        <f>IF(B531=120,"NULL",IF(AND(V531="High Stress", W531="High Risk", Y531="Low"),"High Risk : Reject", IF(AND(V531="Healthy", W531="Good",Y531&lt;&gt;"Low"), "Low Risk : Approve", "Medium Risk : Review")))</f>
        <v>Low Risk : Approve</v>
      </c>
      <c r="AA531" s="5" t="str">
        <f t="shared" si="116"/>
        <v>Medium</v>
      </c>
    </row>
    <row r="532" spans="1:27" x14ac:dyDescent="0.2">
      <c r="A532">
        <v>21829</v>
      </c>
      <c r="B532">
        <v>47</v>
      </c>
      <c r="C532">
        <f t="shared" si="104"/>
        <v>47</v>
      </c>
      <c r="D532" t="s">
        <v>17</v>
      </c>
      <c r="E532" t="str">
        <f t="shared" si="105"/>
        <v>Contract</v>
      </c>
      <c r="F532">
        <v>8425.4599999999991</v>
      </c>
      <c r="G532">
        <f>ABS(Table1[[#This Row],[Monthly_Income]])</f>
        <v>8425.4599999999991</v>
      </c>
      <c r="H532">
        <v>4817.51</v>
      </c>
      <c r="I532" s="5">
        <f t="shared" si="106"/>
        <v>4817.51</v>
      </c>
      <c r="J532">
        <v>24</v>
      </c>
      <c r="K532">
        <v>18.53</v>
      </c>
      <c r="L532">
        <v>3</v>
      </c>
      <c r="M532">
        <f t="shared" si="107"/>
        <v>3</v>
      </c>
      <c r="N532">
        <v>7.4</v>
      </c>
      <c r="O532">
        <f t="shared" si="108"/>
        <v>7.4</v>
      </c>
      <c r="P532">
        <v>0</v>
      </c>
      <c r="Q532">
        <f t="shared" si="109"/>
        <v>0</v>
      </c>
      <c r="R532" t="s">
        <v>24</v>
      </c>
      <c r="S532" t="str">
        <f t="shared" si="110"/>
        <v>Non-Performing</v>
      </c>
      <c r="T532" t="s">
        <v>25</v>
      </c>
      <c r="U532" s="3">
        <f t="shared" si="111"/>
        <v>2.3824169046358697E-2</v>
      </c>
      <c r="V532" t="str">
        <f t="shared" si="112"/>
        <v>Healthy</v>
      </c>
      <c r="W532" t="str">
        <f t="shared" si="113"/>
        <v>Good</v>
      </c>
      <c r="X532" s="5" t="str">
        <f t="shared" si="114"/>
        <v>Small</v>
      </c>
      <c r="Y532" s="5" t="str">
        <f t="shared" si="115"/>
        <v>Low</v>
      </c>
      <c r="Z532" s="5" t="str">
        <f>IF(B532=120,"NULL",IF(AND(V532="High Stress", W532="High Risk", Y532="Low"),"High Risk : Reject", IF(AND(V532="Healthy", W532="Good",Y532&lt;&gt;"Low"), "Low Risk : Approve", "Medium Risk : Review")))</f>
        <v>Medium Risk : Review</v>
      </c>
      <c r="AA532" s="5" t="str">
        <f t="shared" si="116"/>
        <v>High</v>
      </c>
    </row>
    <row r="533" spans="1:27" x14ac:dyDescent="0.2">
      <c r="A533">
        <v>24651</v>
      </c>
      <c r="B533">
        <v>55</v>
      </c>
      <c r="C533">
        <f t="shared" si="104"/>
        <v>55</v>
      </c>
      <c r="D533" t="s">
        <v>26</v>
      </c>
      <c r="E533" t="str">
        <f t="shared" si="105"/>
        <v>Salaried</v>
      </c>
      <c r="F533">
        <v>4191.17</v>
      </c>
      <c r="G533">
        <f>ABS(Table1[[#This Row],[Monthly_Income]])</f>
        <v>4191.17</v>
      </c>
      <c r="H533">
        <v>26986.799999999999</v>
      </c>
      <c r="I533" s="5">
        <f t="shared" si="106"/>
        <v>26986.799999999999</v>
      </c>
      <c r="J533">
        <v>60</v>
      </c>
      <c r="K533">
        <v>17.66</v>
      </c>
      <c r="L533">
        <v>0</v>
      </c>
      <c r="M533">
        <f t="shared" si="107"/>
        <v>0</v>
      </c>
      <c r="N533">
        <v>6.7</v>
      </c>
      <c r="O533">
        <f t="shared" si="108"/>
        <v>6.7</v>
      </c>
      <c r="P533">
        <v>60</v>
      </c>
      <c r="Q533">
        <f t="shared" si="109"/>
        <v>60</v>
      </c>
      <c r="R533" t="s">
        <v>15</v>
      </c>
      <c r="S533" t="str">
        <f t="shared" si="110"/>
        <v xml:space="preserve">Performing </v>
      </c>
      <c r="T533" t="s">
        <v>19</v>
      </c>
      <c r="U533" s="3">
        <f t="shared" si="111"/>
        <v>0.10731609550555095</v>
      </c>
      <c r="V533" t="str">
        <f t="shared" si="112"/>
        <v>Healthy</v>
      </c>
      <c r="W533" t="str">
        <f t="shared" si="113"/>
        <v>High Risk</v>
      </c>
      <c r="X533" s="5" t="str">
        <f t="shared" si="114"/>
        <v>Medium</v>
      </c>
      <c r="Y533" s="5" t="str">
        <f t="shared" si="115"/>
        <v>High</v>
      </c>
      <c r="Z533" s="5" t="str">
        <f>IF(B533=120,"NULL",IF(AND(V533="High Stress", W533="High Risk", Y533="Low"),"High Risk : Reject", IF(AND(V533="Healthy", W533="Good",Y533&lt;&gt;"Low"), "Low Risk : Approve", "Medium Risk : Review")))</f>
        <v>Medium Risk : Review</v>
      </c>
      <c r="AA533" s="5" t="str">
        <f t="shared" si="116"/>
        <v>Medium</v>
      </c>
    </row>
    <row r="534" spans="1:27" x14ac:dyDescent="0.2">
      <c r="A534">
        <v>25168</v>
      </c>
      <c r="B534">
        <v>62</v>
      </c>
      <c r="C534">
        <f t="shared" si="104"/>
        <v>62</v>
      </c>
      <c r="D534" t="s">
        <v>12</v>
      </c>
      <c r="E534" t="str">
        <f t="shared" si="105"/>
        <v>Self-Employed</v>
      </c>
      <c r="F534">
        <v>5891.56</v>
      </c>
      <c r="G534">
        <f>ABS(Table1[[#This Row],[Monthly_Income]])</f>
        <v>5891.56</v>
      </c>
      <c r="H534">
        <v>20401.89</v>
      </c>
      <c r="I534" s="5">
        <f t="shared" si="106"/>
        <v>20401.89</v>
      </c>
      <c r="J534">
        <v>12</v>
      </c>
      <c r="K534">
        <v>15.9</v>
      </c>
      <c r="L534">
        <v>1</v>
      </c>
      <c r="M534">
        <f t="shared" si="107"/>
        <v>1</v>
      </c>
      <c r="N534">
        <v>11.8</v>
      </c>
      <c r="O534">
        <f t="shared" si="108"/>
        <v>11.8</v>
      </c>
      <c r="P534">
        <v>30</v>
      </c>
      <c r="Q534">
        <f t="shared" si="109"/>
        <v>30</v>
      </c>
      <c r="R534" t="s">
        <v>15</v>
      </c>
      <c r="S534" t="str">
        <f t="shared" si="110"/>
        <v xml:space="preserve">Performing </v>
      </c>
      <c r="T534" t="s">
        <v>19</v>
      </c>
      <c r="U534" s="3">
        <f t="shared" si="111"/>
        <v>0.28857509725777214</v>
      </c>
      <c r="V534" t="str">
        <f t="shared" si="112"/>
        <v>Healthy</v>
      </c>
      <c r="W534" t="str">
        <f t="shared" si="113"/>
        <v>At Risk</v>
      </c>
      <c r="X534" s="5" t="str">
        <f t="shared" si="114"/>
        <v>Medium</v>
      </c>
      <c r="Y534" s="5" t="str">
        <f t="shared" si="115"/>
        <v>Medium</v>
      </c>
      <c r="Z534" s="5" t="str">
        <f>IF(B534=120,"NULL",IF(AND(V534="High Stress", W534="High Risk", Y534="Low"),"High Risk : Reject", IF(AND(V534="Healthy", W534="Good",Y534&lt;&gt;"Low"), "Low Risk : Approve", "Medium Risk : Review")))</f>
        <v>Medium Risk : Review</v>
      </c>
      <c r="AA534" s="5" t="str">
        <f t="shared" si="116"/>
        <v>Medium</v>
      </c>
    </row>
    <row r="535" spans="1:27" x14ac:dyDescent="0.2">
      <c r="A535">
        <v>22903</v>
      </c>
      <c r="B535">
        <v>61</v>
      </c>
      <c r="C535">
        <f t="shared" si="104"/>
        <v>61</v>
      </c>
      <c r="D535" t="s">
        <v>27</v>
      </c>
      <c r="E535" t="str">
        <f t="shared" si="105"/>
        <v>Unemployed</v>
      </c>
      <c r="F535">
        <v>3591.65</v>
      </c>
      <c r="G535">
        <f>ABS(Table1[[#This Row],[Monthly_Income]])</f>
        <v>3591.65</v>
      </c>
      <c r="H535">
        <v>23120.16</v>
      </c>
      <c r="I535" s="5">
        <f t="shared" si="106"/>
        <v>23120.16</v>
      </c>
      <c r="J535">
        <v>60</v>
      </c>
      <c r="K535">
        <v>20.9</v>
      </c>
      <c r="L535">
        <v>2</v>
      </c>
      <c r="M535">
        <f t="shared" si="107"/>
        <v>2</v>
      </c>
      <c r="N535">
        <v>12.4</v>
      </c>
      <c r="O535">
        <f t="shared" si="108"/>
        <v>12.4</v>
      </c>
      <c r="P535">
        <v>15</v>
      </c>
      <c r="Q535">
        <f t="shared" si="109"/>
        <v>15</v>
      </c>
      <c r="R535" t="s">
        <v>24</v>
      </c>
      <c r="S535" t="str">
        <f t="shared" si="110"/>
        <v>Non-Performing</v>
      </c>
      <c r="T535" t="s">
        <v>14</v>
      </c>
      <c r="U535" s="3">
        <f t="shared" si="111"/>
        <v>0.10728662313978254</v>
      </c>
      <c r="V535" t="str">
        <f t="shared" si="112"/>
        <v>Healthy</v>
      </c>
      <c r="W535" t="str">
        <f t="shared" si="113"/>
        <v>Good</v>
      </c>
      <c r="X535" s="5" t="str">
        <f t="shared" si="114"/>
        <v>Medium</v>
      </c>
      <c r="Y535" s="5" t="str">
        <f t="shared" si="115"/>
        <v>Low</v>
      </c>
      <c r="Z535" s="5" t="str">
        <f>IF(B535=120,"NULL",IF(AND(V535="High Stress", W535="High Risk", Y535="Low"),"High Risk : Reject", IF(AND(V535="Healthy", W535="Good",Y535&lt;&gt;"Low"), "Low Risk : Approve", "Medium Risk : Review")))</f>
        <v>Medium Risk : Review</v>
      </c>
      <c r="AA535" s="5" t="str">
        <f t="shared" si="116"/>
        <v>Medium</v>
      </c>
    </row>
    <row r="536" spans="1:27" x14ac:dyDescent="0.2">
      <c r="A536">
        <v>21452</v>
      </c>
      <c r="B536">
        <v>58</v>
      </c>
      <c r="C536">
        <f t="shared" si="104"/>
        <v>58</v>
      </c>
      <c r="D536" t="s">
        <v>12</v>
      </c>
      <c r="E536" t="str">
        <f t="shared" si="105"/>
        <v>Self-Employed</v>
      </c>
      <c r="F536">
        <v>6175.46</v>
      </c>
      <c r="G536">
        <f>ABS(Table1[[#This Row],[Monthly_Income]])</f>
        <v>6175.46</v>
      </c>
      <c r="H536">
        <v>14473.54</v>
      </c>
      <c r="I536" s="5">
        <f t="shared" si="106"/>
        <v>14473.54</v>
      </c>
      <c r="J536">
        <v>24</v>
      </c>
      <c r="K536">
        <v>17.899999999999999</v>
      </c>
      <c r="M536" t="str">
        <f t="shared" si="107"/>
        <v>NULL</v>
      </c>
      <c r="N536">
        <v>7.2</v>
      </c>
      <c r="O536">
        <f t="shared" si="108"/>
        <v>7.2</v>
      </c>
      <c r="Q536" t="str">
        <f t="shared" si="109"/>
        <v>NULL</v>
      </c>
      <c r="R536" t="s">
        <v>13</v>
      </c>
      <c r="S536" t="str">
        <f t="shared" si="110"/>
        <v>Performing</v>
      </c>
      <c r="T536" t="s">
        <v>16</v>
      </c>
      <c r="U536" s="3">
        <f t="shared" si="111"/>
        <v>9.7654938525497156E-2</v>
      </c>
      <c r="V536" t="str">
        <f t="shared" si="112"/>
        <v>Healthy</v>
      </c>
      <c r="W536" t="str">
        <f t="shared" si="113"/>
        <v>NULL</v>
      </c>
      <c r="X536" s="5" t="str">
        <f t="shared" si="114"/>
        <v>Medium</v>
      </c>
      <c r="Y536" s="5" t="str">
        <f t="shared" si="115"/>
        <v>Medium</v>
      </c>
      <c r="Z536" s="5" t="str">
        <f>IF(B536=120,"NULL",IF(AND(V536="High Stress", W536="High Risk", Y536="Low"),"High Risk : Reject", IF(AND(V536="Healthy", W536="Good",Y536&lt;&gt;"Low"), "Low Risk : Approve", "Medium Risk : Review")))</f>
        <v>Medium Risk : Review</v>
      </c>
      <c r="AA536" s="5" t="str">
        <f t="shared" si="116"/>
        <v>Medium</v>
      </c>
    </row>
    <row r="537" spans="1:27" x14ac:dyDescent="0.2">
      <c r="A537">
        <v>21621</v>
      </c>
      <c r="B537">
        <v>39</v>
      </c>
      <c r="C537">
        <f t="shared" si="104"/>
        <v>39</v>
      </c>
      <c r="D537" t="s">
        <v>27</v>
      </c>
      <c r="E537" t="str">
        <f t="shared" si="105"/>
        <v>Unemployed</v>
      </c>
      <c r="F537">
        <v>5355.97</v>
      </c>
      <c r="G537">
        <f>ABS(Table1[[#This Row],[Monthly_Income]])</f>
        <v>5355.97</v>
      </c>
      <c r="H537">
        <v>20767.8</v>
      </c>
      <c r="I537" s="5">
        <f t="shared" si="106"/>
        <v>20767.8</v>
      </c>
      <c r="J537">
        <v>24</v>
      </c>
      <c r="K537">
        <v>21.22</v>
      </c>
      <c r="L537">
        <v>0</v>
      </c>
      <c r="M537">
        <f t="shared" si="107"/>
        <v>0</v>
      </c>
      <c r="N537">
        <v>3.8</v>
      </c>
      <c r="O537">
        <f t="shared" si="108"/>
        <v>3.8</v>
      </c>
      <c r="P537">
        <v>60</v>
      </c>
      <c r="Q537">
        <f t="shared" si="109"/>
        <v>60</v>
      </c>
      <c r="R537" t="s">
        <v>18</v>
      </c>
      <c r="S537" t="str">
        <f t="shared" si="110"/>
        <v>Non-Performing</v>
      </c>
      <c r="T537" t="s">
        <v>16</v>
      </c>
      <c r="U537" s="3">
        <f t="shared" si="111"/>
        <v>0.16156270479483642</v>
      </c>
      <c r="V537" t="str">
        <f t="shared" si="112"/>
        <v>Healthy</v>
      </c>
      <c r="W537" t="str">
        <f t="shared" si="113"/>
        <v>High Risk</v>
      </c>
      <c r="X537" s="5" t="str">
        <f t="shared" si="114"/>
        <v>Medium</v>
      </c>
      <c r="Y537" s="5" t="str">
        <f t="shared" si="115"/>
        <v>Low</v>
      </c>
      <c r="Z537" s="5" t="str">
        <f>IF(B537=120,"NULL",IF(AND(V537="High Stress", W537="High Risk", Y537="Low"),"High Risk : Reject", IF(AND(V537="Healthy", W537="Good",Y537&lt;&gt;"Low"), "Low Risk : Approve", "Medium Risk : Review")))</f>
        <v>Medium Risk : Review</v>
      </c>
      <c r="AA537" s="5" t="str">
        <f t="shared" si="116"/>
        <v>Medium</v>
      </c>
    </row>
    <row r="538" spans="1:27" x14ac:dyDescent="0.2">
      <c r="A538">
        <v>25464</v>
      </c>
      <c r="B538">
        <v>39</v>
      </c>
      <c r="C538">
        <f t="shared" si="104"/>
        <v>39</v>
      </c>
      <c r="D538" t="s">
        <v>23</v>
      </c>
      <c r="E538" t="str">
        <f t="shared" si="105"/>
        <v>Self-Employed</v>
      </c>
      <c r="F538">
        <v>3715.89</v>
      </c>
      <c r="G538">
        <f>ABS(Table1[[#This Row],[Monthly_Income]])</f>
        <v>3715.89</v>
      </c>
      <c r="H538">
        <v>17885.580000000002</v>
      </c>
      <c r="I538" s="5">
        <f t="shared" si="106"/>
        <v>17885.580000000002</v>
      </c>
      <c r="J538">
        <v>36</v>
      </c>
      <c r="K538">
        <v>17.77</v>
      </c>
      <c r="L538">
        <v>0</v>
      </c>
      <c r="M538">
        <f t="shared" si="107"/>
        <v>0</v>
      </c>
      <c r="N538">
        <v>13.4</v>
      </c>
      <c r="O538">
        <f t="shared" si="108"/>
        <v>13.4</v>
      </c>
      <c r="P538">
        <v>15</v>
      </c>
      <c r="Q538">
        <f t="shared" si="109"/>
        <v>15</v>
      </c>
      <c r="R538" t="s">
        <v>18</v>
      </c>
      <c r="S538" t="str">
        <f t="shared" si="110"/>
        <v>Non-Performing</v>
      </c>
      <c r="T538" t="s">
        <v>14</v>
      </c>
      <c r="U538" s="3">
        <f t="shared" si="111"/>
        <v>0.13370193053795099</v>
      </c>
      <c r="V538" t="str">
        <f t="shared" si="112"/>
        <v>Healthy</v>
      </c>
      <c r="W538" t="str">
        <f t="shared" si="113"/>
        <v>Good</v>
      </c>
      <c r="X538" s="5" t="str">
        <f t="shared" si="114"/>
        <v>Medium</v>
      </c>
      <c r="Y538" s="5" t="str">
        <f t="shared" si="115"/>
        <v>Medium</v>
      </c>
      <c r="Z538" s="5" t="str">
        <f>IF(B538=120,"NULL",IF(AND(V538="High Stress", W538="High Risk", Y538="Low"),"High Risk : Reject", IF(AND(V538="Healthy", W538="Good",Y538&lt;&gt;"Low"), "Low Risk : Approve", "Medium Risk : Review")))</f>
        <v>Low Risk : Approve</v>
      </c>
      <c r="AA538" s="5" t="str">
        <f t="shared" si="116"/>
        <v>Medium</v>
      </c>
    </row>
    <row r="539" spans="1:27" x14ac:dyDescent="0.2">
      <c r="A539">
        <v>21844</v>
      </c>
      <c r="B539">
        <v>40</v>
      </c>
      <c r="C539">
        <f t="shared" si="104"/>
        <v>40</v>
      </c>
      <c r="D539" t="s">
        <v>17</v>
      </c>
      <c r="E539" t="str">
        <f t="shared" si="105"/>
        <v>Contract</v>
      </c>
      <c r="F539">
        <v>7536.17</v>
      </c>
      <c r="G539">
        <f>ABS(Table1[[#This Row],[Monthly_Income]])</f>
        <v>7536.17</v>
      </c>
      <c r="H539">
        <v>11094.72</v>
      </c>
      <c r="I539" s="5">
        <f t="shared" si="106"/>
        <v>11094.72</v>
      </c>
      <c r="J539">
        <v>36</v>
      </c>
      <c r="K539">
        <v>23.9</v>
      </c>
      <c r="L539">
        <v>4</v>
      </c>
      <c r="M539">
        <f t="shared" si="107"/>
        <v>4</v>
      </c>
      <c r="N539">
        <v>11</v>
      </c>
      <c r="O539">
        <f t="shared" si="108"/>
        <v>11</v>
      </c>
      <c r="P539">
        <v>60</v>
      </c>
      <c r="Q539">
        <f t="shared" si="109"/>
        <v>60</v>
      </c>
      <c r="R539" t="s">
        <v>15</v>
      </c>
      <c r="S539" t="str">
        <f t="shared" si="110"/>
        <v xml:space="preserve">Performing </v>
      </c>
      <c r="T539" t="s">
        <v>14</v>
      </c>
      <c r="U539" s="3">
        <f t="shared" si="111"/>
        <v>4.0894335805411325E-2</v>
      </c>
      <c r="V539" t="str">
        <f t="shared" si="112"/>
        <v>Healthy</v>
      </c>
      <c r="W539" t="str">
        <f t="shared" si="113"/>
        <v>High Risk</v>
      </c>
      <c r="X539" s="5" t="str">
        <f t="shared" si="114"/>
        <v>Medium</v>
      </c>
      <c r="Y539" s="5" t="str">
        <f t="shared" si="115"/>
        <v>Low</v>
      </c>
      <c r="Z539" s="5" t="str">
        <f>IF(B539=120,"NULL",IF(AND(V539="High Stress", W539="High Risk", Y539="Low"),"High Risk : Reject", IF(AND(V539="Healthy", W539="Good",Y539&lt;&gt;"Low"), "Low Risk : Approve", "Medium Risk : Review")))</f>
        <v>Medium Risk : Review</v>
      </c>
      <c r="AA539" s="5" t="str">
        <f t="shared" si="116"/>
        <v>Medium</v>
      </c>
    </row>
    <row r="540" spans="1:27" x14ac:dyDescent="0.2">
      <c r="A540">
        <v>22340</v>
      </c>
      <c r="B540">
        <v>64</v>
      </c>
      <c r="C540">
        <f t="shared" si="104"/>
        <v>64</v>
      </c>
      <c r="D540" t="s">
        <v>17</v>
      </c>
      <c r="E540" t="str">
        <f t="shared" si="105"/>
        <v>Contract</v>
      </c>
      <c r="F540">
        <v>4277.6899999999996</v>
      </c>
      <c r="G540">
        <f>ABS(Table1[[#This Row],[Monthly_Income]])</f>
        <v>4277.6899999999996</v>
      </c>
      <c r="H540">
        <v>20171.900000000001</v>
      </c>
      <c r="I540" s="5">
        <f t="shared" si="106"/>
        <v>20171.900000000001</v>
      </c>
      <c r="J540">
        <v>18</v>
      </c>
      <c r="K540">
        <v>12.28</v>
      </c>
      <c r="L540">
        <v>1</v>
      </c>
      <c r="M540">
        <f t="shared" si="107"/>
        <v>1</v>
      </c>
      <c r="N540">
        <v>-2</v>
      </c>
      <c r="O540">
        <f t="shared" si="108"/>
        <v>2</v>
      </c>
      <c r="P540">
        <v>60</v>
      </c>
      <c r="Q540">
        <f t="shared" si="109"/>
        <v>60</v>
      </c>
      <c r="R540" t="s">
        <v>24</v>
      </c>
      <c r="S540" t="str">
        <f t="shared" si="110"/>
        <v>Non-Performing</v>
      </c>
      <c r="T540" t="s">
        <v>19</v>
      </c>
      <c r="U540" s="3">
        <f t="shared" si="111"/>
        <v>0.26197810292730683</v>
      </c>
      <c r="V540" t="str">
        <f t="shared" si="112"/>
        <v>Healthy</v>
      </c>
      <c r="W540" t="str">
        <f t="shared" si="113"/>
        <v>High Risk</v>
      </c>
      <c r="X540" s="5" t="str">
        <f t="shared" si="114"/>
        <v>Medium</v>
      </c>
      <c r="Y540" s="5" t="str">
        <f t="shared" si="115"/>
        <v>Low</v>
      </c>
      <c r="Z540" s="5" t="str">
        <f>IF(B540=120,"NULL",IF(AND(V540="High Stress", W540="High Risk", Y540="Low"),"High Risk : Reject", IF(AND(V540="Healthy", W540="Good",Y540&lt;&gt;"Low"), "Low Risk : Approve", "Medium Risk : Review")))</f>
        <v>Medium Risk : Review</v>
      </c>
      <c r="AA540" s="5" t="str">
        <f t="shared" si="116"/>
        <v>Medium</v>
      </c>
    </row>
    <row r="541" spans="1:27" x14ac:dyDescent="0.2">
      <c r="A541">
        <v>21231</v>
      </c>
      <c r="B541">
        <v>57</v>
      </c>
      <c r="C541">
        <f t="shared" si="104"/>
        <v>57</v>
      </c>
      <c r="D541" t="s">
        <v>21</v>
      </c>
      <c r="E541" t="str">
        <f t="shared" si="105"/>
        <v>Salaried</v>
      </c>
      <c r="F541">
        <v>7505.95</v>
      </c>
      <c r="G541">
        <f>ABS(Table1[[#This Row],[Monthly_Income]])</f>
        <v>7505.95</v>
      </c>
      <c r="H541">
        <v>12175.81</v>
      </c>
      <c r="I541" s="5">
        <f t="shared" si="106"/>
        <v>12175.81</v>
      </c>
      <c r="J541">
        <v>24</v>
      </c>
      <c r="K541">
        <v>19.53</v>
      </c>
      <c r="L541">
        <v>0</v>
      </c>
      <c r="M541">
        <f t="shared" si="107"/>
        <v>0</v>
      </c>
      <c r="N541">
        <v>2.9</v>
      </c>
      <c r="O541">
        <f t="shared" si="108"/>
        <v>2.9</v>
      </c>
      <c r="P541">
        <v>15</v>
      </c>
      <c r="Q541">
        <f t="shared" si="109"/>
        <v>15</v>
      </c>
      <c r="R541" t="s">
        <v>18</v>
      </c>
      <c r="S541" t="str">
        <f t="shared" si="110"/>
        <v>Non-Performing</v>
      </c>
      <c r="T541" t="s">
        <v>16</v>
      </c>
      <c r="U541" s="3">
        <f t="shared" si="111"/>
        <v>6.758976767320149E-2</v>
      </c>
      <c r="V541" t="str">
        <f t="shared" si="112"/>
        <v>Healthy</v>
      </c>
      <c r="W541" t="str">
        <f t="shared" si="113"/>
        <v>Good</v>
      </c>
      <c r="X541" s="5" t="str">
        <f t="shared" si="114"/>
        <v>Medium</v>
      </c>
      <c r="Y541" s="5" t="str">
        <f t="shared" si="115"/>
        <v>High</v>
      </c>
      <c r="Z541" s="5" t="str">
        <f>IF(B541=120,"NULL",IF(AND(V541="High Stress", W541="High Risk", Y541="Low"),"High Risk : Reject", IF(AND(V541="Healthy", W541="Good",Y541&lt;&gt;"Low"), "Low Risk : Approve", "Medium Risk : Review")))</f>
        <v>Low Risk : Approve</v>
      </c>
      <c r="AA541" s="5" t="str">
        <f t="shared" si="116"/>
        <v>Medium</v>
      </c>
    </row>
    <row r="542" spans="1:27" x14ac:dyDescent="0.2">
      <c r="A542">
        <v>20629</v>
      </c>
      <c r="B542">
        <v>45</v>
      </c>
      <c r="C542">
        <f t="shared" si="104"/>
        <v>45</v>
      </c>
      <c r="D542" t="s">
        <v>17</v>
      </c>
      <c r="E542" t="str">
        <f t="shared" si="105"/>
        <v>Contract</v>
      </c>
      <c r="F542">
        <v>1080.23</v>
      </c>
      <c r="G542">
        <f>ABS(Table1[[#This Row],[Monthly_Income]])</f>
        <v>1080.23</v>
      </c>
      <c r="H542">
        <v>27755.63</v>
      </c>
      <c r="I542" s="5">
        <f t="shared" si="106"/>
        <v>27755.63</v>
      </c>
      <c r="J542">
        <v>48</v>
      </c>
      <c r="K542">
        <v>18.989999999999998</v>
      </c>
      <c r="M542" t="str">
        <f t="shared" si="107"/>
        <v>NULL</v>
      </c>
      <c r="N542">
        <v>12.2</v>
      </c>
      <c r="O542">
        <f t="shared" si="108"/>
        <v>12.2</v>
      </c>
      <c r="P542">
        <v>120</v>
      </c>
      <c r="Q542">
        <f t="shared" si="109"/>
        <v>120</v>
      </c>
      <c r="R542" t="s">
        <v>18</v>
      </c>
      <c r="S542" t="str">
        <f t="shared" si="110"/>
        <v>Non-Performing</v>
      </c>
      <c r="T542" t="s">
        <v>22</v>
      </c>
      <c r="U542" s="3">
        <f t="shared" si="111"/>
        <v>0.53529553119860274</v>
      </c>
      <c r="V542" t="str">
        <f t="shared" si="112"/>
        <v>High Stress</v>
      </c>
      <c r="W542" t="str">
        <f t="shared" si="113"/>
        <v>High Risk</v>
      </c>
      <c r="X542" s="5" t="str">
        <f t="shared" si="114"/>
        <v>Medium</v>
      </c>
      <c r="Y542" s="5" t="str">
        <f t="shared" si="115"/>
        <v>Low</v>
      </c>
      <c r="Z542" s="5" t="str">
        <f>IF(B542=120,"NULL",IF(AND(V542="High Stress", W542="High Risk", Y542="Low"),"High Risk : Reject", IF(AND(V542="Healthy", W542="Good",Y542&lt;&gt;"Low"), "Low Risk : Approve", "Medium Risk : Review")))</f>
        <v>High Risk : Reject</v>
      </c>
      <c r="AA542" s="5" t="str">
        <f t="shared" si="116"/>
        <v>Low</v>
      </c>
    </row>
    <row r="543" spans="1:27" x14ac:dyDescent="0.2">
      <c r="A543">
        <v>22650</v>
      </c>
      <c r="B543">
        <v>52</v>
      </c>
      <c r="C543">
        <f t="shared" si="104"/>
        <v>52</v>
      </c>
      <c r="D543" t="s">
        <v>26</v>
      </c>
      <c r="E543" t="str">
        <f t="shared" si="105"/>
        <v>Salaried</v>
      </c>
      <c r="F543">
        <v>6425.99</v>
      </c>
      <c r="G543">
        <f>ABS(Table1[[#This Row],[Monthly_Income]])</f>
        <v>6425.99</v>
      </c>
      <c r="H543">
        <v>15853.81</v>
      </c>
      <c r="I543" s="5">
        <f t="shared" si="106"/>
        <v>15853.81</v>
      </c>
      <c r="J543">
        <v>12</v>
      </c>
      <c r="K543">
        <v>19.8</v>
      </c>
      <c r="L543">
        <v>2</v>
      </c>
      <c r="M543">
        <f t="shared" si="107"/>
        <v>2</v>
      </c>
      <c r="N543">
        <v>9.8000000000000007</v>
      </c>
      <c r="O543">
        <f t="shared" si="108"/>
        <v>9.8000000000000007</v>
      </c>
      <c r="P543">
        <v>30</v>
      </c>
      <c r="Q543">
        <f t="shared" si="109"/>
        <v>30</v>
      </c>
      <c r="R543" t="s">
        <v>15</v>
      </c>
      <c r="S543" t="str">
        <f t="shared" si="110"/>
        <v xml:space="preserve">Performing </v>
      </c>
      <c r="T543" t="s">
        <v>16</v>
      </c>
      <c r="U543" s="3">
        <f t="shared" si="111"/>
        <v>0.20559490963000771</v>
      </c>
      <c r="V543" t="str">
        <f t="shared" si="112"/>
        <v>Healthy</v>
      </c>
      <c r="W543" t="str">
        <f t="shared" si="113"/>
        <v>At Risk</v>
      </c>
      <c r="X543" s="5" t="str">
        <f t="shared" si="114"/>
        <v>Medium</v>
      </c>
      <c r="Y543" s="5" t="str">
        <f t="shared" si="115"/>
        <v>High</v>
      </c>
      <c r="Z543" s="5" t="str">
        <f>IF(B543=120,"NULL",IF(AND(V543="High Stress", W543="High Risk", Y543="Low"),"High Risk : Reject", IF(AND(V543="Healthy", W543="Good",Y543&lt;&gt;"Low"), "Low Risk : Approve", "Medium Risk : Review")))</f>
        <v>Medium Risk : Review</v>
      </c>
      <c r="AA543" s="5" t="str">
        <f t="shared" si="116"/>
        <v>Medium</v>
      </c>
    </row>
    <row r="544" spans="1:27" x14ac:dyDescent="0.2">
      <c r="A544">
        <v>23190</v>
      </c>
      <c r="B544">
        <v>21</v>
      </c>
      <c r="C544">
        <f t="shared" si="104"/>
        <v>21</v>
      </c>
      <c r="D544" t="s">
        <v>23</v>
      </c>
      <c r="E544" t="str">
        <f t="shared" si="105"/>
        <v>Self-Employed</v>
      </c>
      <c r="F544">
        <v>2986.44</v>
      </c>
      <c r="G544">
        <f>ABS(Table1[[#This Row],[Monthly_Income]])</f>
        <v>2986.44</v>
      </c>
      <c r="H544">
        <v>9441.2199999999993</v>
      </c>
      <c r="I544" s="5">
        <f t="shared" si="106"/>
        <v>9441.2199999999993</v>
      </c>
      <c r="J544">
        <v>24</v>
      </c>
      <c r="K544">
        <v>18.93</v>
      </c>
      <c r="L544">
        <v>2</v>
      </c>
      <c r="M544">
        <f t="shared" si="107"/>
        <v>2</v>
      </c>
      <c r="N544">
        <v>10.7</v>
      </c>
      <c r="O544">
        <f t="shared" si="108"/>
        <v>10.7</v>
      </c>
      <c r="Q544" t="str">
        <f t="shared" si="109"/>
        <v>NULL</v>
      </c>
      <c r="R544" t="s">
        <v>13</v>
      </c>
      <c r="S544" t="str">
        <f t="shared" si="110"/>
        <v>Performing</v>
      </c>
      <c r="T544" t="s">
        <v>25</v>
      </c>
      <c r="U544" s="3">
        <f t="shared" si="111"/>
        <v>0.1317234455293482</v>
      </c>
      <c r="V544" t="str">
        <f t="shared" si="112"/>
        <v>Healthy</v>
      </c>
      <c r="W544" t="str">
        <f t="shared" si="113"/>
        <v>NULL</v>
      </c>
      <c r="X544" s="5" t="str">
        <f t="shared" si="114"/>
        <v>Small</v>
      </c>
      <c r="Y544" s="5" t="str">
        <f t="shared" si="115"/>
        <v>Medium</v>
      </c>
      <c r="Z544" s="5" t="str">
        <f>IF(B544=120,"NULL",IF(AND(V544="High Stress", W544="High Risk", Y544="Low"),"High Risk : Reject", IF(AND(V544="Healthy", W544="Good",Y544&lt;&gt;"Low"), "Low Risk : Approve", "Medium Risk : Review")))</f>
        <v>Medium Risk : Review</v>
      </c>
      <c r="AA544" s="5" t="str">
        <f t="shared" si="116"/>
        <v>Medium</v>
      </c>
    </row>
    <row r="545" spans="1:27" x14ac:dyDescent="0.2">
      <c r="A545">
        <v>21726</v>
      </c>
      <c r="B545">
        <v>58</v>
      </c>
      <c r="C545">
        <f t="shared" si="104"/>
        <v>58</v>
      </c>
      <c r="D545" t="s">
        <v>12</v>
      </c>
      <c r="E545" t="str">
        <f t="shared" si="105"/>
        <v>Self-Employed</v>
      </c>
      <c r="F545">
        <v>6502.08</v>
      </c>
      <c r="G545">
        <f>ABS(Table1[[#This Row],[Monthly_Income]])</f>
        <v>6502.08</v>
      </c>
      <c r="H545">
        <v>22727.279999999999</v>
      </c>
      <c r="I545" s="5">
        <f t="shared" si="106"/>
        <v>22727.279999999999</v>
      </c>
      <c r="J545">
        <v>6</v>
      </c>
      <c r="K545">
        <v>18.760000000000002</v>
      </c>
      <c r="L545">
        <v>3</v>
      </c>
      <c r="M545">
        <f t="shared" si="107"/>
        <v>3</v>
      </c>
      <c r="N545">
        <v>2.2000000000000002</v>
      </c>
      <c r="O545">
        <f t="shared" si="108"/>
        <v>2.2000000000000002</v>
      </c>
      <c r="P545">
        <v>15</v>
      </c>
      <c r="Q545">
        <f t="shared" si="109"/>
        <v>15</v>
      </c>
      <c r="R545" t="s">
        <v>13</v>
      </c>
      <c r="S545" t="str">
        <f t="shared" si="110"/>
        <v>Performing</v>
      </c>
      <c r="T545" t="s">
        <v>25</v>
      </c>
      <c r="U545" s="3">
        <f t="shared" si="111"/>
        <v>0.5825643486392047</v>
      </c>
      <c r="V545" t="str">
        <f t="shared" si="112"/>
        <v>High Stress</v>
      </c>
      <c r="W545" t="str">
        <f t="shared" si="113"/>
        <v>Good</v>
      </c>
      <c r="X545" s="5" t="str">
        <f t="shared" si="114"/>
        <v>Medium</v>
      </c>
      <c r="Y545" s="5" t="str">
        <f t="shared" si="115"/>
        <v>Medium</v>
      </c>
      <c r="Z545" s="5" t="str">
        <f>IF(B545=120,"NULL",IF(AND(V545="High Stress", W545="High Risk", Y545="Low"),"High Risk : Reject", IF(AND(V545="Healthy", W545="Good",Y545&lt;&gt;"Low"), "Low Risk : Approve", "Medium Risk : Review")))</f>
        <v>Medium Risk : Review</v>
      </c>
      <c r="AA545" s="5" t="str">
        <f t="shared" si="116"/>
        <v>Medium</v>
      </c>
    </row>
    <row r="546" spans="1:27" x14ac:dyDescent="0.2">
      <c r="A546">
        <v>20794</v>
      </c>
      <c r="B546">
        <v>36</v>
      </c>
      <c r="C546">
        <f t="shared" si="104"/>
        <v>36</v>
      </c>
      <c r="D546" t="s">
        <v>23</v>
      </c>
      <c r="E546" t="str">
        <f t="shared" si="105"/>
        <v>Self-Employed</v>
      </c>
      <c r="F546">
        <v>5630.64</v>
      </c>
      <c r="G546">
        <f>ABS(Table1[[#This Row],[Monthly_Income]])</f>
        <v>5630.64</v>
      </c>
      <c r="H546">
        <v>31980.82</v>
      </c>
      <c r="I546" s="5">
        <f t="shared" si="106"/>
        <v>31980.82</v>
      </c>
      <c r="J546">
        <v>48</v>
      </c>
      <c r="K546">
        <v>19.63</v>
      </c>
      <c r="M546" t="str">
        <f t="shared" si="107"/>
        <v>NULL</v>
      </c>
      <c r="N546">
        <v>2.4</v>
      </c>
      <c r="O546">
        <f t="shared" si="108"/>
        <v>2.4</v>
      </c>
      <c r="P546">
        <v>120</v>
      </c>
      <c r="Q546">
        <f t="shared" si="109"/>
        <v>120</v>
      </c>
      <c r="R546" t="s">
        <v>15</v>
      </c>
      <c r="S546" t="str">
        <f t="shared" si="110"/>
        <v xml:space="preserve">Performing </v>
      </c>
      <c r="T546" t="s">
        <v>19</v>
      </c>
      <c r="U546" s="3">
        <f t="shared" si="111"/>
        <v>0.11832883710081504</v>
      </c>
      <c r="V546" t="str">
        <f t="shared" si="112"/>
        <v>Healthy</v>
      </c>
      <c r="W546" t="str">
        <f t="shared" si="113"/>
        <v>High Risk</v>
      </c>
      <c r="X546" s="5" t="str">
        <f t="shared" si="114"/>
        <v>High</v>
      </c>
      <c r="Y546" s="5" t="str">
        <f t="shared" si="115"/>
        <v>Medium</v>
      </c>
      <c r="Z546" s="5" t="str">
        <f>IF(B546=120,"NULL",IF(AND(V546="High Stress", W546="High Risk", Y546="Low"),"High Risk : Reject", IF(AND(V546="Healthy", W546="Good",Y546&lt;&gt;"Low"), "Low Risk : Approve", "Medium Risk : Review")))</f>
        <v>Medium Risk : Review</v>
      </c>
      <c r="AA546" s="5" t="str">
        <f t="shared" si="116"/>
        <v>Medium</v>
      </c>
    </row>
    <row r="547" spans="1:27" x14ac:dyDescent="0.2">
      <c r="A547">
        <v>24639</v>
      </c>
      <c r="B547">
        <v>59</v>
      </c>
      <c r="C547">
        <f t="shared" si="104"/>
        <v>59</v>
      </c>
      <c r="D547" t="s">
        <v>23</v>
      </c>
      <c r="E547" t="str">
        <f t="shared" si="105"/>
        <v>Self-Employed</v>
      </c>
      <c r="F547">
        <v>5121.6499999999996</v>
      </c>
      <c r="G547">
        <f>ABS(Table1[[#This Row],[Monthly_Income]])</f>
        <v>5121.6499999999996</v>
      </c>
      <c r="H547">
        <v>17988.32</v>
      </c>
      <c r="I547" s="5">
        <f t="shared" si="106"/>
        <v>17988.32</v>
      </c>
      <c r="J547">
        <v>60</v>
      </c>
      <c r="K547">
        <v>18.18</v>
      </c>
      <c r="L547">
        <v>0</v>
      </c>
      <c r="M547">
        <f t="shared" si="107"/>
        <v>0</v>
      </c>
      <c r="N547">
        <v>6.6</v>
      </c>
      <c r="O547">
        <f t="shared" si="108"/>
        <v>6.6</v>
      </c>
      <c r="P547">
        <v>90</v>
      </c>
      <c r="Q547">
        <f t="shared" si="109"/>
        <v>90</v>
      </c>
      <c r="R547" t="s">
        <v>13</v>
      </c>
      <c r="S547" t="str">
        <f t="shared" si="110"/>
        <v>Performing</v>
      </c>
      <c r="T547" t="s">
        <v>25</v>
      </c>
      <c r="U547" s="3">
        <f t="shared" si="111"/>
        <v>5.8536864747363318E-2</v>
      </c>
      <c r="V547" t="str">
        <f t="shared" si="112"/>
        <v>Healthy</v>
      </c>
      <c r="W547" t="str">
        <f t="shared" si="113"/>
        <v>High Risk</v>
      </c>
      <c r="X547" s="5" t="str">
        <f t="shared" si="114"/>
        <v>Medium</v>
      </c>
      <c r="Y547" s="5" t="str">
        <f t="shared" si="115"/>
        <v>Medium</v>
      </c>
      <c r="Z547" s="5" t="str">
        <f>IF(B547=120,"NULL",IF(AND(V547="High Stress", W547="High Risk", Y547="Low"),"High Risk : Reject", IF(AND(V547="Healthy", W547="Good",Y547&lt;&gt;"Low"), "Low Risk : Approve", "Medium Risk : Review")))</f>
        <v>Medium Risk : Review</v>
      </c>
      <c r="AA547" s="5" t="str">
        <f t="shared" si="116"/>
        <v>Medium</v>
      </c>
    </row>
    <row r="548" spans="1:27" x14ac:dyDescent="0.2">
      <c r="A548">
        <v>25227</v>
      </c>
      <c r="B548">
        <v>55</v>
      </c>
      <c r="C548">
        <f t="shared" si="104"/>
        <v>55</v>
      </c>
      <c r="D548" t="s">
        <v>23</v>
      </c>
      <c r="E548" t="str">
        <f t="shared" si="105"/>
        <v>Self-Employed</v>
      </c>
      <c r="F548">
        <v>7398.88</v>
      </c>
      <c r="G548">
        <f>ABS(Table1[[#This Row],[Monthly_Income]])</f>
        <v>7398.88</v>
      </c>
      <c r="H548">
        <v>12847.55</v>
      </c>
      <c r="I548" s="5">
        <f t="shared" si="106"/>
        <v>12847.55</v>
      </c>
      <c r="J548">
        <v>36</v>
      </c>
      <c r="K548">
        <v>14.54</v>
      </c>
      <c r="L548">
        <v>1</v>
      </c>
      <c r="M548">
        <f t="shared" si="107"/>
        <v>1</v>
      </c>
      <c r="N548">
        <v>7.4</v>
      </c>
      <c r="O548">
        <f t="shared" si="108"/>
        <v>7.4</v>
      </c>
      <c r="P548">
        <v>90</v>
      </c>
      <c r="Q548">
        <f t="shared" si="109"/>
        <v>90</v>
      </c>
      <c r="R548" t="s">
        <v>20</v>
      </c>
      <c r="S548" t="str">
        <f t="shared" si="110"/>
        <v>Written Off</v>
      </c>
      <c r="T548" t="s">
        <v>19</v>
      </c>
      <c r="U548" s="3">
        <f t="shared" si="111"/>
        <v>4.8233839295797318E-2</v>
      </c>
      <c r="V548" t="str">
        <f t="shared" si="112"/>
        <v>Healthy</v>
      </c>
      <c r="W548" t="str">
        <f t="shared" si="113"/>
        <v>High Risk</v>
      </c>
      <c r="X548" s="5" t="str">
        <f t="shared" si="114"/>
        <v>Medium</v>
      </c>
      <c r="Y548" s="5" t="str">
        <f t="shared" si="115"/>
        <v>Medium</v>
      </c>
      <c r="Z548" s="5" t="str">
        <f>IF(B548=120,"NULL",IF(AND(V548="High Stress", W548="High Risk", Y548="Low"),"High Risk : Reject", IF(AND(V548="Healthy", W548="Good",Y548&lt;&gt;"Low"), "Low Risk : Approve", "Medium Risk : Review")))</f>
        <v>Medium Risk : Review</v>
      </c>
      <c r="AA548" s="5" t="str">
        <f t="shared" si="116"/>
        <v>Medium</v>
      </c>
    </row>
    <row r="549" spans="1:27" x14ac:dyDescent="0.2">
      <c r="A549">
        <v>22637</v>
      </c>
      <c r="B549">
        <v>26</v>
      </c>
      <c r="C549">
        <f t="shared" si="104"/>
        <v>26</v>
      </c>
      <c r="D549" t="s">
        <v>23</v>
      </c>
      <c r="E549" t="str">
        <f t="shared" si="105"/>
        <v>Self-Employed</v>
      </c>
      <c r="F549">
        <v>5173.7299999999996</v>
      </c>
      <c r="G549">
        <f>ABS(Table1[[#This Row],[Monthly_Income]])</f>
        <v>5173.7299999999996</v>
      </c>
      <c r="H549">
        <v>27615.38</v>
      </c>
      <c r="I549" s="5">
        <f t="shared" si="106"/>
        <v>27615.38</v>
      </c>
      <c r="J549">
        <v>6</v>
      </c>
      <c r="K549">
        <v>13.43</v>
      </c>
      <c r="L549">
        <v>0</v>
      </c>
      <c r="M549">
        <f t="shared" si="107"/>
        <v>0</v>
      </c>
      <c r="N549">
        <v>17.100000000000001</v>
      </c>
      <c r="O549">
        <f t="shared" si="108"/>
        <v>17.100000000000001</v>
      </c>
      <c r="Q549" t="str">
        <f t="shared" si="109"/>
        <v>NULL</v>
      </c>
      <c r="R549" t="s">
        <v>20</v>
      </c>
      <c r="S549" t="str">
        <f t="shared" si="110"/>
        <v>Written Off</v>
      </c>
      <c r="T549" t="s">
        <v>19</v>
      </c>
      <c r="U549" s="3">
        <f t="shared" si="111"/>
        <v>0.88960253691888325</v>
      </c>
      <c r="V549" t="str">
        <f t="shared" si="112"/>
        <v>High Stress</v>
      </c>
      <c r="W549" t="str">
        <f t="shared" si="113"/>
        <v>NULL</v>
      </c>
      <c r="X549" s="5" t="str">
        <f t="shared" si="114"/>
        <v>Medium</v>
      </c>
      <c r="Y549" s="5" t="str">
        <f t="shared" si="115"/>
        <v>Medium</v>
      </c>
      <c r="Z549" s="5" t="str">
        <f>IF(B549=120,"NULL",IF(AND(V549="High Stress", W549="High Risk", Y549="Low"),"High Risk : Reject", IF(AND(V549="Healthy", W549="Good",Y549&lt;&gt;"Low"), "Low Risk : Approve", "Medium Risk : Review")))</f>
        <v>Medium Risk : Review</v>
      </c>
      <c r="AA549" s="5" t="str">
        <f t="shared" si="116"/>
        <v>Medium</v>
      </c>
    </row>
    <row r="550" spans="1:27" x14ac:dyDescent="0.2">
      <c r="A550">
        <v>24015</v>
      </c>
      <c r="B550">
        <v>61</v>
      </c>
      <c r="C550">
        <f t="shared" si="104"/>
        <v>61</v>
      </c>
      <c r="D550" t="s">
        <v>23</v>
      </c>
      <c r="E550" t="str">
        <f t="shared" si="105"/>
        <v>Self-Employed</v>
      </c>
      <c r="F550">
        <v>8756.69</v>
      </c>
      <c r="G550">
        <f>ABS(Table1[[#This Row],[Monthly_Income]])</f>
        <v>8756.69</v>
      </c>
      <c r="H550">
        <v>22626.720000000001</v>
      </c>
      <c r="I550" s="5">
        <f t="shared" si="106"/>
        <v>22626.720000000001</v>
      </c>
      <c r="J550">
        <v>24</v>
      </c>
      <c r="K550">
        <v>21.93</v>
      </c>
      <c r="L550">
        <v>2</v>
      </c>
      <c r="M550">
        <f t="shared" si="107"/>
        <v>2</v>
      </c>
      <c r="N550">
        <v>8.1999999999999993</v>
      </c>
      <c r="O550">
        <f t="shared" si="108"/>
        <v>8.1999999999999993</v>
      </c>
      <c r="P550">
        <v>0</v>
      </c>
      <c r="Q550">
        <f t="shared" si="109"/>
        <v>0</v>
      </c>
      <c r="R550" t="s">
        <v>15</v>
      </c>
      <c r="S550" t="str">
        <f t="shared" si="110"/>
        <v xml:space="preserve">Performing </v>
      </c>
      <c r="T550" t="s">
        <v>16</v>
      </c>
      <c r="U550" s="3">
        <f t="shared" si="111"/>
        <v>0.10766396891976307</v>
      </c>
      <c r="V550" t="str">
        <f t="shared" si="112"/>
        <v>Healthy</v>
      </c>
      <c r="W550" t="str">
        <f t="shared" si="113"/>
        <v>Good</v>
      </c>
      <c r="X550" s="5" t="str">
        <f t="shared" si="114"/>
        <v>Medium</v>
      </c>
      <c r="Y550" s="5" t="str">
        <f t="shared" si="115"/>
        <v>Medium</v>
      </c>
      <c r="Z550" s="5" t="str">
        <f>IF(B550=120,"NULL",IF(AND(V550="High Stress", W550="High Risk", Y550="Low"),"High Risk : Reject", IF(AND(V550="Healthy", W550="Good",Y550&lt;&gt;"Low"), "Low Risk : Approve", "Medium Risk : Review")))</f>
        <v>Low Risk : Approve</v>
      </c>
      <c r="AA550" s="5" t="str">
        <f t="shared" si="116"/>
        <v>High</v>
      </c>
    </row>
    <row r="551" spans="1:27" x14ac:dyDescent="0.2">
      <c r="A551">
        <v>23928</v>
      </c>
      <c r="B551">
        <v>61</v>
      </c>
      <c r="C551">
        <f t="shared" si="104"/>
        <v>61</v>
      </c>
      <c r="D551" t="s">
        <v>23</v>
      </c>
      <c r="E551" t="str">
        <f t="shared" si="105"/>
        <v>Self-Employed</v>
      </c>
      <c r="F551">
        <v>-1500</v>
      </c>
      <c r="G551">
        <f>ABS(Table1[[#This Row],[Monthly_Income]])</f>
        <v>1500</v>
      </c>
      <c r="H551">
        <v>30136.38</v>
      </c>
      <c r="I551" s="5">
        <f t="shared" si="106"/>
        <v>30136.38</v>
      </c>
      <c r="J551">
        <v>6</v>
      </c>
      <c r="K551">
        <v>14.75</v>
      </c>
      <c r="L551">
        <v>3</v>
      </c>
      <c r="M551">
        <f t="shared" si="107"/>
        <v>3</v>
      </c>
      <c r="N551">
        <v>9.4</v>
      </c>
      <c r="O551">
        <f t="shared" si="108"/>
        <v>9.4</v>
      </c>
      <c r="P551">
        <v>0</v>
      </c>
      <c r="Q551">
        <f t="shared" si="109"/>
        <v>0</v>
      </c>
      <c r="R551" t="s">
        <v>13</v>
      </c>
      <c r="S551" t="str">
        <f t="shared" si="110"/>
        <v>Performing</v>
      </c>
      <c r="T551" t="s">
        <v>19</v>
      </c>
      <c r="U551" s="3">
        <f t="shared" si="111"/>
        <v>3.3484866666666666</v>
      </c>
      <c r="V551" t="str">
        <f t="shared" si="112"/>
        <v>High Stress</v>
      </c>
      <c r="W551" t="str">
        <f t="shared" si="113"/>
        <v>Good</v>
      </c>
      <c r="X551" s="5" t="str">
        <f t="shared" si="114"/>
        <v>High</v>
      </c>
      <c r="Y551" s="5" t="str">
        <f t="shared" si="115"/>
        <v>Medium</v>
      </c>
      <c r="Z551" s="5" t="str">
        <f>IF(B551=120,"NULL",IF(AND(V551="High Stress", W551="High Risk", Y551="Low"),"High Risk : Reject", IF(AND(V551="Healthy", W551="Good",Y551&lt;&gt;"Low"), "Low Risk : Approve", "Medium Risk : Review")))</f>
        <v>Medium Risk : Review</v>
      </c>
      <c r="AA551" s="5" t="str">
        <f t="shared" si="116"/>
        <v>Low</v>
      </c>
    </row>
    <row r="552" spans="1:27" x14ac:dyDescent="0.2">
      <c r="A552">
        <v>25991</v>
      </c>
      <c r="B552">
        <v>75</v>
      </c>
      <c r="C552">
        <f t="shared" si="104"/>
        <v>75</v>
      </c>
      <c r="D552" t="s">
        <v>27</v>
      </c>
      <c r="E552" t="str">
        <f t="shared" si="105"/>
        <v>Unemployed</v>
      </c>
      <c r="F552">
        <v>2282.1999999999998</v>
      </c>
      <c r="G552">
        <f>ABS(Table1[[#This Row],[Monthly_Income]])</f>
        <v>2282.1999999999998</v>
      </c>
      <c r="H552">
        <v>15086.56</v>
      </c>
      <c r="I552" s="5">
        <f t="shared" si="106"/>
        <v>15086.56</v>
      </c>
      <c r="J552">
        <v>60</v>
      </c>
      <c r="K552">
        <v>13.15</v>
      </c>
      <c r="M552" t="str">
        <f t="shared" si="107"/>
        <v>NULL</v>
      </c>
      <c r="N552">
        <v>4.5999999999999996</v>
      </c>
      <c r="O552">
        <f t="shared" si="108"/>
        <v>4.5999999999999996</v>
      </c>
      <c r="P552">
        <v>120</v>
      </c>
      <c r="Q552">
        <f t="shared" si="109"/>
        <v>120</v>
      </c>
      <c r="R552" t="s">
        <v>18</v>
      </c>
      <c r="S552" t="str">
        <f t="shared" si="110"/>
        <v>Non-Performing</v>
      </c>
      <c r="T552" t="s">
        <v>19</v>
      </c>
      <c r="U552" s="3">
        <f t="shared" si="111"/>
        <v>0.11017556159261531</v>
      </c>
      <c r="V552" t="str">
        <f t="shared" si="112"/>
        <v>Healthy</v>
      </c>
      <c r="W552" t="str">
        <f t="shared" si="113"/>
        <v>High Risk</v>
      </c>
      <c r="X552" s="5" t="str">
        <f t="shared" si="114"/>
        <v>Medium</v>
      </c>
      <c r="Y552" s="5" t="str">
        <f t="shared" si="115"/>
        <v>Low</v>
      </c>
      <c r="Z552" s="5" t="str">
        <f>IF(B552=120,"NULL",IF(AND(V552="High Stress", W552="High Risk", Y552="Low"),"High Risk : Reject", IF(AND(V552="Healthy", W552="Good",Y552&lt;&gt;"Low"), "Low Risk : Approve", "Medium Risk : Review")))</f>
        <v>Medium Risk : Review</v>
      </c>
      <c r="AA552" s="5" t="str">
        <f t="shared" si="116"/>
        <v>Medium</v>
      </c>
    </row>
    <row r="553" spans="1:27" x14ac:dyDescent="0.2">
      <c r="A553">
        <v>24858</v>
      </c>
      <c r="B553">
        <v>50</v>
      </c>
      <c r="C553">
        <f t="shared" si="104"/>
        <v>50</v>
      </c>
      <c r="D553" t="s">
        <v>27</v>
      </c>
      <c r="E553" t="str">
        <f t="shared" si="105"/>
        <v>Unemployed</v>
      </c>
      <c r="F553">
        <v>1101.73</v>
      </c>
      <c r="G553">
        <f>ABS(Table1[[#This Row],[Monthly_Income]])</f>
        <v>1101.73</v>
      </c>
      <c r="H553">
        <v>30211.94</v>
      </c>
      <c r="I553" s="5">
        <f t="shared" si="106"/>
        <v>30211.94</v>
      </c>
      <c r="J553">
        <v>24</v>
      </c>
      <c r="K553">
        <v>19.899999999999999</v>
      </c>
      <c r="L553">
        <v>2</v>
      </c>
      <c r="M553">
        <f t="shared" si="107"/>
        <v>2</v>
      </c>
      <c r="N553">
        <v>10</v>
      </c>
      <c r="O553">
        <f t="shared" si="108"/>
        <v>10</v>
      </c>
      <c r="P553">
        <v>0</v>
      </c>
      <c r="Q553">
        <f t="shared" si="109"/>
        <v>0</v>
      </c>
      <c r="R553" t="s">
        <v>15</v>
      </c>
      <c r="S553" t="str">
        <f t="shared" si="110"/>
        <v xml:space="preserve">Performing </v>
      </c>
      <c r="T553" t="s">
        <v>19</v>
      </c>
      <c r="U553" s="3">
        <f t="shared" si="111"/>
        <v>1.142594676856701</v>
      </c>
      <c r="V553" t="str">
        <f t="shared" si="112"/>
        <v>High Stress</v>
      </c>
      <c r="W553" t="str">
        <f t="shared" si="113"/>
        <v>Good</v>
      </c>
      <c r="X553" s="5" t="str">
        <f t="shared" si="114"/>
        <v>High</v>
      </c>
      <c r="Y553" s="5" t="str">
        <f t="shared" si="115"/>
        <v>Low</v>
      </c>
      <c r="Z553" s="5" t="str">
        <f>IF(B553=120,"NULL",IF(AND(V553="High Stress", W553="High Risk", Y553="Low"),"High Risk : Reject", IF(AND(V553="Healthy", W553="Good",Y553&lt;&gt;"Low"), "Low Risk : Approve", "Medium Risk : Review")))</f>
        <v>Medium Risk : Review</v>
      </c>
      <c r="AA553" s="5" t="str">
        <f t="shared" si="116"/>
        <v>Low</v>
      </c>
    </row>
    <row r="554" spans="1:27" x14ac:dyDescent="0.2">
      <c r="A554">
        <v>20249</v>
      </c>
      <c r="B554">
        <v>31</v>
      </c>
      <c r="C554">
        <f t="shared" si="104"/>
        <v>31</v>
      </c>
      <c r="D554" t="s">
        <v>21</v>
      </c>
      <c r="E554" t="str">
        <f t="shared" si="105"/>
        <v>Salaried</v>
      </c>
      <c r="F554">
        <v>6208.45</v>
      </c>
      <c r="G554">
        <f>ABS(Table1[[#This Row],[Monthly_Income]])</f>
        <v>6208.45</v>
      </c>
      <c r="H554">
        <v>17013.099999999999</v>
      </c>
      <c r="I554" s="5">
        <f t="shared" si="106"/>
        <v>17013.099999999999</v>
      </c>
      <c r="J554">
        <v>36</v>
      </c>
      <c r="K554">
        <v>15.18</v>
      </c>
      <c r="L554">
        <v>2</v>
      </c>
      <c r="M554">
        <f t="shared" si="107"/>
        <v>2</v>
      </c>
      <c r="N554">
        <v>8.3000000000000007</v>
      </c>
      <c r="O554">
        <f t="shared" si="108"/>
        <v>8.3000000000000007</v>
      </c>
      <c r="P554">
        <v>120</v>
      </c>
      <c r="Q554">
        <f t="shared" si="109"/>
        <v>120</v>
      </c>
      <c r="R554" t="s">
        <v>15</v>
      </c>
      <c r="S554" t="str">
        <f t="shared" si="110"/>
        <v xml:space="preserve">Performing </v>
      </c>
      <c r="T554" t="s">
        <v>14</v>
      </c>
      <c r="U554" s="3">
        <f t="shared" si="111"/>
        <v>7.6119822356805825E-2</v>
      </c>
      <c r="V554" t="str">
        <f t="shared" si="112"/>
        <v>Healthy</v>
      </c>
      <c r="W554" t="str">
        <f t="shared" si="113"/>
        <v>High Risk</v>
      </c>
      <c r="X554" s="5" t="str">
        <f t="shared" si="114"/>
        <v>Medium</v>
      </c>
      <c r="Y554" s="5" t="str">
        <f t="shared" si="115"/>
        <v>High</v>
      </c>
      <c r="Z554" s="5" t="str">
        <f>IF(B554=120,"NULL",IF(AND(V554="High Stress", W554="High Risk", Y554="Low"),"High Risk : Reject", IF(AND(V554="Healthy", W554="Good",Y554&lt;&gt;"Low"), "Low Risk : Approve", "Medium Risk : Review")))</f>
        <v>Medium Risk : Review</v>
      </c>
      <c r="AA554" s="5" t="str">
        <f t="shared" si="116"/>
        <v>Medium</v>
      </c>
    </row>
    <row r="555" spans="1:27" x14ac:dyDescent="0.2">
      <c r="A555">
        <v>20444</v>
      </c>
      <c r="B555">
        <v>50</v>
      </c>
      <c r="C555">
        <f t="shared" si="104"/>
        <v>50</v>
      </c>
      <c r="D555" t="s">
        <v>27</v>
      </c>
      <c r="E555" t="str">
        <f t="shared" si="105"/>
        <v>Unemployed</v>
      </c>
      <c r="F555">
        <v>3625.09</v>
      </c>
      <c r="G555">
        <f>ABS(Table1[[#This Row],[Monthly_Income]])</f>
        <v>3625.09</v>
      </c>
      <c r="H555">
        <v>31137.87</v>
      </c>
      <c r="I555" s="5">
        <f t="shared" si="106"/>
        <v>31137.87</v>
      </c>
      <c r="J555">
        <v>60</v>
      </c>
      <c r="K555">
        <v>21.73</v>
      </c>
      <c r="L555">
        <v>2</v>
      </c>
      <c r="M555">
        <f t="shared" si="107"/>
        <v>2</v>
      </c>
      <c r="N555">
        <v>4.3</v>
      </c>
      <c r="O555">
        <f t="shared" si="108"/>
        <v>4.3</v>
      </c>
      <c r="P555">
        <v>60</v>
      </c>
      <c r="Q555">
        <f t="shared" si="109"/>
        <v>60</v>
      </c>
      <c r="R555" t="s">
        <v>24</v>
      </c>
      <c r="S555" t="str">
        <f t="shared" si="110"/>
        <v>Non-Performing</v>
      </c>
      <c r="T555" t="s">
        <v>25</v>
      </c>
      <c r="U555" s="3">
        <f t="shared" si="111"/>
        <v>0.14315906639559292</v>
      </c>
      <c r="V555" t="str">
        <f t="shared" si="112"/>
        <v>Healthy</v>
      </c>
      <c r="W555" t="str">
        <f t="shared" si="113"/>
        <v>High Risk</v>
      </c>
      <c r="X555" s="5" t="str">
        <f t="shared" si="114"/>
        <v>High</v>
      </c>
      <c r="Y555" s="5" t="str">
        <f t="shared" si="115"/>
        <v>Low</v>
      </c>
      <c r="Z555" s="5" t="str">
        <f>IF(B555=120,"NULL",IF(AND(V555="High Stress", W555="High Risk", Y555="Low"),"High Risk : Reject", IF(AND(V555="Healthy", W555="Good",Y555&lt;&gt;"Low"), "Low Risk : Approve", "Medium Risk : Review")))</f>
        <v>Medium Risk : Review</v>
      </c>
      <c r="AA555" s="5" t="str">
        <f t="shared" si="116"/>
        <v>Medium</v>
      </c>
    </row>
    <row r="556" spans="1:27" x14ac:dyDescent="0.2">
      <c r="A556">
        <v>20156</v>
      </c>
      <c r="B556">
        <v>57</v>
      </c>
      <c r="C556">
        <f t="shared" si="104"/>
        <v>57</v>
      </c>
      <c r="D556" t="s">
        <v>27</v>
      </c>
      <c r="E556" t="str">
        <f t="shared" si="105"/>
        <v>Unemployed</v>
      </c>
      <c r="F556">
        <v>4812.92</v>
      </c>
      <c r="G556">
        <f>ABS(Table1[[#This Row],[Monthly_Income]])</f>
        <v>4812.92</v>
      </c>
      <c r="H556">
        <v>24238.080000000002</v>
      </c>
      <c r="I556" s="5">
        <f t="shared" si="106"/>
        <v>24238.080000000002</v>
      </c>
      <c r="J556">
        <v>6</v>
      </c>
      <c r="K556">
        <v>20.239999999999998</v>
      </c>
      <c r="L556">
        <v>2</v>
      </c>
      <c r="M556">
        <f t="shared" si="107"/>
        <v>2</v>
      </c>
      <c r="N556">
        <v>7.5</v>
      </c>
      <c r="O556">
        <f t="shared" si="108"/>
        <v>7.5</v>
      </c>
      <c r="P556">
        <v>0</v>
      </c>
      <c r="Q556">
        <f t="shared" si="109"/>
        <v>0</v>
      </c>
      <c r="R556" t="s">
        <v>18</v>
      </c>
      <c r="S556" t="str">
        <f t="shared" si="110"/>
        <v>Non-Performing</v>
      </c>
      <c r="T556" t="s">
        <v>25</v>
      </c>
      <c r="U556" s="3">
        <f t="shared" si="111"/>
        <v>0.83934077441553157</v>
      </c>
      <c r="V556" t="str">
        <f t="shared" si="112"/>
        <v>High Stress</v>
      </c>
      <c r="W556" t="str">
        <f t="shared" si="113"/>
        <v>Good</v>
      </c>
      <c r="X556" s="5" t="str">
        <f t="shared" si="114"/>
        <v>Medium</v>
      </c>
      <c r="Y556" s="5" t="str">
        <f t="shared" si="115"/>
        <v>Low</v>
      </c>
      <c r="Z556" s="5" t="str">
        <f>IF(B556=120,"NULL",IF(AND(V556="High Stress", W556="High Risk", Y556="Low"),"High Risk : Reject", IF(AND(V556="Healthy", W556="Good",Y556&lt;&gt;"Low"), "Low Risk : Approve", "Medium Risk : Review")))</f>
        <v>Medium Risk : Review</v>
      </c>
      <c r="AA556" s="5" t="str">
        <f t="shared" si="116"/>
        <v>Medium</v>
      </c>
    </row>
    <row r="557" spans="1:27" x14ac:dyDescent="0.2">
      <c r="A557">
        <v>23459</v>
      </c>
      <c r="B557">
        <v>51</v>
      </c>
      <c r="C557">
        <f t="shared" si="104"/>
        <v>51</v>
      </c>
      <c r="D557" t="s">
        <v>21</v>
      </c>
      <c r="E557" t="str">
        <f t="shared" si="105"/>
        <v>Salaried</v>
      </c>
      <c r="F557">
        <v>2707.29</v>
      </c>
      <c r="G557">
        <f>ABS(Table1[[#This Row],[Monthly_Income]])</f>
        <v>2707.29</v>
      </c>
      <c r="H557">
        <v>20452.810000000001</v>
      </c>
      <c r="I557" s="5">
        <f t="shared" si="106"/>
        <v>20452.810000000001</v>
      </c>
      <c r="J557">
        <v>6</v>
      </c>
      <c r="K557">
        <v>11.86</v>
      </c>
      <c r="L557">
        <v>3</v>
      </c>
      <c r="M557">
        <f t="shared" si="107"/>
        <v>3</v>
      </c>
      <c r="N557">
        <v>8</v>
      </c>
      <c r="O557">
        <f t="shared" si="108"/>
        <v>8</v>
      </c>
      <c r="P557">
        <v>90</v>
      </c>
      <c r="Q557">
        <f t="shared" si="109"/>
        <v>90</v>
      </c>
      <c r="R557" t="s">
        <v>18</v>
      </c>
      <c r="S557" t="str">
        <f t="shared" si="110"/>
        <v>Non-Performing</v>
      </c>
      <c r="T557" t="s">
        <v>19</v>
      </c>
      <c r="U557" s="3">
        <f t="shared" si="111"/>
        <v>1.2591195131170532</v>
      </c>
      <c r="V557" t="str">
        <f t="shared" si="112"/>
        <v>High Stress</v>
      </c>
      <c r="W557" t="str">
        <f t="shared" si="113"/>
        <v>High Risk</v>
      </c>
      <c r="X557" s="5" t="str">
        <f t="shared" si="114"/>
        <v>Medium</v>
      </c>
      <c r="Y557" s="5" t="str">
        <f t="shared" si="115"/>
        <v>High</v>
      </c>
      <c r="Z557" s="5" t="str">
        <f>IF(B557=120,"NULL",IF(AND(V557="High Stress", W557="High Risk", Y557="Low"),"High Risk : Reject", IF(AND(V557="Healthy", W557="Good",Y557&lt;&gt;"Low"), "Low Risk : Approve", "Medium Risk : Review")))</f>
        <v>Medium Risk : Review</v>
      </c>
      <c r="AA557" s="5" t="str">
        <f t="shared" si="116"/>
        <v>Medium</v>
      </c>
    </row>
    <row r="558" spans="1:27" x14ac:dyDescent="0.2">
      <c r="A558">
        <v>20819</v>
      </c>
      <c r="B558">
        <v>75</v>
      </c>
      <c r="C558">
        <f t="shared" si="104"/>
        <v>75</v>
      </c>
      <c r="D558" t="s">
        <v>17</v>
      </c>
      <c r="E558" t="str">
        <f t="shared" si="105"/>
        <v>Contract</v>
      </c>
      <c r="F558">
        <v>5681.82</v>
      </c>
      <c r="G558">
        <f>ABS(Table1[[#This Row],[Monthly_Income]])</f>
        <v>5681.82</v>
      </c>
      <c r="H558">
        <v>22559.62</v>
      </c>
      <c r="I558" s="5">
        <f t="shared" si="106"/>
        <v>22559.62</v>
      </c>
      <c r="J558">
        <v>12</v>
      </c>
      <c r="K558">
        <v>31.37</v>
      </c>
      <c r="L558">
        <v>2</v>
      </c>
      <c r="M558">
        <f t="shared" si="107"/>
        <v>2</v>
      </c>
      <c r="N558">
        <v>7.5</v>
      </c>
      <c r="O558">
        <f t="shared" si="108"/>
        <v>7.5</v>
      </c>
      <c r="Q558" t="str">
        <f t="shared" si="109"/>
        <v>NULL</v>
      </c>
      <c r="R558" t="s">
        <v>15</v>
      </c>
      <c r="S558" t="str">
        <f t="shared" si="110"/>
        <v xml:space="preserve">Performing </v>
      </c>
      <c r="T558" t="s">
        <v>19</v>
      </c>
      <c r="U558" s="3">
        <f t="shared" si="111"/>
        <v>0.330874320786884</v>
      </c>
      <c r="V558" t="str">
        <f t="shared" si="112"/>
        <v>Stretched</v>
      </c>
      <c r="W558" t="str">
        <f t="shared" si="113"/>
        <v>NULL</v>
      </c>
      <c r="X558" s="5" t="str">
        <f t="shared" si="114"/>
        <v>Medium</v>
      </c>
      <c r="Y558" s="5" t="str">
        <f t="shared" si="115"/>
        <v>Low</v>
      </c>
      <c r="Z558" s="5" t="str">
        <f>IF(B558=120,"NULL",IF(AND(V558="High Stress", W558="High Risk", Y558="Low"),"High Risk : Reject", IF(AND(V558="Healthy", W558="Good",Y558&lt;&gt;"Low"), "Low Risk : Approve", "Medium Risk : Review")))</f>
        <v>Medium Risk : Review</v>
      </c>
      <c r="AA558" s="5" t="str">
        <f t="shared" si="116"/>
        <v>Medium</v>
      </c>
    </row>
    <row r="559" spans="1:27" x14ac:dyDescent="0.2">
      <c r="A559">
        <v>24499</v>
      </c>
      <c r="B559">
        <v>51</v>
      </c>
      <c r="C559">
        <f t="shared" si="104"/>
        <v>51</v>
      </c>
      <c r="D559" t="s">
        <v>17</v>
      </c>
      <c r="E559" t="str">
        <f t="shared" si="105"/>
        <v>Contract</v>
      </c>
      <c r="F559">
        <v>-1500</v>
      </c>
      <c r="G559">
        <f>ABS(Table1[[#This Row],[Monthly_Income]])</f>
        <v>1500</v>
      </c>
      <c r="H559">
        <v>11361.11</v>
      </c>
      <c r="I559" s="5">
        <f t="shared" si="106"/>
        <v>11361.11</v>
      </c>
      <c r="J559">
        <v>60</v>
      </c>
      <c r="K559">
        <v>18.97</v>
      </c>
      <c r="L559">
        <v>4</v>
      </c>
      <c r="M559">
        <f t="shared" si="107"/>
        <v>4</v>
      </c>
      <c r="N559">
        <v>12.8</v>
      </c>
      <c r="O559">
        <f t="shared" si="108"/>
        <v>12.8</v>
      </c>
      <c r="P559">
        <v>60</v>
      </c>
      <c r="Q559">
        <f t="shared" si="109"/>
        <v>60</v>
      </c>
      <c r="R559" t="s">
        <v>15</v>
      </c>
      <c r="S559" t="str">
        <f t="shared" si="110"/>
        <v xml:space="preserve">Performing </v>
      </c>
      <c r="T559" t="s">
        <v>22</v>
      </c>
      <c r="U559" s="3">
        <f t="shared" si="111"/>
        <v>0.12623455555555557</v>
      </c>
      <c r="V559" t="str">
        <f t="shared" si="112"/>
        <v>Healthy</v>
      </c>
      <c r="W559" t="str">
        <f t="shared" si="113"/>
        <v>High Risk</v>
      </c>
      <c r="X559" s="5" t="str">
        <f t="shared" si="114"/>
        <v>Medium</v>
      </c>
      <c r="Y559" s="5" t="str">
        <f t="shared" si="115"/>
        <v>Low</v>
      </c>
      <c r="Z559" s="5" t="str">
        <f>IF(B559=120,"NULL",IF(AND(V559="High Stress", W559="High Risk", Y559="Low"),"High Risk : Reject", IF(AND(V559="Healthy", W559="Good",Y559&lt;&gt;"Low"), "Low Risk : Approve", "Medium Risk : Review")))</f>
        <v>Medium Risk : Review</v>
      </c>
      <c r="AA559" s="5" t="str">
        <f t="shared" si="116"/>
        <v>Low</v>
      </c>
    </row>
    <row r="560" spans="1:27" x14ac:dyDescent="0.2">
      <c r="A560">
        <v>25996</v>
      </c>
      <c r="B560">
        <v>31</v>
      </c>
      <c r="C560">
        <f t="shared" si="104"/>
        <v>31</v>
      </c>
      <c r="D560" t="s">
        <v>26</v>
      </c>
      <c r="E560" t="str">
        <f t="shared" si="105"/>
        <v>Salaried</v>
      </c>
      <c r="F560">
        <v>4156.47</v>
      </c>
      <c r="G560">
        <f>ABS(Table1[[#This Row],[Monthly_Income]])</f>
        <v>4156.47</v>
      </c>
      <c r="H560">
        <v>8342.7099999999991</v>
      </c>
      <c r="I560" s="5">
        <f t="shared" si="106"/>
        <v>8342.7099999999991</v>
      </c>
      <c r="J560">
        <v>12</v>
      </c>
      <c r="K560">
        <v>21.07</v>
      </c>
      <c r="L560">
        <v>4</v>
      </c>
      <c r="M560">
        <f t="shared" si="107"/>
        <v>4</v>
      </c>
      <c r="N560">
        <v>7.6</v>
      </c>
      <c r="O560">
        <f t="shared" si="108"/>
        <v>7.6</v>
      </c>
      <c r="P560">
        <v>15</v>
      </c>
      <c r="Q560">
        <f t="shared" si="109"/>
        <v>15</v>
      </c>
      <c r="R560" t="s">
        <v>13</v>
      </c>
      <c r="S560" t="str">
        <f t="shared" si="110"/>
        <v>Performing</v>
      </c>
      <c r="T560" t="s">
        <v>19</v>
      </c>
      <c r="U560" s="3">
        <f t="shared" si="111"/>
        <v>0.16726352730401839</v>
      </c>
      <c r="V560" t="str">
        <f t="shared" si="112"/>
        <v>Healthy</v>
      </c>
      <c r="W560" t="str">
        <f t="shared" si="113"/>
        <v>Good</v>
      </c>
      <c r="X560" s="5" t="str">
        <f t="shared" si="114"/>
        <v>Small</v>
      </c>
      <c r="Y560" s="5" t="str">
        <f t="shared" si="115"/>
        <v>High</v>
      </c>
      <c r="Z560" s="5" t="str">
        <f>IF(B560=120,"NULL",IF(AND(V560="High Stress", W560="High Risk", Y560="Low"),"High Risk : Reject", IF(AND(V560="Healthy", W560="Good",Y560&lt;&gt;"Low"), "Low Risk : Approve", "Medium Risk : Review")))</f>
        <v>Low Risk : Approve</v>
      </c>
      <c r="AA560" s="5" t="str">
        <f t="shared" si="116"/>
        <v>Medium</v>
      </c>
    </row>
    <row r="561" spans="1:27" x14ac:dyDescent="0.2">
      <c r="A561">
        <v>22534</v>
      </c>
      <c r="B561">
        <v>24</v>
      </c>
      <c r="C561">
        <f t="shared" si="104"/>
        <v>24</v>
      </c>
      <c r="D561" t="s">
        <v>21</v>
      </c>
      <c r="E561" t="str">
        <f t="shared" si="105"/>
        <v>Salaried</v>
      </c>
      <c r="F561">
        <v>4968.9399999999996</v>
      </c>
      <c r="G561">
        <f>ABS(Table1[[#This Row],[Monthly_Income]])</f>
        <v>4968.9399999999996</v>
      </c>
      <c r="H561">
        <v>38481.83</v>
      </c>
      <c r="I561" s="5">
        <f t="shared" si="106"/>
        <v>38481.83</v>
      </c>
      <c r="J561">
        <v>12</v>
      </c>
      <c r="K561">
        <v>19.37</v>
      </c>
      <c r="L561">
        <v>0</v>
      </c>
      <c r="M561">
        <f t="shared" si="107"/>
        <v>0</v>
      </c>
      <c r="N561">
        <v>8.5</v>
      </c>
      <c r="O561">
        <f t="shared" si="108"/>
        <v>8.5</v>
      </c>
      <c r="P561">
        <v>30</v>
      </c>
      <c r="Q561">
        <f t="shared" si="109"/>
        <v>30</v>
      </c>
      <c r="R561" t="s">
        <v>18</v>
      </c>
      <c r="S561" t="str">
        <f t="shared" si="110"/>
        <v>Non-Performing</v>
      </c>
      <c r="T561" t="s">
        <v>14</v>
      </c>
      <c r="U561" s="3">
        <f t="shared" si="111"/>
        <v>0.64537288972430074</v>
      </c>
      <c r="V561" t="str">
        <f t="shared" si="112"/>
        <v>High Stress</v>
      </c>
      <c r="W561" t="str">
        <f t="shared" si="113"/>
        <v>At Risk</v>
      </c>
      <c r="X561" s="5" t="str">
        <f t="shared" si="114"/>
        <v>High</v>
      </c>
      <c r="Y561" s="5" t="str">
        <f t="shared" si="115"/>
        <v>High</v>
      </c>
      <c r="Z561" s="5" t="str">
        <f>IF(B561=120,"NULL",IF(AND(V561="High Stress", W561="High Risk", Y561="Low"),"High Risk : Reject", IF(AND(V561="Healthy", W561="Good",Y561&lt;&gt;"Low"), "Low Risk : Approve", "Medium Risk : Review")))</f>
        <v>Medium Risk : Review</v>
      </c>
      <c r="AA561" s="5" t="str">
        <f t="shared" si="116"/>
        <v>Medium</v>
      </c>
    </row>
    <row r="562" spans="1:27" x14ac:dyDescent="0.2">
      <c r="A562">
        <v>24626</v>
      </c>
      <c r="B562">
        <v>75</v>
      </c>
      <c r="C562">
        <f t="shared" si="104"/>
        <v>75</v>
      </c>
      <c r="D562" t="s">
        <v>17</v>
      </c>
      <c r="E562" t="str">
        <f t="shared" si="105"/>
        <v>Contract</v>
      </c>
      <c r="F562">
        <v>4068.1</v>
      </c>
      <c r="G562">
        <f>ABS(Table1[[#This Row],[Monthly_Income]])</f>
        <v>4068.1</v>
      </c>
      <c r="H562">
        <v>21215.38</v>
      </c>
      <c r="I562" s="5">
        <f t="shared" si="106"/>
        <v>21215.38</v>
      </c>
      <c r="J562">
        <v>12</v>
      </c>
      <c r="K562">
        <v>15.84</v>
      </c>
      <c r="L562">
        <v>1</v>
      </c>
      <c r="M562">
        <f t="shared" si="107"/>
        <v>1</v>
      </c>
      <c r="N562">
        <v>9.1999999999999993</v>
      </c>
      <c r="O562">
        <f t="shared" si="108"/>
        <v>9.1999999999999993</v>
      </c>
      <c r="P562">
        <v>0</v>
      </c>
      <c r="Q562">
        <f t="shared" si="109"/>
        <v>0</v>
      </c>
      <c r="R562" t="s">
        <v>15</v>
      </c>
      <c r="S562" t="str">
        <f t="shared" si="110"/>
        <v xml:space="preserve">Performing </v>
      </c>
      <c r="T562" t="s">
        <v>19</v>
      </c>
      <c r="U562" s="3">
        <f t="shared" si="111"/>
        <v>0.43458821890645105</v>
      </c>
      <c r="V562" t="str">
        <f t="shared" si="112"/>
        <v>Stretched</v>
      </c>
      <c r="W562" t="str">
        <f t="shared" si="113"/>
        <v>Good</v>
      </c>
      <c r="X562" s="5" t="str">
        <f t="shared" si="114"/>
        <v>Medium</v>
      </c>
      <c r="Y562" s="5" t="str">
        <f t="shared" si="115"/>
        <v>Low</v>
      </c>
      <c r="Z562" s="5" t="str">
        <f>IF(B562=120,"NULL",IF(AND(V562="High Stress", W562="High Risk", Y562="Low"),"High Risk : Reject", IF(AND(V562="Healthy", W562="Good",Y562&lt;&gt;"Low"), "Low Risk : Approve", "Medium Risk : Review")))</f>
        <v>Medium Risk : Review</v>
      </c>
      <c r="AA562" s="5" t="str">
        <f t="shared" si="116"/>
        <v>Medium</v>
      </c>
    </row>
    <row r="563" spans="1:27" x14ac:dyDescent="0.2">
      <c r="A563">
        <v>24149</v>
      </c>
      <c r="B563">
        <v>75</v>
      </c>
      <c r="C563">
        <f t="shared" si="104"/>
        <v>75</v>
      </c>
      <c r="D563" t="s">
        <v>12</v>
      </c>
      <c r="E563" t="str">
        <f t="shared" si="105"/>
        <v>Self-Employed</v>
      </c>
      <c r="F563">
        <v>5746.61</v>
      </c>
      <c r="G563">
        <f>ABS(Table1[[#This Row],[Monthly_Income]])</f>
        <v>5746.61</v>
      </c>
      <c r="H563">
        <v>30306.71</v>
      </c>
      <c r="I563" s="5">
        <f t="shared" si="106"/>
        <v>30306.71</v>
      </c>
      <c r="J563">
        <v>60</v>
      </c>
      <c r="K563">
        <v>35.44</v>
      </c>
      <c r="L563">
        <v>2</v>
      </c>
      <c r="M563">
        <f t="shared" si="107"/>
        <v>2</v>
      </c>
      <c r="N563">
        <v>5.8</v>
      </c>
      <c r="O563">
        <f t="shared" si="108"/>
        <v>5.8</v>
      </c>
      <c r="P563">
        <v>120</v>
      </c>
      <c r="Q563">
        <f t="shared" si="109"/>
        <v>120</v>
      </c>
      <c r="R563" t="s">
        <v>15</v>
      </c>
      <c r="S563" t="str">
        <f t="shared" si="110"/>
        <v xml:space="preserve">Performing </v>
      </c>
      <c r="T563" t="s">
        <v>14</v>
      </c>
      <c r="U563" s="3">
        <f t="shared" si="111"/>
        <v>8.789735745654105E-2</v>
      </c>
      <c r="V563" t="str">
        <f t="shared" si="112"/>
        <v>Healthy</v>
      </c>
      <c r="W563" t="str">
        <f t="shared" si="113"/>
        <v>High Risk</v>
      </c>
      <c r="X563" s="5" t="str">
        <f t="shared" si="114"/>
        <v>High</v>
      </c>
      <c r="Y563" s="5" t="str">
        <f t="shared" si="115"/>
        <v>Medium</v>
      </c>
      <c r="Z563" s="5" t="str">
        <f>IF(B563=120,"NULL",IF(AND(V563="High Stress", W563="High Risk", Y563="Low"),"High Risk : Reject", IF(AND(V563="Healthy", W563="Good",Y563&lt;&gt;"Low"), "Low Risk : Approve", "Medium Risk : Review")))</f>
        <v>Medium Risk : Review</v>
      </c>
      <c r="AA563" s="5" t="str">
        <f t="shared" si="116"/>
        <v>Medium</v>
      </c>
    </row>
    <row r="564" spans="1:27" x14ac:dyDescent="0.2">
      <c r="A564">
        <v>23538</v>
      </c>
      <c r="B564">
        <v>47</v>
      </c>
      <c r="C564">
        <f t="shared" si="104"/>
        <v>47</v>
      </c>
      <c r="D564" t="s">
        <v>21</v>
      </c>
      <c r="E564" t="str">
        <f t="shared" si="105"/>
        <v>Salaried</v>
      </c>
      <c r="F564">
        <v>2331.12</v>
      </c>
      <c r="G564">
        <f>ABS(Table1[[#This Row],[Monthly_Income]])</f>
        <v>2331.12</v>
      </c>
      <c r="H564">
        <v>21482.18</v>
      </c>
      <c r="I564" s="5">
        <f t="shared" si="106"/>
        <v>21482.18</v>
      </c>
      <c r="J564">
        <v>48</v>
      </c>
      <c r="K564">
        <v>20.58</v>
      </c>
      <c r="L564">
        <v>4</v>
      </c>
      <c r="M564">
        <f t="shared" si="107"/>
        <v>4</v>
      </c>
      <c r="N564">
        <v>2.9</v>
      </c>
      <c r="O564">
        <f t="shared" si="108"/>
        <v>2.9</v>
      </c>
      <c r="P564">
        <v>0</v>
      </c>
      <c r="Q564">
        <f t="shared" si="109"/>
        <v>0</v>
      </c>
      <c r="R564" t="s">
        <v>24</v>
      </c>
      <c r="S564" t="str">
        <f t="shared" si="110"/>
        <v>Non-Performing</v>
      </c>
      <c r="T564" t="s">
        <v>14</v>
      </c>
      <c r="U564" s="3">
        <f t="shared" si="111"/>
        <v>0.19198729223148817</v>
      </c>
      <c r="V564" t="str">
        <f t="shared" si="112"/>
        <v>Healthy</v>
      </c>
      <c r="W564" t="str">
        <f t="shared" si="113"/>
        <v>Good</v>
      </c>
      <c r="X564" s="5" t="str">
        <f t="shared" si="114"/>
        <v>Medium</v>
      </c>
      <c r="Y564" s="5" t="str">
        <f t="shared" si="115"/>
        <v>High</v>
      </c>
      <c r="Z564" s="5" t="str">
        <f>IF(B564=120,"NULL",IF(AND(V564="High Stress", W564="High Risk", Y564="Low"),"High Risk : Reject", IF(AND(V564="Healthy", W564="Good",Y564&lt;&gt;"Low"), "Low Risk : Approve", "Medium Risk : Review")))</f>
        <v>Low Risk : Approve</v>
      </c>
      <c r="AA564" s="5" t="str">
        <f t="shared" si="116"/>
        <v>Medium</v>
      </c>
    </row>
    <row r="565" spans="1:27" x14ac:dyDescent="0.2">
      <c r="A565">
        <v>21541</v>
      </c>
      <c r="B565">
        <v>26</v>
      </c>
      <c r="C565">
        <f t="shared" si="104"/>
        <v>26</v>
      </c>
      <c r="D565" t="s">
        <v>12</v>
      </c>
      <c r="E565" t="str">
        <f t="shared" si="105"/>
        <v>Self-Employed</v>
      </c>
      <c r="F565">
        <v>6125.53</v>
      </c>
      <c r="G565">
        <f>ABS(Table1[[#This Row],[Monthly_Income]])</f>
        <v>6125.53</v>
      </c>
      <c r="H565">
        <v>17756.419999999998</v>
      </c>
      <c r="I565" s="5">
        <f t="shared" si="106"/>
        <v>17756.419999999998</v>
      </c>
      <c r="J565">
        <v>18</v>
      </c>
      <c r="K565">
        <v>10.86</v>
      </c>
      <c r="L565">
        <v>1</v>
      </c>
      <c r="M565">
        <f t="shared" si="107"/>
        <v>1</v>
      </c>
      <c r="N565">
        <v>-0.9</v>
      </c>
      <c r="O565">
        <f t="shared" si="108"/>
        <v>0.9</v>
      </c>
      <c r="P565">
        <v>60</v>
      </c>
      <c r="Q565">
        <f t="shared" si="109"/>
        <v>60</v>
      </c>
      <c r="R565" t="s">
        <v>13</v>
      </c>
      <c r="S565" t="str">
        <f t="shared" si="110"/>
        <v>Performing</v>
      </c>
      <c r="T565" t="s">
        <v>22</v>
      </c>
      <c r="U565" s="3">
        <f t="shared" si="111"/>
        <v>0.1610420286534843</v>
      </c>
      <c r="V565" t="str">
        <f t="shared" si="112"/>
        <v>Healthy</v>
      </c>
      <c r="W565" t="str">
        <f t="shared" si="113"/>
        <v>High Risk</v>
      </c>
      <c r="X565" s="5" t="str">
        <f t="shared" si="114"/>
        <v>Medium</v>
      </c>
      <c r="Y565" s="5" t="str">
        <f t="shared" si="115"/>
        <v>Medium</v>
      </c>
      <c r="Z565" s="5" t="str">
        <f>IF(B565=120,"NULL",IF(AND(V565="High Stress", W565="High Risk", Y565="Low"),"High Risk : Reject", IF(AND(V565="Healthy", W565="Good",Y565&lt;&gt;"Low"), "Low Risk : Approve", "Medium Risk : Review")))</f>
        <v>Medium Risk : Review</v>
      </c>
      <c r="AA565" s="5" t="str">
        <f t="shared" si="116"/>
        <v>Medium</v>
      </c>
    </row>
    <row r="566" spans="1:27" x14ac:dyDescent="0.2">
      <c r="A566">
        <v>21246</v>
      </c>
      <c r="B566">
        <v>38</v>
      </c>
      <c r="C566">
        <f t="shared" si="104"/>
        <v>38</v>
      </c>
      <c r="D566" t="s">
        <v>12</v>
      </c>
      <c r="E566" t="str">
        <f t="shared" si="105"/>
        <v>Self-Employed</v>
      </c>
      <c r="F566">
        <v>5403.51</v>
      </c>
      <c r="G566">
        <f>ABS(Table1[[#This Row],[Monthly_Income]])</f>
        <v>5403.51</v>
      </c>
      <c r="H566">
        <v>29128.74</v>
      </c>
      <c r="I566" s="5">
        <f t="shared" si="106"/>
        <v>29128.74</v>
      </c>
      <c r="J566">
        <v>24</v>
      </c>
      <c r="K566">
        <v>24.45</v>
      </c>
      <c r="L566">
        <v>3</v>
      </c>
      <c r="M566">
        <f t="shared" si="107"/>
        <v>3</v>
      </c>
      <c r="N566">
        <v>6.6</v>
      </c>
      <c r="O566">
        <f t="shared" si="108"/>
        <v>6.6</v>
      </c>
      <c r="P566">
        <v>0</v>
      </c>
      <c r="Q566">
        <f t="shared" si="109"/>
        <v>0</v>
      </c>
      <c r="R566" t="s">
        <v>13</v>
      </c>
      <c r="S566" t="str">
        <f t="shared" si="110"/>
        <v>Performing</v>
      </c>
      <c r="T566" t="s">
        <v>22</v>
      </c>
      <c r="U566" s="3">
        <f t="shared" si="111"/>
        <v>0.22461279797761086</v>
      </c>
      <c r="V566" t="str">
        <f t="shared" si="112"/>
        <v>Healthy</v>
      </c>
      <c r="W566" t="str">
        <f t="shared" si="113"/>
        <v>Good</v>
      </c>
      <c r="X566" s="5" t="str">
        <f t="shared" si="114"/>
        <v>Medium</v>
      </c>
      <c r="Y566" s="5" t="str">
        <f t="shared" si="115"/>
        <v>Medium</v>
      </c>
      <c r="Z566" s="5" t="str">
        <f>IF(B566=120,"NULL",IF(AND(V566="High Stress", W566="High Risk", Y566="Low"),"High Risk : Reject", IF(AND(V566="Healthy", W566="Good",Y566&lt;&gt;"Low"), "Low Risk : Approve", "Medium Risk : Review")))</f>
        <v>Low Risk : Approve</v>
      </c>
      <c r="AA566" s="5" t="str">
        <f t="shared" si="116"/>
        <v>Medium</v>
      </c>
    </row>
    <row r="567" spans="1:27" x14ac:dyDescent="0.2">
      <c r="A567">
        <v>22892</v>
      </c>
      <c r="B567">
        <v>64</v>
      </c>
      <c r="C567">
        <f t="shared" si="104"/>
        <v>64</v>
      </c>
      <c r="D567" t="s">
        <v>17</v>
      </c>
      <c r="E567" t="str">
        <f t="shared" si="105"/>
        <v>Contract</v>
      </c>
      <c r="F567">
        <v>3494.33</v>
      </c>
      <c r="G567">
        <f>ABS(Table1[[#This Row],[Monthly_Income]])</f>
        <v>3494.33</v>
      </c>
      <c r="H567">
        <v>32681.59</v>
      </c>
      <c r="I567" s="5">
        <f t="shared" si="106"/>
        <v>32681.59</v>
      </c>
      <c r="J567">
        <v>6</v>
      </c>
      <c r="K567">
        <v>21.41</v>
      </c>
      <c r="L567">
        <v>4</v>
      </c>
      <c r="M567">
        <f t="shared" si="107"/>
        <v>4</v>
      </c>
      <c r="N567">
        <v>11</v>
      </c>
      <c r="O567">
        <f t="shared" si="108"/>
        <v>11</v>
      </c>
      <c r="P567">
        <v>30</v>
      </c>
      <c r="Q567">
        <f t="shared" si="109"/>
        <v>30</v>
      </c>
      <c r="R567" t="s">
        <v>24</v>
      </c>
      <c r="S567" t="str">
        <f t="shared" si="110"/>
        <v>Non-Performing</v>
      </c>
      <c r="T567" t="s">
        <v>25</v>
      </c>
      <c r="U567" s="3">
        <f t="shared" si="111"/>
        <v>1.5587914325969976</v>
      </c>
      <c r="V567" t="str">
        <f t="shared" si="112"/>
        <v>High Stress</v>
      </c>
      <c r="W567" t="str">
        <f t="shared" si="113"/>
        <v>At Risk</v>
      </c>
      <c r="X567" s="5" t="str">
        <f t="shared" si="114"/>
        <v>High</v>
      </c>
      <c r="Y567" s="5" t="str">
        <f t="shared" si="115"/>
        <v>Low</v>
      </c>
      <c r="Z567" s="5" t="str">
        <f>IF(B567=120,"NULL",IF(AND(V567="High Stress", W567="High Risk", Y567="Low"),"High Risk : Reject", IF(AND(V567="Healthy", W567="Good",Y567&lt;&gt;"Low"), "Low Risk : Approve", "Medium Risk : Review")))</f>
        <v>Medium Risk : Review</v>
      </c>
      <c r="AA567" s="5" t="str">
        <f t="shared" si="116"/>
        <v>Medium</v>
      </c>
    </row>
    <row r="568" spans="1:27" x14ac:dyDescent="0.2">
      <c r="A568">
        <v>24710</v>
      </c>
      <c r="B568">
        <v>49</v>
      </c>
      <c r="C568">
        <f t="shared" si="104"/>
        <v>49</v>
      </c>
      <c r="D568" t="s">
        <v>21</v>
      </c>
      <c r="E568" t="str">
        <f t="shared" si="105"/>
        <v>Salaried</v>
      </c>
      <c r="F568">
        <v>6874.11</v>
      </c>
      <c r="G568">
        <f>ABS(Table1[[#This Row],[Monthly_Income]])</f>
        <v>6874.11</v>
      </c>
      <c r="H568">
        <v>11053.46</v>
      </c>
      <c r="I568" s="5">
        <f t="shared" si="106"/>
        <v>11053.46</v>
      </c>
      <c r="J568">
        <v>60</v>
      </c>
      <c r="K568">
        <v>14.08</v>
      </c>
      <c r="L568">
        <v>3</v>
      </c>
      <c r="M568">
        <f t="shared" si="107"/>
        <v>3</v>
      </c>
      <c r="O568" t="str">
        <f t="shared" si="108"/>
        <v>NULL</v>
      </c>
      <c r="P568">
        <v>15</v>
      </c>
      <c r="Q568">
        <f t="shared" si="109"/>
        <v>15</v>
      </c>
      <c r="R568" t="s">
        <v>15</v>
      </c>
      <c r="S568" t="str">
        <f t="shared" si="110"/>
        <v xml:space="preserve">Performing </v>
      </c>
      <c r="T568" t="s">
        <v>16</v>
      </c>
      <c r="U568" s="3">
        <f t="shared" si="111"/>
        <v>2.67997360143107E-2</v>
      </c>
      <c r="V568" t="str">
        <f t="shared" si="112"/>
        <v>Healthy</v>
      </c>
      <c r="W568" t="str">
        <f t="shared" si="113"/>
        <v>Good</v>
      </c>
      <c r="X568" s="5" t="str">
        <f t="shared" si="114"/>
        <v>Medium</v>
      </c>
      <c r="Y568" s="5" t="str">
        <f t="shared" si="115"/>
        <v>High</v>
      </c>
      <c r="Z568" s="5" t="str">
        <f>IF(B568=120,"NULL",IF(AND(V568="High Stress", W568="High Risk", Y568="Low"),"High Risk : Reject", IF(AND(V568="Healthy", W568="Good",Y568&lt;&gt;"Low"), "Low Risk : Approve", "Medium Risk : Review")))</f>
        <v>Low Risk : Approve</v>
      </c>
      <c r="AA568" s="5" t="str">
        <f t="shared" si="116"/>
        <v>Medium</v>
      </c>
    </row>
    <row r="569" spans="1:27" x14ac:dyDescent="0.2">
      <c r="A569">
        <v>24863</v>
      </c>
      <c r="B569">
        <v>25</v>
      </c>
      <c r="C569">
        <f t="shared" si="104"/>
        <v>25</v>
      </c>
      <c r="D569" t="s">
        <v>12</v>
      </c>
      <c r="E569" t="str">
        <f t="shared" si="105"/>
        <v>Self-Employed</v>
      </c>
      <c r="F569">
        <v>1430.64</v>
      </c>
      <c r="G569">
        <f>ABS(Table1[[#This Row],[Monthly_Income]])</f>
        <v>1430.64</v>
      </c>
      <c r="H569">
        <v>21944</v>
      </c>
      <c r="I569" s="5">
        <f t="shared" si="106"/>
        <v>21944</v>
      </c>
      <c r="J569">
        <v>36</v>
      </c>
      <c r="K569">
        <v>19.440000000000001</v>
      </c>
      <c r="L569">
        <v>2</v>
      </c>
      <c r="M569">
        <f t="shared" si="107"/>
        <v>2</v>
      </c>
      <c r="N569">
        <v>2.2000000000000002</v>
      </c>
      <c r="O569">
        <f t="shared" si="108"/>
        <v>2.2000000000000002</v>
      </c>
      <c r="P569">
        <v>90</v>
      </c>
      <c r="Q569">
        <f t="shared" si="109"/>
        <v>90</v>
      </c>
      <c r="R569" t="s">
        <v>15</v>
      </c>
      <c r="S569" t="str">
        <f t="shared" si="110"/>
        <v xml:space="preserve">Performing </v>
      </c>
      <c r="T569" t="s">
        <v>19</v>
      </c>
      <c r="U569" s="3">
        <f t="shared" si="111"/>
        <v>0.42607193672451177</v>
      </c>
      <c r="V569" t="str">
        <f t="shared" si="112"/>
        <v>Stretched</v>
      </c>
      <c r="W569" t="str">
        <f t="shared" si="113"/>
        <v>High Risk</v>
      </c>
      <c r="X569" s="5" t="str">
        <f t="shared" si="114"/>
        <v>Medium</v>
      </c>
      <c r="Y569" s="5" t="str">
        <f t="shared" si="115"/>
        <v>Medium</v>
      </c>
      <c r="Z569" s="5" t="str">
        <f>IF(B569=120,"NULL",IF(AND(V569="High Stress", W569="High Risk", Y569="Low"),"High Risk : Reject", IF(AND(V569="Healthy", W569="Good",Y569&lt;&gt;"Low"), "Low Risk : Approve", "Medium Risk : Review")))</f>
        <v>Medium Risk : Review</v>
      </c>
      <c r="AA569" s="5" t="str">
        <f t="shared" si="116"/>
        <v>Low</v>
      </c>
    </row>
    <row r="570" spans="1:27" x14ac:dyDescent="0.2">
      <c r="A570">
        <v>20224</v>
      </c>
      <c r="B570">
        <v>50</v>
      </c>
      <c r="C570">
        <f t="shared" si="104"/>
        <v>50</v>
      </c>
      <c r="D570" t="s">
        <v>12</v>
      </c>
      <c r="E570" t="str">
        <f t="shared" si="105"/>
        <v>Self-Employed</v>
      </c>
      <c r="F570">
        <v>313.3</v>
      </c>
      <c r="G570">
        <f>ABS(Table1[[#This Row],[Monthly_Income]])</f>
        <v>313.3</v>
      </c>
      <c r="H570">
        <v>15829.85</v>
      </c>
      <c r="I570" s="5">
        <f t="shared" si="106"/>
        <v>15829.85</v>
      </c>
      <c r="J570">
        <v>12</v>
      </c>
      <c r="K570">
        <v>12.19</v>
      </c>
      <c r="L570">
        <v>0</v>
      </c>
      <c r="M570">
        <f t="shared" si="107"/>
        <v>0</v>
      </c>
      <c r="N570">
        <v>13.8</v>
      </c>
      <c r="O570">
        <f t="shared" si="108"/>
        <v>13.8</v>
      </c>
      <c r="P570">
        <v>0</v>
      </c>
      <c r="Q570">
        <f t="shared" si="109"/>
        <v>0</v>
      </c>
      <c r="R570" t="s">
        <v>20</v>
      </c>
      <c r="S570" t="str">
        <f t="shared" si="110"/>
        <v>Written Off</v>
      </c>
      <c r="T570" t="s">
        <v>19</v>
      </c>
      <c r="U570" s="3">
        <f t="shared" si="111"/>
        <v>4.2105144164272792</v>
      </c>
      <c r="V570" t="str">
        <f t="shared" si="112"/>
        <v>High Stress</v>
      </c>
      <c r="W570" t="str">
        <f t="shared" si="113"/>
        <v>Good</v>
      </c>
      <c r="X570" s="5" t="str">
        <f t="shared" si="114"/>
        <v>Medium</v>
      </c>
      <c r="Y570" s="5" t="str">
        <f t="shared" si="115"/>
        <v>Medium</v>
      </c>
      <c r="Z570" s="5" t="str">
        <f>IF(B570=120,"NULL",IF(AND(V570="High Stress", W570="High Risk", Y570="Low"),"High Risk : Reject", IF(AND(V570="Healthy", W570="Good",Y570&lt;&gt;"Low"), "Low Risk : Approve", "Medium Risk : Review")))</f>
        <v>Medium Risk : Review</v>
      </c>
      <c r="AA570" s="5" t="str">
        <f t="shared" si="116"/>
        <v>Low</v>
      </c>
    </row>
    <row r="571" spans="1:27" x14ac:dyDescent="0.2">
      <c r="A571">
        <v>21595</v>
      </c>
      <c r="B571">
        <v>21</v>
      </c>
      <c r="C571">
        <f t="shared" si="104"/>
        <v>21</v>
      </c>
      <c r="D571" t="s">
        <v>23</v>
      </c>
      <c r="E571" t="str">
        <f t="shared" si="105"/>
        <v>Self-Employed</v>
      </c>
      <c r="F571">
        <v>5263.34</v>
      </c>
      <c r="G571">
        <f>ABS(Table1[[#This Row],[Monthly_Income]])</f>
        <v>5263.34</v>
      </c>
      <c r="H571"/>
      <c r="I571" s="5" t="str">
        <f t="shared" si="106"/>
        <v>NULL</v>
      </c>
      <c r="J571">
        <v>6</v>
      </c>
      <c r="K571">
        <v>23.38</v>
      </c>
      <c r="M571" t="str">
        <f t="shared" si="107"/>
        <v>NULL</v>
      </c>
      <c r="N571">
        <v>6.3</v>
      </c>
      <c r="O571">
        <f t="shared" si="108"/>
        <v>6.3</v>
      </c>
      <c r="P571">
        <v>0</v>
      </c>
      <c r="Q571">
        <f t="shared" si="109"/>
        <v>0</v>
      </c>
      <c r="R571" t="s">
        <v>13</v>
      </c>
      <c r="S571" t="str">
        <f t="shared" si="110"/>
        <v>Performing</v>
      </c>
      <c r="T571" t="s">
        <v>22</v>
      </c>
      <c r="U571" s="3" t="str">
        <f t="shared" si="111"/>
        <v>NULL</v>
      </c>
      <c r="V571" t="str">
        <f t="shared" si="112"/>
        <v>NULL</v>
      </c>
      <c r="W571" t="str">
        <f t="shared" si="113"/>
        <v>Good</v>
      </c>
      <c r="X571" s="5" t="str">
        <f t="shared" si="114"/>
        <v>High</v>
      </c>
      <c r="Y571" s="5" t="str">
        <f t="shared" si="115"/>
        <v>Medium</v>
      </c>
      <c r="Z571" s="5" t="str">
        <f>IF(B571=120,"NULL",IF(AND(V571="High Stress", W571="High Risk", Y571="Low"),"High Risk : Reject", IF(AND(V571="Healthy", W571="Good",Y571&lt;&gt;"Low"), "Low Risk : Approve", "Medium Risk : Review")))</f>
        <v>Medium Risk : Review</v>
      </c>
      <c r="AA571" s="5" t="str">
        <f t="shared" si="116"/>
        <v>Medium</v>
      </c>
    </row>
    <row r="572" spans="1:27" x14ac:dyDescent="0.2">
      <c r="A572">
        <v>25023</v>
      </c>
      <c r="B572">
        <v>43</v>
      </c>
      <c r="C572">
        <f t="shared" si="104"/>
        <v>43</v>
      </c>
      <c r="D572" t="s">
        <v>23</v>
      </c>
      <c r="E572" t="str">
        <f t="shared" si="105"/>
        <v>Self-Employed</v>
      </c>
      <c r="F572">
        <v>7599.39</v>
      </c>
      <c r="G572">
        <f>ABS(Table1[[#This Row],[Monthly_Income]])</f>
        <v>7599.39</v>
      </c>
      <c r="H572">
        <v>30847.03</v>
      </c>
      <c r="I572" s="5">
        <f t="shared" si="106"/>
        <v>30847.03</v>
      </c>
      <c r="J572">
        <v>48</v>
      </c>
      <c r="K572">
        <v>19.399999999999999</v>
      </c>
      <c r="M572" t="str">
        <f t="shared" si="107"/>
        <v>NULL</v>
      </c>
      <c r="N572">
        <v>5.6</v>
      </c>
      <c r="O572">
        <f t="shared" si="108"/>
        <v>5.6</v>
      </c>
      <c r="P572">
        <v>0</v>
      </c>
      <c r="Q572">
        <f t="shared" si="109"/>
        <v>0</v>
      </c>
      <c r="R572" t="s">
        <v>18</v>
      </c>
      <c r="S572" t="str">
        <f t="shared" si="110"/>
        <v>Non-Performing</v>
      </c>
      <c r="T572" t="s">
        <v>16</v>
      </c>
      <c r="U572" s="3">
        <f t="shared" si="111"/>
        <v>8.4565532014192354E-2</v>
      </c>
      <c r="V572" t="str">
        <f t="shared" si="112"/>
        <v>Healthy</v>
      </c>
      <c r="W572" t="str">
        <f t="shared" si="113"/>
        <v>Good</v>
      </c>
      <c r="X572" s="5" t="str">
        <f t="shared" si="114"/>
        <v>High</v>
      </c>
      <c r="Y572" s="5" t="str">
        <f t="shared" si="115"/>
        <v>Medium</v>
      </c>
      <c r="Z572" s="5" t="str">
        <f>IF(B572=120,"NULL",IF(AND(V572="High Stress", W572="High Risk", Y572="Low"),"High Risk : Reject", IF(AND(V572="Healthy", W572="Good",Y572&lt;&gt;"Low"), "Low Risk : Approve", "Medium Risk : Review")))</f>
        <v>Low Risk : Approve</v>
      </c>
      <c r="AA572" s="5" t="str">
        <f t="shared" si="116"/>
        <v>Medium</v>
      </c>
    </row>
    <row r="573" spans="1:27" x14ac:dyDescent="0.2">
      <c r="A573">
        <v>24046</v>
      </c>
      <c r="B573">
        <v>120</v>
      </c>
      <c r="C573" t="str">
        <f t="shared" si="104"/>
        <v>NULL</v>
      </c>
      <c r="D573" t="s">
        <v>23</v>
      </c>
      <c r="E573" t="str">
        <f t="shared" si="105"/>
        <v>Self-Employed</v>
      </c>
      <c r="F573">
        <v>4624.13</v>
      </c>
      <c r="G573">
        <f>ABS(Table1[[#This Row],[Monthly_Income]])</f>
        <v>4624.13</v>
      </c>
      <c r="H573">
        <v>8363.33</v>
      </c>
      <c r="I573" s="5">
        <f t="shared" si="106"/>
        <v>8363.33</v>
      </c>
      <c r="J573">
        <v>24</v>
      </c>
      <c r="K573">
        <v>24.36</v>
      </c>
      <c r="L573">
        <v>4</v>
      </c>
      <c r="M573">
        <f t="shared" si="107"/>
        <v>4</v>
      </c>
      <c r="N573">
        <v>10</v>
      </c>
      <c r="O573">
        <f t="shared" si="108"/>
        <v>10</v>
      </c>
      <c r="P573">
        <v>0</v>
      </c>
      <c r="Q573">
        <f t="shared" si="109"/>
        <v>0</v>
      </c>
      <c r="R573" t="s">
        <v>24</v>
      </c>
      <c r="S573" t="str">
        <f t="shared" si="110"/>
        <v>Non-Performing</v>
      </c>
      <c r="T573" t="s">
        <v>19</v>
      </c>
      <c r="U573" s="3">
        <f t="shared" si="111"/>
        <v>7.5359491046604082E-2</v>
      </c>
      <c r="V573" t="str">
        <f t="shared" si="112"/>
        <v>Healthy</v>
      </c>
      <c r="W573" t="str">
        <f t="shared" si="113"/>
        <v>Good</v>
      </c>
      <c r="X573" s="5" t="str">
        <f t="shared" si="114"/>
        <v>Small</v>
      </c>
      <c r="Y573" s="5" t="str">
        <f t="shared" si="115"/>
        <v>Medium</v>
      </c>
      <c r="Z573" s="5" t="str">
        <f>IF(B573=120,"NULL",IF(AND(V573="High Stress", W573="High Risk", Y573="Low"),"High Risk : Reject", IF(AND(V573="Healthy", W573="Good",Y573&lt;&gt;"Low"), "Low Risk : Approve", "Medium Risk : Review")))</f>
        <v>NULL</v>
      </c>
      <c r="AA573" s="5" t="str">
        <f t="shared" si="116"/>
        <v>Medium</v>
      </c>
    </row>
    <row r="574" spans="1:27" x14ac:dyDescent="0.2">
      <c r="A574">
        <v>25369</v>
      </c>
      <c r="B574">
        <v>59</v>
      </c>
      <c r="C574">
        <f t="shared" si="104"/>
        <v>59</v>
      </c>
      <c r="D574" t="s">
        <v>12</v>
      </c>
      <c r="E574" t="str">
        <f t="shared" si="105"/>
        <v>Self-Employed</v>
      </c>
      <c r="F574">
        <v>7876.85</v>
      </c>
      <c r="G574">
        <f>ABS(Table1[[#This Row],[Monthly_Income]])</f>
        <v>7876.85</v>
      </c>
      <c r="H574">
        <v>17666.32</v>
      </c>
      <c r="I574" s="5">
        <f t="shared" si="106"/>
        <v>17666.32</v>
      </c>
      <c r="J574">
        <v>6</v>
      </c>
      <c r="K574">
        <v>22.15</v>
      </c>
      <c r="L574">
        <v>1</v>
      </c>
      <c r="M574">
        <f t="shared" si="107"/>
        <v>1</v>
      </c>
      <c r="N574">
        <v>5.4</v>
      </c>
      <c r="O574">
        <f t="shared" si="108"/>
        <v>5.4</v>
      </c>
      <c r="P574">
        <v>0</v>
      </c>
      <c r="Q574">
        <f t="shared" si="109"/>
        <v>0</v>
      </c>
      <c r="R574" t="s">
        <v>15</v>
      </c>
      <c r="S574" t="str">
        <f t="shared" si="110"/>
        <v xml:space="preserve">Performing </v>
      </c>
      <c r="T574" t="s">
        <v>16</v>
      </c>
      <c r="U574" s="3">
        <f t="shared" si="111"/>
        <v>0.37380255643647731</v>
      </c>
      <c r="V574" t="str">
        <f t="shared" si="112"/>
        <v>Stretched</v>
      </c>
      <c r="W574" t="str">
        <f t="shared" si="113"/>
        <v>Good</v>
      </c>
      <c r="X574" s="5" t="str">
        <f t="shared" si="114"/>
        <v>Medium</v>
      </c>
      <c r="Y574" s="5" t="str">
        <f t="shared" si="115"/>
        <v>Medium</v>
      </c>
      <c r="Z574" s="5" t="str">
        <f>IF(B574=120,"NULL",IF(AND(V574="High Stress", W574="High Risk", Y574="Low"),"High Risk : Reject", IF(AND(V574="Healthy", W574="Good",Y574&lt;&gt;"Low"), "Low Risk : Approve", "Medium Risk : Review")))</f>
        <v>Medium Risk : Review</v>
      </c>
      <c r="AA574" s="5" t="str">
        <f t="shared" si="116"/>
        <v>Medium</v>
      </c>
    </row>
    <row r="575" spans="1:27" x14ac:dyDescent="0.2">
      <c r="A575">
        <v>23135</v>
      </c>
      <c r="B575">
        <v>38</v>
      </c>
      <c r="C575">
        <f t="shared" si="104"/>
        <v>38</v>
      </c>
      <c r="D575" t="s">
        <v>21</v>
      </c>
      <c r="E575" t="str">
        <f t="shared" si="105"/>
        <v>Salaried</v>
      </c>
      <c r="F575">
        <v>2578.73</v>
      </c>
      <c r="G575">
        <f>ABS(Table1[[#This Row],[Monthly_Income]])</f>
        <v>2578.73</v>
      </c>
      <c r="H575">
        <v>29052.16</v>
      </c>
      <c r="I575" s="5">
        <f t="shared" si="106"/>
        <v>29052.16</v>
      </c>
      <c r="J575">
        <v>18</v>
      </c>
      <c r="K575">
        <v>13.18</v>
      </c>
      <c r="L575">
        <v>4</v>
      </c>
      <c r="M575">
        <f t="shared" si="107"/>
        <v>4</v>
      </c>
      <c r="O575" t="str">
        <f t="shared" si="108"/>
        <v>NULL</v>
      </c>
      <c r="P575">
        <v>60</v>
      </c>
      <c r="Q575">
        <f t="shared" si="109"/>
        <v>60</v>
      </c>
      <c r="R575" t="s">
        <v>13</v>
      </c>
      <c r="S575" t="str">
        <f t="shared" si="110"/>
        <v>Performing</v>
      </c>
      <c r="T575" t="s">
        <v>22</v>
      </c>
      <c r="U575" s="3">
        <f t="shared" si="111"/>
        <v>0.62589293523900869</v>
      </c>
      <c r="V575" t="str">
        <f t="shared" si="112"/>
        <v>High Stress</v>
      </c>
      <c r="W575" t="str">
        <f t="shared" si="113"/>
        <v>High Risk</v>
      </c>
      <c r="X575" s="5" t="str">
        <f t="shared" si="114"/>
        <v>Medium</v>
      </c>
      <c r="Y575" s="5" t="str">
        <f t="shared" si="115"/>
        <v>High</v>
      </c>
      <c r="Z575" s="5" t="str">
        <f>IF(B575=120,"NULL",IF(AND(V575="High Stress", W575="High Risk", Y575="Low"),"High Risk : Reject", IF(AND(V575="Healthy", W575="Good",Y575&lt;&gt;"Low"), "Low Risk : Approve", "Medium Risk : Review")))</f>
        <v>Medium Risk : Review</v>
      </c>
      <c r="AA575" s="5" t="str">
        <f t="shared" si="116"/>
        <v>Medium</v>
      </c>
    </row>
    <row r="576" spans="1:27" x14ac:dyDescent="0.2">
      <c r="A576">
        <v>23073</v>
      </c>
      <c r="B576">
        <v>23</v>
      </c>
      <c r="C576">
        <f t="shared" si="104"/>
        <v>23</v>
      </c>
      <c r="D576" t="s">
        <v>12</v>
      </c>
      <c r="E576" t="str">
        <f t="shared" si="105"/>
        <v>Self-Employed</v>
      </c>
      <c r="F576">
        <v>7851.76</v>
      </c>
      <c r="G576">
        <f>ABS(Table1[[#This Row],[Monthly_Income]])</f>
        <v>7851.76</v>
      </c>
      <c r="H576">
        <v>34065.160000000003</v>
      </c>
      <c r="I576" s="5">
        <f t="shared" si="106"/>
        <v>34065.160000000003</v>
      </c>
      <c r="J576">
        <v>36</v>
      </c>
      <c r="K576">
        <v>17.420000000000002</v>
      </c>
      <c r="L576">
        <v>0</v>
      </c>
      <c r="M576">
        <f t="shared" si="107"/>
        <v>0</v>
      </c>
      <c r="N576">
        <v>2.6</v>
      </c>
      <c r="O576">
        <f t="shared" si="108"/>
        <v>2.6</v>
      </c>
      <c r="P576">
        <v>0</v>
      </c>
      <c r="Q576">
        <f t="shared" si="109"/>
        <v>0</v>
      </c>
      <c r="R576" t="s">
        <v>20</v>
      </c>
      <c r="S576" t="str">
        <f t="shared" si="110"/>
        <v>Written Off</v>
      </c>
      <c r="T576" t="s">
        <v>14</v>
      </c>
      <c r="U576" s="3">
        <f t="shared" si="111"/>
        <v>0.12051494753334852</v>
      </c>
      <c r="V576" t="str">
        <f t="shared" si="112"/>
        <v>Healthy</v>
      </c>
      <c r="W576" t="str">
        <f t="shared" si="113"/>
        <v>Good</v>
      </c>
      <c r="X576" s="5" t="str">
        <f t="shared" si="114"/>
        <v>High</v>
      </c>
      <c r="Y576" s="5" t="str">
        <f t="shared" si="115"/>
        <v>Medium</v>
      </c>
      <c r="Z576" s="5" t="str">
        <f>IF(B576=120,"NULL",IF(AND(V576="High Stress", W576="High Risk", Y576="Low"),"High Risk : Reject", IF(AND(V576="Healthy", W576="Good",Y576&lt;&gt;"Low"), "Low Risk : Approve", "Medium Risk : Review")))</f>
        <v>Low Risk : Approve</v>
      </c>
      <c r="AA576" s="5" t="str">
        <f t="shared" si="116"/>
        <v>Medium</v>
      </c>
    </row>
    <row r="577" spans="1:27" x14ac:dyDescent="0.2">
      <c r="A577">
        <v>23437</v>
      </c>
      <c r="B577">
        <v>22</v>
      </c>
      <c r="C577">
        <f t="shared" si="104"/>
        <v>22</v>
      </c>
      <c r="D577" t="s">
        <v>12</v>
      </c>
      <c r="E577" t="str">
        <f t="shared" si="105"/>
        <v>Self-Employed</v>
      </c>
      <c r="F577">
        <v>4212.03</v>
      </c>
      <c r="G577">
        <f>ABS(Table1[[#This Row],[Monthly_Income]])</f>
        <v>4212.03</v>
      </c>
      <c r="H577">
        <v>18745.86</v>
      </c>
      <c r="I577" s="5">
        <f t="shared" si="106"/>
        <v>18745.86</v>
      </c>
      <c r="J577">
        <v>48</v>
      </c>
      <c r="K577">
        <v>20.5</v>
      </c>
      <c r="L577">
        <v>4</v>
      </c>
      <c r="M577">
        <f t="shared" si="107"/>
        <v>4</v>
      </c>
      <c r="N577">
        <v>14.8</v>
      </c>
      <c r="O577">
        <f t="shared" si="108"/>
        <v>14.8</v>
      </c>
      <c r="P577">
        <v>90</v>
      </c>
      <c r="Q577">
        <f t="shared" si="109"/>
        <v>90</v>
      </c>
      <c r="R577" t="s">
        <v>13</v>
      </c>
      <c r="S577" t="str">
        <f t="shared" si="110"/>
        <v>Performing</v>
      </c>
      <c r="T577" t="s">
        <v>22</v>
      </c>
      <c r="U577" s="3">
        <f t="shared" si="111"/>
        <v>9.2719840551942892E-2</v>
      </c>
      <c r="V577" t="str">
        <f t="shared" si="112"/>
        <v>Healthy</v>
      </c>
      <c r="W577" t="str">
        <f t="shared" si="113"/>
        <v>High Risk</v>
      </c>
      <c r="X577" s="5" t="str">
        <f t="shared" si="114"/>
        <v>Medium</v>
      </c>
      <c r="Y577" s="5" t="str">
        <f t="shared" si="115"/>
        <v>Medium</v>
      </c>
      <c r="Z577" s="5" t="str">
        <f>IF(B577=120,"NULL",IF(AND(V577="High Stress", W577="High Risk", Y577="Low"),"High Risk : Reject", IF(AND(V577="Healthy", W577="Good",Y577&lt;&gt;"Low"), "Low Risk : Approve", "Medium Risk : Review")))</f>
        <v>Medium Risk : Review</v>
      </c>
      <c r="AA577" s="5" t="str">
        <f t="shared" si="116"/>
        <v>Medium</v>
      </c>
    </row>
    <row r="578" spans="1:27" x14ac:dyDescent="0.2">
      <c r="A578">
        <v>24217</v>
      </c>
      <c r="B578">
        <v>61</v>
      </c>
      <c r="C578">
        <f t="shared" ref="C578:C641" si="117">IF(B578=120,"NULL",B578)</f>
        <v>61</v>
      </c>
      <c r="D578" t="s">
        <v>12</v>
      </c>
      <c r="E578" t="str">
        <f t="shared" ref="E578:E641" si="118">TRIM(IF(D578="Self employed","Self-Employed",D578))</f>
        <v>Self-Employed</v>
      </c>
      <c r="F578">
        <v>853.77</v>
      </c>
      <c r="G578">
        <f>ABS(Table1[[#This Row],[Monthly_Income]])</f>
        <v>853.77</v>
      </c>
      <c r="H578">
        <v>18017.39</v>
      </c>
      <c r="I578" s="5">
        <f t="shared" ref="I578:I641" si="119">IF(H578="","NULL",ABS(H578))</f>
        <v>18017.39</v>
      </c>
      <c r="J578">
        <v>6</v>
      </c>
      <c r="K578">
        <v>18.649999999999999</v>
      </c>
      <c r="L578">
        <v>4</v>
      </c>
      <c r="M578">
        <f t="shared" ref="M578:M641" si="120">IF(L578="","NULL",L578)</f>
        <v>4</v>
      </c>
      <c r="N578">
        <v>12.6</v>
      </c>
      <c r="O578">
        <f t="shared" ref="O578:O641" si="121">IF(N578="","NULL",ABS(N578))</f>
        <v>12.6</v>
      </c>
      <c r="Q578" t="str">
        <f t="shared" ref="Q578:Q641" si="122">IF(P578="","NULL",P578)</f>
        <v>NULL</v>
      </c>
      <c r="R578" t="s">
        <v>24</v>
      </c>
      <c r="S578" t="str">
        <f t="shared" ref="S578:S641" si="123">IF(R578="Non performing","Non-Performing",R578)</f>
        <v>Non-Performing</v>
      </c>
      <c r="T578" t="s">
        <v>16</v>
      </c>
      <c r="U578" s="3">
        <f t="shared" ref="U578:U641" si="124">IFERROR(I578/(G578*J578),"NULL")</f>
        <v>3.5172216561056646</v>
      </c>
      <c r="V578" t="str">
        <f t="shared" ref="V578:V641" si="125">IF(U578="NULL","NULL",IF(U578&lt;=0.3,"Healthy",IF(U578&lt;=0.45,"Stretched","High Stress")))</f>
        <v>High Stress</v>
      </c>
      <c r="W578" t="str">
        <f t="shared" ref="W578:W641" si="126">IF(Q578="NULL","NULL",IF(Q578&lt;30,"Good",IF(Q578&lt;60,"At Risk","High Risk")))</f>
        <v>NULL</v>
      </c>
      <c r="X578" s="5" t="str">
        <f t="shared" ref="X578:X641" si="127">IF(I578&lt;10000,"Small",IF(I578&lt;=30000,"Medium","High"))</f>
        <v>Medium</v>
      </c>
      <c r="Y578" s="5" t="str">
        <f t="shared" ref="Y578:Y641" si="128">IF(E578="Salaried","High",IF(E578="Self-Employed","Medium","Low"))</f>
        <v>Medium</v>
      </c>
      <c r="Z578" s="5" t="str">
        <f>IF(B578=120,"NULL",IF(AND(V578="High Stress", W578="High Risk", Y578="Low"),"High Risk : Reject", IF(AND(V578="Healthy", W578="Good",Y578&lt;&gt;"Low"), "Low Risk : Approve", "Medium Risk : Review")))</f>
        <v>Medium Risk : Review</v>
      </c>
      <c r="AA578" s="5" t="str">
        <f t="shared" ref="AA578:AA641" si="129">IF(G578="NULL","NULL",IF(G578&gt;8000,"High",IF(G578&gt;2000,"Medium","Low")))</f>
        <v>Low</v>
      </c>
    </row>
    <row r="579" spans="1:27" x14ac:dyDescent="0.2">
      <c r="A579">
        <v>22128</v>
      </c>
      <c r="B579">
        <v>22</v>
      </c>
      <c r="C579">
        <f t="shared" si="117"/>
        <v>22</v>
      </c>
      <c r="D579" t="s">
        <v>12</v>
      </c>
      <c r="E579" t="str">
        <f t="shared" si="118"/>
        <v>Self-Employed</v>
      </c>
      <c r="F579">
        <v>7611.9</v>
      </c>
      <c r="G579">
        <f>ABS(Table1[[#This Row],[Monthly_Income]])</f>
        <v>7611.9</v>
      </c>
      <c r="H579">
        <v>36640.94</v>
      </c>
      <c r="I579" s="5">
        <f t="shared" si="119"/>
        <v>36640.94</v>
      </c>
      <c r="J579">
        <v>12</v>
      </c>
      <c r="K579">
        <v>22.99</v>
      </c>
      <c r="L579">
        <v>2</v>
      </c>
      <c r="M579">
        <f t="shared" si="120"/>
        <v>2</v>
      </c>
      <c r="N579">
        <v>6.5</v>
      </c>
      <c r="O579">
        <f t="shared" si="121"/>
        <v>6.5</v>
      </c>
      <c r="P579">
        <v>0</v>
      </c>
      <c r="Q579">
        <f t="shared" si="122"/>
        <v>0</v>
      </c>
      <c r="R579" t="s">
        <v>24</v>
      </c>
      <c r="S579" t="str">
        <f t="shared" si="123"/>
        <v>Non-Performing</v>
      </c>
      <c r="T579" t="s">
        <v>16</v>
      </c>
      <c r="U579" s="3">
        <f t="shared" si="124"/>
        <v>0.40113659752054903</v>
      </c>
      <c r="V579" t="str">
        <f t="shared" si="125"/>
        <v>Stretched</v>
      </c>
      <c r="W579" t="str">
        <f t="shared" si="126"/>
        <v>Good</v>
      </c>
      <c r="X579" s="5" t="str">
        <f t="shared" si="127"/>
        <v>High</v>
      </c>
      <c r="Y579" s="5" t="str">
        <f t="shared" si="128"/>
        <v>Medium</v>
      </c>
      <c r="Z579" s="5" t="str">
        <f>IF(B579=120,"NULL",IF(AND(V579="High Stress", W579="High Risk", Y579="Low"),"High Risk : Reject", IF(AND(V579="Healthy", W579="Good",Y579&lt;&gt;"Low"), "Low Risk : Approve", "Medium Risk : Review")))</f>
        <v>Medium Risk : Review</v>
      </c>
      <c r="AA579" s="5" t="str">
        <f t="shared" si="129"/>
        <v>Medium</v>
      </c>
    </row>
    <row r="580" spans="1:27" x14ac:dyDescent="0.2">
      <c r="A580">
        <v>25565</v>
      </c>
      <c r="B580">
        <v>58</v>
      </c>
      <c r="C580">
        <f t="shared" si="117"/>
        <v>58</v>
      </c>
      <c r="D580" t="s">
        <v>23</v>
      </c>
      <c r="E580" t="str">
        <f t="shared" si="118"/>
        <v>Self-Employed</v>
      </c>
      <c r="F580">
        <v>3672.27</v>
      </c>
      <c r="G580">
        <f>ABS(Table1[[#This Row],[Monthly_Income]])</f>
        <v>3672.27</v>
      </c>
      <c r="H580">
        <v>29325.31</v>
      </c>
      <c r="I580" s="5">
        <f t="shared" si="119"/>
        <v>29325.31</v>
      </c>
      <c r="J580">
        <v>6</v>
      </c>
      <c r="K580">
        <v>14.28</v>
      </c>
      <c r="L580">
        <v>0</v>
      </c>
      <c r="M580">
        <f t="shared" si="120"/>
        <v>0</v>
      </c>
      <c r="N580">
        <v>11.8</v>
      </c>
      <c r="O580">
        <f t="shared" si="121"/>
        <v>11.8</v>
      </c>
      <c r="P580">
        <v>0</v>
      </c>
      <c r="Q580">
        <f t="shared" si="122"/>
        <v>0</v>
      </c>
      <c r="R580" t="s">
        <v>20</v>
      </c>
      <c r="S580" t="str">
        <f t="shared" si="123"/>
        <v>Written Off</v>
      </c>
      <c r="T580" t="s">
        <v>14</v>
      </c>
      <c r="U580" s="3">
        <f t="shared" si="124"/>
        <v>1.3309347261140023</v>
      </c>
      <c r="V580" t="str">
        <f t="shared" si="125"/>
        <v>High Stress</v>
      </c>
      <c r="W580" t="str">
        <f t="shared" si="126"/>
        <v>Good</v>
      </c>
      <c r="X580" s="5" t="str">
        <f t="shared" si="127"/>
        <v>Medium</v>
      </c>
      <c r="Y580" s="5" t="str">
        <f t="shared" si="128"/>
        <v>Medium</v>
      </c>
      <c r="Z580" s="5" t="str">
        <f>IF(B580=120,"NULL",IF(AND(V580="High Stress", W580="High Risk", Y580="Low"),"High Risk : Reject", IF(AND(V580="Healthy", W580="Good",Y580&lt;&gt;"Low"), "Low Risk : Approve", "Medium Risk : Review")))</f>
        <v>Medium Risk : Review</v>
      </c>
      <c r="AA580" s="5" t="str">
        <f t="shared" si="129"/>
        <v>Medium</v>
      </c>
    </row>
    <row r="581" spans="1:27" x14ac:dyDescent="0.2">
      <c r="A581">
        <v>20045</v>
      </c>
      <c r="B581">
        <v>25</v>
      </c>
      <c r="C581">
        <f t="shared" si="117"/>
        <v>25</v>
      </c>
      <c r="D581" t="s">
        <v>17</v>
      </c>
      <c r="E581" t="str">
        <f t="shared" si="118"/>
        <v>Contract</v>
      </c>
      <c r="F581">
        <v>6606.3</v>
      </c>
      <c r="G581">
        <f>ABS(Table1[[#This Row],[Monthly_Income]])</f>
        <v>6606.3</v>
      </c>
      <c r="H581">
        <v>26885.16</v>
      </c>
      <c r="I581" s="5">
        <f t="shared" si="119"/>
        <v>26885.16</v>
      </c>
      <c r="J581">
        <v>18</v>
      </c>
      <c r="K581">
        <v>21.3</v>
      </c>
      <c r="L581">
        <v>3</v>
      </c>
      <c r="M581">
        <f t="shared" si="120"/>
        <v>3</v>
      </c>
      <c r="N581">
        <v>6.3</v>
      </c>
      <c r="O581">
        <f t="shared" si="121"/>
        <v>6.3</v>
      </c>
      <c r="P581">
        <v>120</v>
      </c>
      <c r="Q581">
        <f t="shared" si="122"/>
        <v>120</v>
      </c>
      <c r="R581" t="s">
        <v>20</v>
      </c>
      <c r="S581" t="str">
        <f t="shared" si="123"/>
        <v>Written Off</v>
      </c>
      <c r="T581" t="s">
        <v>19</v>
      </c>
      <c r="U581" s="3">
        <f t="shared" si="124"/>
        <v>0.22609024718828996</v>
      </c>
      <c r="V581" t="str">
        <f t="shared" si="125"/>
        <v>Healthy</v>
      </c>
      <c r="W581" t="str">
        <f t="shared" si="126"/>
        <v>High Risk</v>
      </c>
      <c r="X581" s="5" t="str">
        <f t="shared" si="127"/>
        <v>Medium</v>
      </c>
      <c r="Y581" s="5" t="str">
        <f t="shared" si="128"/>
        <v>Low</v>
      </c>
      <c r="Z581" s="5" t="str">
        <f>IF(B581=120,"NULL",IF(AND(V581="High Stress", W581="High Risk", Y581="Low"),"High Risk : Reject", IF(AND(V581="Healthy", W581="Good",Y581&lt;&gt;"Low"), "Low Risk : Approve", "Medium Risk : Review")))</f>
        <v>Medium Risk : Review</v>
      </c>
      <c r="AA581" s="5" t="str">
        <f t="shared" si="129"/>
        <v>Medium</v>
      </c>
    </row>
    <row r="582" spans="1:27" x14ac:dyDescent="0.2">
      <c r="A582">
        <v>25774</v>
      </c>
      <c r="B582">
        <v>56</v>
      </c>
      <c r="C582">
        <f t="shared" si="117"/>
        <v>56</v>
      </c>
      <c r="D582" t="s">
        <v>12</v>
      </c>
      <c r="E582" t="str">
        <f t="shared" si="118"/>
        <v>Self-Employed</v>
      </c>
      <c r="F582">
        <v>5180.7</v>
      </c>
      <c r="G582">
        <f>ABS(Table1[[#This Row],[Monthly_Income]])</f>
        <v>5180.7</v>
      </c>
      <c r="H582">
        <v>30683.37</v>
      </c>
      <c r="I582" s="5">
        <f t="shared" si="119"/>
        <v>30683.37</v>
      </c>
      <c r="J582">
        <v>18</v>
      </c>
      <c r="K582">
        <v>14.19</v>
      </c>
      <c r="L582">
        <v>3</v>
      </c>
      <c r="M582">
        <f t="shared" si="120"/>
        <v>3</v>
      </c>
      <c r="N582">
        <v>9.6999999999999993</v>
      </c>
      <c r="O582">
        <f t="shared" si="121"/>
        <v>9.6999999999999993</v>
      </c>
      <c r="Q582" t="str">
        <f t="shared" si="122"/>
        <v>NULL</v>
      </c>
      <c r="R582" t="s">
        <v>13</v>
      </c>
      <c r="S582" t="str">
        <f t="shared" si="123"/>
        <v>Performing</v>
      </c>
      <c r="T582" t="s">
        <v>14</v>
      </c>
      <c r="U582" s="3">
        <f t="shared" si="124"/>
        <v>0.32903500813918329</v>
      </c>
      <c r="V582" t="str">
        <f t="shared" si="125"/>
        <v>Stretched</v>
      </c>
      <c r="W582" t="str">
        <f t="shared" si="126"/>
        <v>NULL</v>
      </c>
      <c r="X582" s="5" t="str">
        <f t="shared" si="127"/>
        <v>High</v>
      </c>
      <c r="Y582" s="5" t="str">
        <f t="shared" si="128"/>
        <v>Medium</v>
      </c>
      <c r="Z582" s="5" t="str">
        <f>IF(B582=120,"NULL",IF(AND(V582="High Stress", W582="High Risk", Y582="Low"),"High Risk : Reject", IF(AND(V582="Healthy", W582="Good",Y582&lt;&gt;"Low"), "Low Risk : Approve", "Medium Risk : Review")))</f>
        <v>Medium Risk : Review</v>
      </c>
      <c r="AA582" s="5" t="str">
        <f t="shared" si="129"/>
        <v>Medium</v>
      </c>
    </row>
    <row r="583" spans="1:27" x14ac:dyDescent="0.2">
      <c r="A583">
        <v>23189</v>
      </c>
      <c r="B583">
        <v>56</v>
      </c>
      <c r="C583">
        <f t="shared" si="117"/>
        <v>56</v>
      </c>
      <c r="D583" t="s">
        <v>21</v>
      </c>
      <c r="E583" t="str">
        <f t="shared" si="118"/>
        <v>Salaried</v>
      </c>
      <c r="F583">
        <v>6563.03</v>
      </c>
      <c r="G583">
        <f>ABS(Table1[[#This Row],[Monthly_Income]])</f>
        <v>6563.03</v>
      </c>
      <c r="H583">
        <v>22890.43</v>
      </c>
      <c r="I583" s="5">
        <f t="shared" si="119"/>
        <v>22890.43</v>
      </c>
      <c r="J583">
        <v>60</v>
      </c>
      <c r="K583">
        <v>18.07</v>
      </c>
      <c r="L583">
        <v>1</v>
      </c>
      <c r="M583">
        <f t="shared" si="120"/>
        <v>1</v>
      </c>
      <c r="N583">
        <v>-0.5</v>
      </c>
      <c r="O583">
        <f t="shared" si="121"/>
        <v>0.5</v>
      </c>
      <c r="P583">
        <v>0</v>
      </c>
      <c r="Q583">
        <f t="shared" si="122"/>
        <v>0</v>
      </c>
      <c r="R583" t="s">
        <v>20</v>
      </c>
      <c r="S583" t="str">
        <f t="shared" si="123"/>
        <v>Written Off</v>
      </c>
      <c r="T583" t="s">
        <v>22</v>
      </c>
      <c r="U583" s="3">
        <f t="shared" si="124"/>
        <v>5.8129730729048423E-2</v>
      </c>
      <c r="V583" t="str">
        <f t="shared" si="125"/>
        <v>Healthy</v>
      </c>
      <c r="W583" t="str">
        <f t="shared" si="126"/>
        <v>Good</v>
      </c>
      <c r="X583" s="5" t="str">
        <f t="shared" si="127"/>
        <v>Medium</v>
      </c>
      <c r="Y583" s="5" t="str">
        <f t="shared" si="128"/>
        <v>High</v>
      </c>
      <c r="Z583" s="5" t="str">
        <f>IF(B583=120,"NULL",IF(AND(V583="High Stress", W583="High Risk", Y583="Low"),"High Risk : Reject", IF(AND(V583="Healthy", W583="Good",Y583&lt;&gt;"Low"), "Low Risk : Approve", "Medium Risk : Review")))</f>
        <v>Low Risk : Approve</v>
      </c>
      <c r="AA583" s="5" t="str">
        <f t="shared" si="129"/>
        <v>Medium</v>
      </c>
    </row>
    <row r="584" spans="1:27" x14ac:dyDescent="0.2">
      <c r="A584">
        <v>24577</v>
      </c>
      <c r="B584">
        <v>41</v>
      </c>
      <c r="C584">
        <f t="shared" si="117"/>
        <v>41</v>
      </c>
      <c r="D584" t="s">
        <v>17</v>
      </c>
      <c r="E584" t="str">
        <f t="shared" si="118"/>
        <v>Contract</v>
      </c>
      <c r="F584">
        <v>6251.62</v>
      </c>
      <c r="G584">
        <f>ABS(Table1[[#This Row],[Monthly_Income]])</f>
        <v>6251.62</v>
      </c>
      <c r="H584">
        <v>18517.259999999998</v>
      </c>
      <c r="I584" s="5">
        <f t="shared" si="119"/>
        <v>18517.259999999998</v>
      </c>
      <c r="J584">
        <v>24</v>
      </c>
      <c r="K584">
        <v>27.08</v>
      </c>
      <c r="M584" t="str">
        <f t="shared" si="120"/>
        <v>NULL</v>
      </c>
      <c r="N584">
        <v>6.9</v>
      </c>
      <c r="O584">
        <f t="shared" si="121"/>
        <v>6.9</v>
      </c>
      <c r="P584">
        <v>0</v>
      </c>
      <c r="Q584">
        <f t="shared" si="122"/>
        <v>0</v>
      </c>
      <c r="R584" t="s">
        <v>24</v>
      </c>
      <c r="S584" t="str">
        <f t="shared" si="123"/>
        <v>Non-Performing</v>
      </c>
      <c r="T584" t="s">
        <v>16</v>
      </c>
      <c r="U584" s="3">
        <f t="shared" si="124"/>
        <v>0.1234164104664071</v>
      </c>
      <c r="V584" t="str">
        <f t="shared" si="125"/>
        <v>Healthy</v>
      </c>
      <c r="W584" t="str">
        <f t="shared" si="126"/>
        <v>Good</v>
      </c>
      <c r="X584" s="5" t="str">
        <f t="shared" si="127"/>
        <v>Medium</v>
      </c>
      <c r="Y584" s="5" t="str">
        <f t="shared" si="128"/>
        <v>Low</v>
      </c>
      <c r="Z584" s="5" t="str">
        <f>IF(B584=120,"NULL",IF(AND(V584="High Stress", W584="High Risk", Y584="Low"),"High Risk : Reject", IF(AND(V584="Healthy", W584="Good",Y584&lt;&gt;"Low"), "Low Risk : Approve", "Medium Risk : Review")))</f>
        <v>Medium Risk : Review</v>
      </c>
      <c r="AA584" s="5" t="str">
        <f t="shared" si="129"/>
        <v>Medium</v>
      </c>
    </row>
    <row r="585" spans="1:27" x14ac:dyDescent="0.2">
      <c r="A585">
        <v>20332</v>
      </c>
      <c r="B585">
        <v>52</v>
      </c>
      <c r="C585">
        <f t="shared" si="117"/>
        <v>52</v>
      </c>
      <c r="D585" t="s">
        <v>27</v>
      </c>
      <c r="E585" t="str">
        <f t="shared" si="118"/>
        <v>Unemployed</v>
      </c>
      <c r="F585">
        <v>6415.87</v>
      </c>
      <c r="G585">
        <f>ABS(Table1[[#This Row],[Monthly_Income]])</f>
        <v>6415.87</v>
      </c>
      <c r="H585">
        <v>9323.01</v>
      </c>
      <c r="I585" s="5">
        <f t="shared" si="119"/>
        <v>9323.01</v>
      </c>
      <c r="J585">
        <v>60</v>
      </c>
      <c r="K585">
        <v>4.72</v>
      </c>
      <c r="L585">
        <v>3</v>
      </c>
      <c r="M585">
        <f t="shared" si="120"/>
        <v>3</v>
      </c>
      <c r="N585">
        <v>3.5</v>
      </c>
      <c r="O585">
        <f t="shared" si="121"/>
        <v>3.5</v>
      </c>
      <c r="P585">
        <v>60</v>
      </c>
      <c r="Q585">
        <f t="shared" si="122"/>
        <v>60</v>
      </c>
      <c r="R585" t="s">
        <v>18</v>
      </c>
      <c r="S585" t="str">
        <f t="shared" si="123"/>
        <v>Non-Performing</v>
      </c>
      <c r="T585" t="s">
        <v>25</v>
      </c>
      <c r="U585" s="3">
        <f t="shared" si="124"/>
        <v>2.4218617272482142E-2</v>
      </c>
      <c r="V585" t="str">
        <f t="shared" si="125"/>
        <v>Healthy</v>
      </c>
      <c r="W585" t="str">
        <f t="shared" si="126"/>
        <v>High Risk</v>
      </c>
      <c r="X585" s="5" t="str">
        <f t="shared" si="127"/>
        <v>Small</v>
      </c>
      <c r="Y585" s="5" t="str">
        <f t="shared" si="128"/>
        <v>Low</v>
      </c>
      <c r="Z585" s="5" t="str">
        <f>IF(B585=120,"NULL",IF(AND(V585="High Stress", W585="High Risk", Y585="Low"),"High Risk : Reject", IF(AND(V585="Healthy", W585="Good",Y585&lt;&gt;"Low"), "Low Risk : Approve", "Medium Risk : Review")))</f>
        <v>Medium Risk : Review</v>
      </c>
      <c r="AA585" s="5" t="str">
        <f t="shared" si="129"/>
        <v>Medium</v>
      </c>
    </row>
    <row r="586" spans="1:27" x14ac:dyDescent="0.2">
      <c r="A586">
        <v>20236</v>
      </c>
      <c r="B586">
        <v>45</v>
      </c>
      <c r="C586">
        <f t="shared" si="117"/>
        <v>45</v>
      </c>
      <c r="D586" t="s">
        <v>23</v>
      </c>
      <c r="E586" t="str">
        <f t="shared" si="118"/>
        <v>Self-Employed</v>
      </c>
      <c r="F586">
        <v>7740.47</v>
      </c>
      <c r="G586">
        <f>ABS(Table1[[#This Row],[Monthly_Income]])</f>
        <v>7740.47</v>
      </c>
      <c r="H586">
        <v>47021.07</v>
      </c>
      <c r="I586" s="5">
        <f t="shared" si="119"/>
        <v>47021.07</v>
      </c>
      <c r="J586">
        <v>6</v>
      </c>
      <c r="K586">
        <v>15.47</v>
      </c>
      <c r="L586">
        <v>3</v>
      </c>
      <c r="M586">
        <f t="shared" si="120"/>
        <v>3</v>
      </c>
      <c r="N586">
        <v>3.5</v>
      </c>
      <c r="O586">
        <f t="shared" si="121"/>
        <v>3.5</v>
      </c>
      <c r="P586">
        <v>90</v>
      </c>
      <c r="Q586">
        <f t="shared" si="122"/>
        <v>90</v>
      </c>
      <c r="R586" t="s">
        <v>18</v>
      </c>
      <c r="S586" t="str">
        <f t="shared" si="123"/>
        <v>Non-Performing</v>
      </c>
      <c r="T586" t="s">
        <v>22</v>
      </c>
      <c r="U586" s="3">
        <f t="shared" si="124"/>
        <v>1.0124507943316103</v>
      </c>
      <c r="V586" t="str">
        <f t="shared" si="125"/>
        <v>High Stress</v>
      </c>
      <c r="W586" t="str">
        <f t="shared" si="126"/>
        <v>High Risk</v>
      </c>
      <c r="X586" s="5" t="str">
        <f t="shared" si="127"/>
        <v>High</v>
      </c>
      <c r="Y586" s="5" t="str">
        <f t="shared" si="128"/>
        <v>Medium</v>
      </c>
      <c r="Z586" s="5" t="str">
        <f>IF(B586=120,"NULL",IF(AND(V586="High Stress", W586="High Risk", Y586="Low"),"High Risk : Reject", IF(AND(V586="Healthy", W586="Good",Y586&lt;&gt;"Low"), "Low Risk : Approve", "Medium Risk : Review")))</f>
        <v>Medium Risk : Review</v>
      </c>
      <c r="AA586" s="5" t="str">
        <f t="shared" si="129"/>
        <v>Medium</v>
      </c>
    </row>
    <row r="587" spans="1:27" x14ac:dyDescent="0.2">
      <c r="A587">
        <v>21218</v>
      </c>
      <c r="B587">
        <v>22</v>
      </c>
      <c r="C587">
        <f t="shared" si="117"/>
        <v>22</v>
      </c>
      <c r="D587" t="s">
        <v>12</v>
      </c>
      <c r="E587" t="str">
        <f t="shared" si="118"/>
        <v>Self-Employed</v>
      </c>
      <c r="F587">
        <v>6997.39</v>
      </c>
      <c r="G587">
        <f>ABS(Table1[[#This Row],[Monthly_Income]])</f>
        <v>6997.39</v>
      </c>
      <c r="H587">
        <v>7825.01</v>
      </c>
      <c r="I587" s="5">
        <f t="shared" si="119"/>
        <v>7825.01</v>
      </c>
      <c r="J587">
        <v>36</v>
      </c>
      <c r="K587">
        <v>55</v>
      </c>
      <c r="L587">
        <v>3</v>
      </c>
      <c r="M587">
        <f t="shared" si="120"/>
        <v>3</v>
      </c>
      <c r="N587">
        <v>1.1000000000000001</v>
      </c>
      <c r="O587">
        <f t="shared" si="121"/>
        <v>1.1000000000000001</v>
      </c>
      <c r="P587">
        <v>90</v>
      </c>
      <c r="Q587">
        <f t="shared" si="122"/>
        <v>90</v>
      </c>
      <c r="R587" t="s">
        <v>18</v>
      </c>
      <c r="S587" t="str">
        <f t="shared" si="123"/>
        <v>Non-Performing</v>
      </c>
      <c r="T587" t="s">
        <v>16</v>
      </c>
      <c r="U587" s="3">
        <f t="shared" si="124"/>
        <v>3.1063209123528758E-2</v>
      </c>
      <c r="V587" t="str">
        <f t="shared" si="125"/>
        <v>Healthy</v>
      </c>
      <c r="W587" t="str">
        <f t="shared" si="126"/>
        <v>High Risk</v>
      </c>
      <c r="X587" s="5" t="str">
        <f t="shared" si="127"/>
        <v>Small</v>
      </c>
      <c r="Y587" s="5" t="str">
        <f t="shared" si="128"/>
        <v>Medium</v>
      </c>
      <c r="Z587" s="5" t="str">
        <f>IF(B587=120,"NULL",IF(AND(V587="High Stress", W587="High Risk", Y587="Low"),"High Risk : Reject", IF(AND(V587="Healthy", W587="Good",Y587&lt;&gt;"Low"), "Low Risk : Approve", "Medium Risk : Review")))</f>
        <v>Medium Risk : Review</v>
      </c>
      <c r="AA587" s="5" t="str">
        <f t="shared" si="129"/>
        <v>Medium</v>
      </c>
    </row>
    <row r="588" spans="1:27" x14ac:dyDescent="0.2">
      <c r="A588">
        <v>22401</v>
      </c>
      <c r="B588">
        <v>64</v>
      </c>
      <c r="C588">
        <f t="shared" si="117"/>
        <v>64</v>
      </c>
      <c r="D588" t="s">
        <v>21</v>
      </c>
      <c r="E588" t="str">
        <f t="shared" si="118"/>
        <v>Salaried</v>
      </c>
      <c r="F588">
        <v>3441.96</v>
      </c>
      <c r="G588">
        <f>ABS(Table1[[#This Row],[Monthly_Income]])</f>
        <v>3441.96</v>
      </c>
      <c r="H588">
        <v>7158.86</v>
      </c>
      <c r="I588" s="5">
        <f t="shared" si="119"/>
        <v>7158.86</v>
      </c>
      <c r="J588">
        <v>36</v>
      </c>
      <c r="K588">
        <v>14.12</v>
      </c>
      <c r="M588" t="str">
        <f t="shared" si="120"/>
        <v>NULL</v>
      </c>
      <c r="N588">
        <v>8.6</v>
      </c>
      <c r="O588">
        <f t="shared" si="121"/>
        <v>8.6</v>
      </c>
      <c r="P588">
        <v>0</v>
      </c>
      <c r="Q588">
        <f t="shared" si="122"/>
        <v>0</v>
      </c>
      <c r="R588" t="s">
        <v>20</v>
      </c>
      <c r="S588" t="str">
        <f t="shared" si="123"/>
        <v>Written Off</v>
      </c>
      <c r="T588" t="s">
        <v>14</v>
      </c>
      <c r="U588" s="3">
        <f t="shared" si="124"/>
        <v>5.777441406123901E-2</v>
      </c>
      <c r="V588" t="str">
        <f t="shared" si="125"/>
        <v>Healthy</v>
      </c>
      <c r="W588" t="str">
        <f t="shared" si="126"/>
        <v>Good</v>
      </c>
      <c r="X588" s="5" t="str">
        <f t="shared" si="127"/>
        <v>Small</v>
      </c>
      <c r="Y588" s="5" t="str">
        <f t="shared" si="128"/>
        <v>High</v>
      </c>
      <c r="Z588" s="5" t="str">
        <f>IF(B588=120,"NULL",IF(AND(V588="High Stress", W588="High Risk", Y588="Low"),"High Risk : Reject", IF(AND(V588="Healthy", W588="Good",Y588&lt;&gt;"Low"), "Low Risk : Approve", "Medium Risk : Review")))</f>
        <v>Low Risk : Approve</v>
      </c>
      <c r="AA588" s="5" t="str">
        <f t="shared" si="129"/>
        <v>Medium</v>
      </c>
    </row>
    <row r="589" spans="1:27" x14ac:dyDescent="0.2">
      <c r="A589">
        <v>24840</v>
      </c>
      <c r="B589">
        <v>64</v>
      </c>
      <c r="C589">
        <f t="shared" si="117"/>
        <v>64</v>
      </c>
      <c r="D589" t="s">
        <v>23</v>
      </c>
      <c r="E589" t="str">
        <f t="shared" si="118"/>
        <v>Self-Employed</v>
      </c>
      <c r="F589">
        <v>5036.6899999999996</v>
      </c>
      <c r="G589">
        <f>ABS(Table1[[#This Row],[Monthly_Income]])</f>
        <v>5036.6899999999996</v>
      </c>
      <c r="H589">
        <v>29153.5</v>
      </c>
      <c r="I589" s="5">
        <f t="shared" si="119"/>
        <v>29153.5</v>
      </c>
      <c r="J589">
        <v>6</v>
      </c>
      <c r="K589">
        <v>26.04</v>
      </c>
      <c r="L589">
        <v>2</v>
      </c>
      <c r="M589">
        <f t="shared" si="120"/>
        <v>2</v>
      </c>
      <c r="N589">
        <v>5.3</v>
      </c>
      <c r="O589">
        <f t="shared" si="121"/>
        <v>5.3</v>
      </c>
      <c r="Q589" t="str">
        <f t="shared" si="122"/>
        <v>NULL</v>
      </c>
      <c r="R589" t="s">
        <v>20</v>
      </c>
      <c r="S589" t="str">
        <f t="shared" si="123"/>
        <v>Written Off</v>
      </c>
      <c r="T589" t="s">
        <v>22</v>
      </c>
      <c r="U589" s="3">
        <f t="shared" si="124"/>
        <v>0.96470433293823266</v>
      </c>
      <c r="V589" t="str">
        <f t="shared" si="125"/>
        <v>High Stress</v>
      </c>
      <c r="W589" t="str">
        <f t="shared" si="126"/>
        <v>NULL</v>
      </c>
      <c r="X589" s="5" t="str">
        <f t="shared" si="127"/>
        <v>Medium</v>
      </c>
      <c r="Y589" s="5" t="str">
        <f t="shared" si="128"/>
        <v>Medium</v>
      </c>
      <c r="Z589" s="5" t="str">
        <f>IF(B589=120,"NULL",IF(AND(V589="High Stress", W589="High Risk", Y589="Low"),"High Risk : Reject", IF(AND(V589="Healthy", W589="Good",Y589&lt;&gt;"Low"), "Low Risk : Approve", "Medium Risk : Review")))</f>
        <v>Medium Risk : Review</v>
      </c>
      <c r="AA589" s="5" t="str">
        <f t="shared" si="129"/>
        <v>Medium</v>
      </c>
    </row>
    <row r="590" spans="1:27" x14ac:dyDescent="0.2">
      <c r="A590">
        <v>20391</v>
      </c>
      <c r="B590">
        <v>28</v>
      </c>
      <c r="C590">
        <f t="shared" si="117"/>
        <v>28</v>
      </c>
      <c r="D590" t="s">
        <v>23</v>
      </c>
      <c r="E590" t="str">
        <f t="shared" si="118"/>
        <v>Self-Employed</v>
      </c>
      <c r="F590">
        <v>8786.06</v>
      </c>
      <c r="G590">
        <f>ABS(Table1[[#This Row],[Monthly_Income]])</f>
        <v>8786.06</v>
      </c>
      <c r="H590">
        <v>16366.28</v>
      </c>
      <c r="I590" s="5">
        <f t="shared" si="119"/>
        <v>16366.28</v>
      </c>
      <c r="J590">
        <v>60</v>
      </c>
      <c r="K590">
        <v>16.38</v>
      </c>
      <c r="L590">
        <v>3</v>
      </c>
      <c r="M590">
        <f t="shared" si="120"/>
        <v>3</v>
      </c>
      <c r="N590">
        <v>8.6</v>
      </c>
      <c r="O590">
        <f t="shared" si="121"/>
        <v>8.6</v>
      </c>
      <c r="P590">
        <v>60</v>
      </c>
      <c r="Q590">
        <f t="shared" si="122"/>
        <v>60</v>
      </c>
      <c r="R590" t="s">
        <v>24</v>
      </c>
      <c r="S590" t="str">
        <f t="shared" si="123"/>
        <v>Non-Performing</v>
      </c>
      <c r="T590" t="s">
        <v>14</v>
      </c>
      <c r="U590" s="3">
        <f t="shared" si="124"/>
        <v>3.104592198702642E-2</v>
      </c>
      <c r="V590" t="str">
        <f t="shared" si="125"/>
        <v>Healthy</v>
      </c>
      <c r="W590" t="str">
        <f t="shared" si="126"/>
        <v>High Risk</v>
      </c>
      <c r="X590" s="5" t="str">
        <f t="shared" si="127"/>
        <v>Medium</v>
      </c>
      <c r="Y590" s="5" t="str">
        <f t="shared" si="128"/>
        <v>Medium</v>
      </c>
      <c r="Z590" s="5" t="str">
        <f>IF(B590=120,"NULL",IF(AND(V590="High Stress", W590="High Risk", Y590="Low"),"High Risk : Reject", IF(AND(V590="Healthy", W590="Good",Y590&lt;&gt;"Low"), "Low Risk : Approve", "Medium Risk : Review")))</f>
        <v>Medium Risk : Review</v>
      </c>
      <c r="AA590" s="5" t="str">
        <f t="shared" si="129"/>
        <v>High</v>
      </c>
    </row>
    <row r="591" spans="1:27" x14ac:dyDescent="0.2">
      <c r="A591">
        <v>23377</v>
      </c>
      <c r="B591">
        <v>46</v>
      </c>
      <c r="C591">
        <f t="shared" si="117"/>
        <v>46</v>
      </c>
      <c r="D591" t="s">
        <v>27</v>
      </c>
      <c r="E591" t="str">
        <f t="shared" si="118"/>
        <v>Unemployed</v>
      </c>
      <c r="F591">
        <v>4528.59</v>
      </c>
      <c r="G591">
        <f>ABS(Table1[[#This Row],[Monthly_Income]])</f>
        <v>4528.59</v>
      </c>
      <c r="H591">
        <v>26120.62</v>
      </c>
      <c r="I591" s="5">
        <f t="shared" si="119"/>
        <v>26120.62</v>
      </c>
      <c r="J591">
        <v>60</v>
      </c>
      <c r="K591">
        <v>12.82</v>
      </c>
      <c r="L591">
        <v>1</v>
      </c>
      <c r="M591">
        <f t="shared" si="120"/>
        <v>1</v>
      </c>
      <c r="O591" t="str">
        <f t="shared" si="121"/>
        <v>NULL</v>
      </c>
      <c r="P591">
        <v>0</v>
      </c>
      <c r="Q591">
        <f t="shared" si="122"/>
        <v>0</v>
      </c>
      <c r="R591" t="s">
        <v>18</v>
      </c>
      <c r="S591" t="str">
        <f t="shared" si="123"/>
        <v>Non-Performing</v>
      </c>
      <c r="T591" t="s">
        <v>25</v>
      </c>
      <c r="U591" s="3">
        <f t="shared" si="124"/>
        <v>9.6132276639454353E-2</v>
      </c>
      <c r="V591" t="str">
        <f t="shared" si="125"/>
        <v>Healthy</v>
      </c>
      <c r="W591" t="str">
        <f t="shared" si="126"/>
        <v>Good</v>
      </c>
      <c r="X591" s="5" t="str">
        <f t="shared" si="127"/>
        <v>Medium</v>
      </c>
      <c r="Y591" s="5" t="str">
        <f t="shared" si="128"/>
        <v>Low</v>
      </c>
      <c r="Z591" s="5" t="str">
        <f>IF(B591=120,"NULL",IF(AND(V591="High Stress", W591="High Risk", Y591="Low"),"High Risk : Reject", IF(AND(V591="Healthy", W591="Good",Y591&lt;&gt;"Low"), "Low Risk : Approve", "Medium Risk : Review")))</f>
        <v>Medium Risk : Review</v>
      </c>
      <c r="AA591" s="5" t="str">
        <f t="shared" si="129"/>
        <v>Medium</v>
      </c>
    </row>
    <row r="592" spans="1:27" x14ac:dyDescent="0.2">
      <c r="A592">
        <v>22436</v>
      </c>
      <c r="B592">
        <v>27</v>
      </c>
      <c r="C592">
        <f t="shared" si="117"/>
        <v>27</v>
      </c>
      <c r="D592" t="s">
        <v>23</v>
      </c>
      <c r="E592" t="str">
        <f t="shared" si="118"/>
        <v>Self-Employed</v>
      </c>
      <c r="F592">
        <v>8342.75</v>
      </c>
      <c r="G592">
        <f>ABS(Table1[[#This Row],[Monthly_Income]])</f>
        <v>8342.75</v>
      </c>
      <c r="H592">
        <v>4855.8999999999996</v>
      </c>
      <c r="I592" s="5">
        <f t="shared" si="119"/>
        <v>4855.8999999999996</v>
      </c>
      <c r="J592">
        <v>18</v>
      </c>
      <c r="K592">
        <v>17.47</v>
      </c>
      <c r="L592">
        <v>0</v>
      </c>
      <c r="M592">
        <f t="shared" si="120"/>
        <v>0</v>
      </c>
      <c r="N592">
        <v>12.3</v>
      </c>
      <c r="O592">
        <f t="shared" si="121"/>
        <v>12.3</v>
      </c>
      <c r="P592">
        <v>0</v>
      </c>
      <c r="Q592">
        <f t="shared" si="122"/>
        <v>0</v>
      </c>
      <c r="R592" t="s">
        <v>15</v>
      </c>
      <c r="S592" t="str">
        <f t="shared" si="123"/>
        <v xml:space="preserve">Performing </v>
      </c>
      <c r="T592" t="s">
        <v>14</v>
      </c>
      <c r="U592" s="3">
        <f t="shared" si="124"/>
        <v>3.2336126843333694E-2</v>
      </c>
      <c r="V592" t="str">
        <f t="shared" si="125"/>
        <v>Healthy</v>
      </c>
      <c r="W592" t="str">
        <f t="shared" si="126"/>
        <v>Good</v>
      </c>
      <c r="X592" s="5" t="str">
        <f t="shared" si="127"/>
        <v>Small</v>
      </c>
      <c r="Y592" s="5" t="str">
        <f t="shared" si="128"/>
        <v>Medium</v>
      </c>
      <c r="Z592" s="5" t="str">
        <f>IF(B592=120,"NULL",IF(AND(V592="High Stress", W592="High Risk", Y592="Low"),"High Risk : Reject", IF(AND(V592="Healthy", W592="Good",Y592&lt;&gt;"Low"), "Low Risk : Approve", "Medium Risk : Review")))</f>
        <v>Low Risk : Approve</v>
      </c>
      <c r="AA592" s="5" t="str">
        <f t="shared" si="129"/>
        <v>High</v>
      </c>
    </row>
    <row r="593" spans="1:27" x14ac:dyDescent="0.2">
      <c r="A593">
        <v>24664</v>
      </c>
      <c r="B593">
        <v>120</v>
      </c>
      <c r="C593" t="str">
        <f t="shared" si="117"/>
        <v>NULL</v>
      </c>
      <c r="D593" t="s">
        <v>17</v>
      </c>
      <c r="E593" t="str">
        <f t="shared" si="118"/>
        <v>Contract</v>
      </c>
      <c r="F593">
        <v>2998.87</v>
      </c>
      <c r="G593">
        <f>ABS(Table1[[#This Row],[Monthly_Income]])</f>
        <v>2998.87</v>
      </c>
      <c r="H593">
        <v>17031.82</v>
      </c>
      <c r="I593" s="5">
        <f t="shared" si="119"/>
        <v>17031.82</v>
      </c>
      <c r="J593">
        <v>36</v>
      </c>
      <c r="K593">
        <v>15.99</v>
      </c>
      <c r="L593">
        <v>0</v>
      </c>
      <c r="M593">
        <f t="shared" si="120"/>
        <v>0</v>
      </c>
      <c r="N593">
        <v>3.8</v>
      </c>
      <c r="O593">
        <f t="shared" si="121"/>
        <v>3.8</v>
      </c>
      <c r="Q593" t="str">
        <f t="shared" si="122"/>
        <v>NULL</v>
      </c>
      <c r="R593" t="s">
        <v>24</v>
      </c>
      <c r="S593" t="str">
        <f t="shared" si="123"/>
        <v>Non-Performing</v>
      </c>
      <c r="T593" t="s">
        <v>22</v>
      </c>
      <c r="U593" s="3">
        <f t="shared" si="124"/>
        <v>0.15776146052049977</v>
      </c>
      <c r="V593" t="str">
        <f t="shared" si="125"/>
        <v>Healthy</v>
      </c>
      <c r="W593" t="str">
        <f t="shared" si="126"/>
        <v>NULL</v>
      </c>
      <c r="X593" s="5" t="str">
        <f t="shared" si="127"/>
        <v>Medium</v>
      </c>
      <c r="Y593" s="5" t="str">
        <f t="shared" si="128"/>
        <v>Low</v>
      </c>
      <c r="Z593" s="5" t="str">
        <f>IF(B593=120,"NULL",IF(AND(V593="High Stress", W593="High Risk", Y593="Low"),"High Risk : Reject", IF(AND(V593="Healthy", W593="Good",Y593&lt;&gt;"Low"), "Low Risk : Approve", "Medium Risk : Review")))</f>
        <v>NULL</v>
      </c>
      <c r="AA593" s="5" t="str">
        <f t="shared" si="129"/>
        <v>Medium</v>
      </c>
    </row>
    <row r="594" spans="1:27" x14ac:dyDescent="0.2">
      <c r="A594">
        <v>20991</v>
      </c>
      <c r="B594">
        <v>62</v>
      </c>
      <c r="C594">
        <f t="shared" si="117"/>
        <v>62</v>
      </c>
      <c r="D594" t="s">
        <v>23</v>
      </c>
      <c r="E594" t="str">
        <f t="shared" si="118"/>
        <v>Self-Employed</v>
      </c>
      <c r="F594">
        <v>3236.15</v>
      </c>
      <c r="G594">
        <f>ABS(Table1[[#This Row],[Monthly_Income]])</f>
        <v>3236.15</v>
      </c>
      <c r="H594">
        <v>15956.25</v>
      </c>
      <c r="I594" s="5">
        <f t="shared" si="119"/>
        <v>15956.25</v>
      </c>
      <c r="J594">
        <v>6</v>
      </c>
      <c r="K594">
        <v>17.21</v>
      </c>
      <c r="L594">
        <v>1</v>
      </c>
      <c r="M594">
        <f t="shared" si="120"/>
        <v>1</v>
      </c>
      <c r="N594">
        <v>6.3</v>
      </c>
      <c r="O594">
        <f t="shared" si="121"/>
        <v>6.3</v>
      </c>
      <c r="P594">
        <v>120</v>
      </c>
      <c r="Q594">
        <f t="shared" si="122"/>
        <v>120</v>
      </c>
      <c r="R594" t="s">
        <v>20</v>
      </c>
      <c r="S594" t="str">
        <f t="shared" si="123"/>
        <v>Written Off</v>
      </c>
      <c r="T594" t="s">
        <v>14</v>
      </c>
      <c r="U594" s="3">
        <f t="shared" si="124"/>
        <v>0.82177124051728123</v>
      </c>
      <c r="V594" t="str">
        <f t="shared" si="125"/>
        <v>High Stress</v>
      </c>
      <c r="W594" t="str">
        <f t="shared" si="126"/>
        <v>High Risk</v>
      </c>
      <c r="X594" s="5" t="str">
        <f t="shared" si="127"/>
        <v>Medium</v>
      </c>
      <c r="Y594" s="5" t="str">
        <f t="shared" si="128"/>
        <v>Medium</v>
      </c>
      <c r="Z594" s="5" t="str">
        <f>IF(B594=120,"NULL",IF(AND(V594="High Stress", W594="High Risk", Y594="Low"),"High Risk : Reject", IF(AND(V594="Healthy", W594="Good",Y594&lt;&gt;"Low"), "Low Risk : Approve", "Medium Risk : Review")))</f>
        <v>Medium Risk : Review</v>
      </c>
      <c r="AA594" s="5" t="str">
        <f t="shared" si="129"/>
        <v>Medium</v>
      </c>
    </row>
    <row r="595" spans="1:27" x14ac:dyDescent="0.2">
      <c r="A595">
        <v>23973</v>
      </c>
      <c r="B595">
        <v>25</v>
      </c>
      <c r="C595">
        <f t="shared" si="117"/>
        <v>25</v>
      </c>
      <c r="D595" t="s">
        <v>27</v>
      </c>
      <c r="E595" t="str">
        <f t="shared" si="118"/>
        <v>Unemployed</v>
      </c>
      <c r="F595">
        <v>2563.71</v>
      </c>
      <c r="G595">
        <f>ABS(Table1[[#This Row],[Monthly_Income]])</f>
        <v>2563.71</v>
      </c>
      <c r="H595">
        <v>28062.11</v>
      </c>
      <c r="I595" s="5">
        <f t="shared" si="119"/>
        <v>28062.11</v>
      </c>
      <c r="J595">
        <v>24</v>
      </c>
      <c r="K595">
        <v>24.05</v>
      </c>
      <c r="L595">
        <v>1</v>
      </c>
      <c r="M595">
        <f t="shared" si="120"/>
        <v>1</v>
      </c>
      <c r="N595">
        <v>3.4</v>
      </c>
      <c r="O595">
        <f t="shared" si="121"/>
        <v>3.4</v>
      </c>
      <c r="P595">
        <v>90</v>
      </c>
      <c r="Q595">
        <f t="shared" si="122"/>
        <v>90</v>
      </c>
      <c r="R595" t="s">
        <v>13</v>
      </c>
      <c r="S595" t="str">
        <f t="shared" si="123"/>
        <v>Performing</v>
      </c>
      <c r="T595" t="s">
        <v>14</v>
      </c>
      <c r="U595" s="3">
        <f t="shared" si="124"/>
        <v>0.45607911321223282</v>
      </c>
      <c r="V595" t="str">
        <f t="shared" si="125"/>
        <v>High Stress</v>
      </c>
      <c r="W595" t="str">
        <f t="shared" si="126"/>
        <v>High Risk</v>
      </c>
      <c r="X595" s="5" t="str">
        <f t="shared" si="127"/>
        <v>Medium</v>
      </c>
      <c r="Y595" s="5" t="str">
        <f t="shared" si="128"/>
        <v>Low</v>
      </c>
      <c r="Z595" s="5" t="str">
        <f>IF(B595=120,"NULL",IF(AND(V595="High Stress", W595="High Risk", Y595="Low"),"High Risk : Reject", IF(AND(V595="Healthy", W595="Good",Y595&lt;&gt;"Low"), "Low Risk : Approve", "Medium Risk : Review")))</f>
        <v>High Risk : Reject</v>
      </c>
      <c r="AA595" s="5" t="str">
        <f t="shared" si="129"/>
        <v>Medium</v>
      </c>
    </row>
    <row r="596" spans="1:27" x14ac:dyDescent="0.2">
      <c r="A596">
        <v>23292</v>
      </c>
      <c r="B596">
        <v>21</v>
      </c>
      <c r="C596">
        <f t="shared" si="117"/>
        <v>21</v>
      </c>
      <c r="D596" t="s">
        <v>12</v>
      </c>
      <c r="E596" t="str">
        <f t="shared" si="118"/>
        <v>Self-Employed</v>
      </c>
      <c r="F596">
        <v>2820.65</v>
      </c>
      <c r="G596">
        <f>ABS(Table1[[#This Row],[Monthly_Income]])</f>
        <v>2820.65</v>
      </c>
      <c r="H596">
        <v>27513.759999999998</v>
      </c>
      <c r="I596" s="5">
        <f t="shared" si="119"/>
        <v>27513.759999999998</v>
      </c>
      <c r="J596">
        <v>6</v>
      </c>
      <c r="K596">
        <v>19.77</v>
      </c>
      <c r="L596">
        <v>1</v>
      </c>
      <c r="M596">
        <f t="shared" si="120"/>
        <v>1</v>
      </c>
      <c r="N596">
        <v>8.3000000000000007</v>
      </c>
      <c r="O596">
        <f t="shared" si="121"/>
        <v>8.3000000000000007</v>
      </c>
      <c r="P596">
        <v>120</v>
      </c>
      <c r="Q596">
        <f t="shared" si="122"/>
        <v>120</v>
      </c>
      <c r="R596" t="s">
        <v>15</v>
      </c>
      <c r="S596" t="str">
        <f t="shared" si="123"/>
        <v xml:space="preserve">Performing </v>
      </c>
      <c r="T596" t="s">
        <v>25</v>
      </c>
      <c r="U596" s="3">
        <f t="shared" si="124"/>
        <v>1.6257340211180635</v>
      </c>
      <c r="V596" t="str">
        <f t="shared" si="125"/>
        <v>High Stress</v>
      </c>
      <c r="W596" t="str">
        <f t="shared" si="126"/>
        <v>High Risk</v>
      </c>
      <c r="X596" s="5" t="str">
        <f t="shared" si="127"/>
        <v>Medium</v>
      </c>
      <c r="Y596" s="5" t="str">
        <f t="shared" si="128"/>
        <v>Medium</v>
      </c>
      <c r="Z596" s="5" t="str">
        <f>IF(B596=120,"NULL",IF(AND(V596="High Stress", W596="High Risk", Y596="Low"),"High Risk : Reject", IF(AND(V596="Healthy", W596="Good",Y596&lt;&gt;"Low"), "Low Risk : Approve", "Medium Risk : Review")))</f>
        <v>Medium Risk : Review</v>
      </c>
      <c r="AA596" s="5" t="str">
        <f t="shared" si="129"/>
        <v>Medium</v>
      </c>
    </row>
    <row r="597" spans="1:27" x14ac:dyDescent="0.2">
      <c r="A597">
        <v>23359</v>
      </c>
      <c r="B597">
        <v>51</v>
      </c>
      <c r="C597">
        <f t="shared" si="117"/>
        <v>51</v>
      </c>
      <c r="D597" t="s">
        <v>27</v>
      </c>
      <c r="E597" t="str">
        <f t="shared" si="118"/>
        <v>Unemployed</v>
      </c>
      <c r="F597">
        <v>7249.92</v>
      </c>
      <c r="G597">
        <f>ABS(Table1[[#This Row],[Monthly_Income]])</f>
        <v>7249.92</v>
      </c>
      <c r="H597">
        <v>27759.89</v>
      </c>
      <c r="I597" s="5">
        <f t="shared" si="119"/>
        <v>27759.89</v>
      </c>
      <c r="J597">
        <v>6</v>
      </c>
      <c r="K597">
        <v>23.47</v>
      </c>
      <c r="L597">
        <v>4</v>
      </c>
      <c r="M597">
        <f t="shared" si="120"/>
        <v>4</v>
      </c>
      <c r="N597">
        <v>4.9000000000000004</v>
      </c>
      <c r="O597">
        <f t="shared" si="121"/>
        <v>4.9000000000000004</v>
      </c>
      <c r="P597">
        <v>60</v>
      </c>
      <c r="Q597">
        <f t="shared" si="122"/>
        <v>60</v>
      </c>
      <c r="R597" t="s">
        <v>13</v>
      </c>
      <c r="S597" t="str">
        <f t="shared" si="123"/>
        <v>Performing</v>
      </c>
      <c r="T597" t="s">
        <v>22</v>
      </c>
      <c r="U597" s="3">
        <f t="shared" si="124"/>
        <v>0.63816543263006109</v>
      </c>
      <c r="V597" t="str">
        <f t="shared" si="125"/>
        <v>High Stress</v>
      </c>
      <c r="W597" t="str">
        <f t="shared" si="126"/>
        <v>High Risk</v>
      </c>
      <c r="X597" s="5" t="str">
        <f t="shared" si="127"/>
        <v>Medium</v>
      </c>
      <c r="Y597" s="5" t="str">
        <f t="shared" si="128"/>
        <v>Low</v>
      </c>
      <c r="Z597" s="5" t="str">
        <f>IF(B597=120,"NULL",IF(AND(V597="High Stress", W597="High Risk", Y597="Low"),"High Risk : Reject", IF(AND(V597="Healthy", W597="Good",Y597&lt;&gt;"Low"), "Low Risk : Approve", "Medium Risk : Review")))</f>
        <v>High Risk : Reject</v>
      </c>
      <c r="AA597" s="5" t="str">
        <f t="shared" si="129"/>
        <v>Medium</v>
      </c>
    </row>
    <row r="598" spans="1:27" x14ac:dyDescent="0.2">
      <c r="A598">
        <v>20795</v>
      </c>
      <c r="B598">
        <v>39</v>
      </c>
      <c r="C598">
        <f t="shared" si="117"/>
        <v>39</v>
      </c>
      <c r="D598" t="s">
        <v>17</v>
      </c>
      <c r="E598" t="str">
        <f t="shared" si="118"/>
        <v>Contract</v>
      </c>
      <c r="F598">
        <v>5698.27</v>
      </c>
      <c r="G598">
        <f>ABS(Table1[[#This Row],[Monthly_Income]])</f>
        <v>5698.27</v>
      </c>
      <c r="H598">
        <v>30524.44</v>
      </c>
      <c r="I598" s="5">
        <f t="shared" si="119"/>
        <v>30524.44</v>
      </c>
      <c r="J598">
        <v>6</v>
      </c>
      <c r="K598">
        <v>23.53</v>
      </c>
      <c r="L598">
        <v>4</v>
      </c>
      <c r="M598">
        <f t="shared" si="120"/>
        <v>4</v>
      </c>
      <c r="N598">
        <v>10.8</v>
      </c>
      <c r="O598">
        <f t="shared" si="121"/>
        <v>10.8</v>
      </c>
      <c r="P598">
        <v>30</v>
      </c>
      <c r="Q598">
        <f t="shared" si="122"/>
        <v>30</v>
      </c>
      <c r="R598" t="s">
        <v>24</v>
      </c>
      <c r="S598" t="str">
        <f t="shared" si="123"/>
        <v>Non-Performing</v>
      </c>
      <c r="T598" t="s">
        <v>19</v>
      </c>
      <c r="U598" s="3">
        <f t="shared" si="124"/>
        <v>0.8927984575435467</v>
      </c>
      <c r="V598" t="str">
        <f t="shared" si="125"/>
        <v>High Stress</v>
      </c>
      <c r="W598" t="str">
        <f t="shared" si="126"/>
        <v>At Risk</v>
      </c>
      <c r="X598" s="5" t="str">
        <f t="shared" si="127"/>
        <v>High</v>
      </c>
      <c r="Y598" s="5" t="str">
        <f t="shared" si="128"/>
        <v>Low</v>
      </c>
      <c r="Z598" s="5" t="str">
        <f>IF(B598=120,"NULL",IF(AND(V598="High Stress", W598="High Risk", Y598="Low"),"High Risk : Reject", IF(AND(V598="Healthy", W598="Good",Y598&lt;&gt;"Low"), "Low Risk : Approve", "Medium Risk : Review")))</f>
        <v>Medium Risk : Review</v>
      </c>
      <c r="AA598" s="5" t="str">
        <f t="shared" si="129"/>
        <v>Medium</v>
      </c>
    </row>
    <row r="599" spans="1:27" x14ac:dyDescent="0.2">
      <c r="A599">
        <v>23128</v>
      </c>
      <c r="B599">
        <v>21</v>
      </c>
      <c r="C599">
        <f t="shared" si="117"/>
        <v>21</v>
      </c>
      <c r="D599" t="s">
        <v>21</v>
      </c>
      <c r="E599" t="str">
        <f t="shared" si="118"/>
        <v>Salaried</v>
      </c>
      <c r="F599">
        <v>5447.73</v>
      </c>
      <c r="G599">
        <f>ABS(Table1[[#This Row],[Monthly_Income]])</f>
        <v>5447.73</v>
      </c>
      <c r="H599">
        <v>16345.92</v>
      </c>
      <c r="I599" s="5">
        <f t="shared" si="119"/>
        <v>16345.92</v>
      </c>
      <c r="J599">
        <v>60</v>
      </c>
      <c r="K599">
        <v>31.01</v>
      </c>
      <c r="L599">
        <v>0</v>
      </c>
      <c r="M599">
        <f t="shared" si="120"/>
        <v>0</v>
      </c>
      <c r="N599">
        <v>5.8</v>
      </c>
      <c r="O599">
        <f t="shared" si="121"/>
        <v>5.8</v>
      </c>
      <c r="P599">
        <v>60</v>
      </c>
      <c r="Q599">
        <f t="shared" si="122"/>
        <v>60</v>
      </c>
      <c r="R599" t="s">
        <v>24</v>
      </c>
      <c r="S599" t="str">
        <f t="shared" si="123"/>
        <v>Non-Performing</v>
      </c>
      <c r="T599" t="s">
        <v>19</v>
      </c>
      <c r="U599" s="3">
        <f t="shared" si="124"/>
        <v>5.0008352102618892E-2</v>
      </c>
      <c r="V599" t="str">
        <f t="shared" si="125"/>
        <v>Healthy</v>
      </c>
      <c r="W599" t="str">
        <f t="shared" si="126"/>
        <v>High Risk</v>
      </c>
      <c r="X599" s="5" t="str">
        <f t="shared" si="127"/>
        <v>Medium</v>
      </c>
      <c r="Y599" s="5" t="str">
        <f t="shared" si="128"/>
        <v>High</v>
      </c>
      <c r="Z599" s="5" t="str">
        <f>IF(B599=120,"NULL",IF(AND(V599="High Stress", W599="High Risk", Y599="Low"),"High Risk : Reject", IF(AND(V599="Healthy", W599="Good",Y599&lt;&gt;"Low"), "Low Risk : Approve", "Medium Risk : Review")))</f>
        <v>Medium Risk : Review</v>
      </c>
      <c r="AA599" s="5" t="str">
        <f t="shared" si="129"/>
        <v>Medium</v>
      </c>
    </row>
    <row r="600" spans="1:27" x14ac:dyDescent="0.2">
      <c r="A600">
        <v>23626</v>
      </c>
      <c r="B600">
        <v>32</v>
      </c>
      <c r="C600">
        <f t="shared" si="117"/>
        <v>32</v>
      </c>
      <c r="D600" t="s">
        <v>23</v>
      </c>
      <c r="E600" t="str">
        <f t="shared" si="118"/>
        <v>Self-Employed</v>
      </c>
      <c r="F600">
        <v>9114.2000000000007</v>
      </c>
      <c r="G600">
        <f>ABS(Table1[[#This Row],[Monthly_Income]])</f>
        <v>9114.2000000000007</v>
      </c>
      <c r="H600">
        <v>22545.14</v>
      </c>
      <c r="I600" s="5">
        <f t="shared" si="119"/>
        <v>22545.14</v>
      </c>
      <c r="J600">
        <v>48</v>
      </c>
      <c r="K600">
        <v>16.440000000000001</v>
      </c>
      <c r="L600">
        <v>0</v>
      </c>
      <c r="M600">
        <f t="shared" si="120"/>
        <v>0</v>
      </c>
      <c r="N600">
        <v>-1.4</v>
      </c>
      <c r="O600">
        <f t="shared" si="121"/>
        <v>1.4</v>
      </c>
      <c r="Q600" t="str">
        <f t="shared" si="122"/>
        <v>NULL</v>
      </c>
      <c r="R600" t="s">
        <v>15</v>
      </c>
      <c r="S600" t="str">
        <f t="shared" si="123"/>
        <v xml:space="preserve">Performing </v>
      </c>
      <c r="T600" t="s">
        <v>16</v>
      </c>
      <c r="U600" s="3">
        <f t="shared" si="124"/>
        <v>5.1533915940693273E-2</v>
      </c>
      <c r="V600" t="str">
        <f t="shared" si="125"/>
        <v>Healthy</v>
      </c>
      <c r="W600" t="str">
        <f t="shared" si="126"/>
        <v>NULL</v>
      </c>
      <c r="X600" s="5" t="str">
        <f t="shared" si="127"/>
        <v>Medium</v>
      </c>
      <c r="Y600" s="5" t="str">
        <f t="shared" si="128"/>
        <v>Medium</v>
      </c>
      <c r="Z600" s="5" t="str">
        <f>IF(B600=120,"NULL",IF(AND(V600="High Stress", W600="High Risk", Y600="Low"),"High Risk : Reject", IF(AND(V600="Healthy", W600="Good",Y600&lt;&gt;"Low"), "Low Risk : Approve", "Medium Risk : Review")))</f>
        <v>Medium Risk : Review</v>
      </c>
      <c r="AA600" s="5" t="str">
        <f t="shared" si="129"/>
        <v>High</v>
      </c>
    </row>
    <row r="601" spans="1:27" x14ac:dyDescent="0.2">
      <c r="A601">
        <v>24919</v>
      </c>
      <c r="B601">
        <v>41</v>
      </c>
      <c r="C601">
        <f t="shared" si="117"/>
        <v>41</v>
      </c>
      <c r="D601" t="s">
        <v>27</v>
      </c>
      <c r="E601" t="str">
        <f t="shared" si="118"/>
        <v>Unemployed</v>
      </c>
      <c r="F601">
        <v>-1500</v>
      </c>
      <c r="G601">
        <f>ABS(Table1[[#This Row],[Monthly_Income]])</f>
        <v>1500</v>
      </c>
      <c r="H601">
        <v>14546.66</v>
      </c>
      <c r="I601" s="5">
        <f t="shared" si="119"/>
        <v>14546.66</v>
      </c>
      <c r="J601">
        <v>12</v>
      </c>
      <c r="K601">
        <v>24.02</v>
      </c>
      <c r="L601">
        <v>1</v>
      </c>
      <c r="M601">
        <f t="shared" si="120"/>
        <v>1</v>
      </c>
      <c r="N601">
        <v>6.8</v>
      </c>
      <c r="O601">
        <f t="shared" si="121"/>
        <v>6.8</v>
      </c>
      <c r="P601">
        <v>0</v>
      </c>
      <c r="Q601">
        <f t="shared" si="122"/>
        <v>0</v>
      </c>
      <c r="R601" t="s">
        <v>15</v>
      </c>
      <c r="S601" t="str">
        <f t="shared" si="123"/>
        <v xml:space="preserve">Performing </v>
      </c>
      <c r="T601" t="s">
        <v>14</v>
      </c>
      <c r="U601" s="3">
        <f t="shared" si="124"/>
        <v>0.8081477777777778</v>
      </c>
      <c r="V601" t="str">
        <f t="shared" si="125"/>
        <v>High Stress</v>
      </c>
      <c r="W601" t="str">
        <f t="shared" si="126"/>
        <v>Good</v>
      </c>
      <c r="X601" s="5" t="str">
        <f t="shared" si="127"/>
        <v>Medium</v>
      </c>
      <c r="Y601" s="5" t="str">
        <f t="shared" si="128"/>
        <v>Low</v>
      </c>
      <c r="Z601" s="5" t="str">
        <f>IF(B601=120,"NULL",IF(AND(V601="High Stress", W601="High Risk", Y601="Low"),"High Risk : Reject", IF(AND(V601="Healthy", W601="Good",Y601&lt;&gt;"Low"), "Low Risk : Approve", "Medium Risk : Review")))</f>
        <v>Medium Risk : Review</v>
      </c>
      <c r="AA601" s="5" t="str">
        <f t="shared" si="129"/>
        <v>Low</v>
      </c>
    </row>
    <row r="602" spans="1:27" x14ac:dyDescent="0.2">
      <c r="A602">
        <v>20500</v>
      </c>
      <c r="B602">
        <v>60</v>
      </c>
      <c r="C602">
        <f t="shared" si="117"/>
        <v>60</v>
      </c>
      <c r="D602" t="s">
        <v>21</v>
      </c>
      <c r="E602" t="str">
        <f t="shared" si="118"/>
        <v>Salaried</v>
      </c>
      <c r="F602">
        <v>4661.3100000000004</v>
      </c>
      <c r="G602">
        <f>ABS(Table1[[#This Row],[Monthly_Income]])</f>
        <v>4661.3100000000004</v>
      </c>
      <c r="H602">
        <v>11780.49</v>
      </c>
      <c r="I602" s="5">
        <f t="shared" si="119"/>
        <v>11780.49</v>
      </c>
      <c r="J602">
        <v>60</v>
      </c>
      <c r="K602">
        <v>21.25</v>
      </c>
      <c r="L602">
        <v>3</v>
      </c>
      <c r="M602">
        <f t="shared" si="120"/>
        <v>3</v>
      </c>
      <c r="N602">
        <v>11.8</v>
      </c>
      <c r="O602">
        <f t="shared" si="121"/>
        <v>11.8</v>
      </c>
      <c r="P602">
        <v>120</v>
      </c>
      <c r="Q602">
        <f t="shared" si="122"/>
        <v>120</v>
      </c>
      <c r="R602" t="s">
        <v>18</v>
      </c>
      <c r="S602" t="str">
        <f t="shared" si="123"/>
        <v>Non-Performing</v>
      </c>
      <c r="T602" t="s">
        <v>14</v>
      </c>
      <c r="U602" s="3">
        <f t="shared" si="124"/>
        <v>4.212152806828981E-2</v>
      </c>
      <c r="V602" t="str">
        <f t="shared" si="125"/>
        <v>Healthy</v>
      </c>
      <c r="W602" t="str">
        <f t="shared" si="126"/>
        <v>High Risk</v>
      </c>
      <c r="X602" s="5" t="str">
        <f t="shared" si="127"/>
        <v>Medium</v>
      </c>
      <c r="Y602" s="5" t="str">
        <f t="shared" si="128"/>
        <v>High</v>
      </c>
      <c r="Z602" s="5" t="str">
        <f>IF(B602=120,"NULL",IF(AND(V602="High Stress", W602="High Risk", Y602="Low"),"High Risk : Reject", IF(AND(V602="Healthy", W602="Good",Y602&lt;&gt;"Low"), "Low Risk : Approve", "Medium Risk : Review")))</f>
        <v>Medium Risk : Review</v>
      </c>
      <c r="AA602" s="5" t="str">
        <f t="shared" si="129"/>
        <v>Medium</v>
      </c>
    </row>
    <row r="603" spans="1:27" x14ac:dyDescent="0.2">
      <c r="A603">
        <v>23164</v>
      </c>
      <c r="B603">
        <v>48</v>
      </c>
      <c r="C603">
        <f t="shared" si="117"/>
        <v>48</v>
      </c>
      <c r="D603" t="s">
        <v>17</v>
      </c>
      <c r="E603" t="str">
        <f t="shared" si="118"/>
        <v>Contract</v>
      </c>
      <c r="F603">
        <v>593.92999999999995</v>
      </c>
      <c r="G603">
        <f>ABS(Table1[[#This Row],[Monthly_Income]])</f>
        <v>593.92999999999995</v>
      </c>
      <c r="H603">
        <v>19894.939999999999</v>
      </c>
      <c r="I603" s="5">
        <f t="shared" si="119"/>
        <v>19894.939999999999</v>
      </c>
      <c r="J603">
        <v>12</v>
      </c>
      <c r="K603">
        <v>23.99</v>
      </c>
      <c r="M603" t="str">
        <f t="shared" si="120"/>
        <v>NULL</v>
      </c>
      <c r="N603">
        <v>11.3</v>
      </c>
      <c r="O603">
        <f t="shared" si="121"/>
        <v>11.3</v>
      </c>
      <c r="P603">
        <v>0</v>
      </c>
      <c r="Q603">
        <f t="shared" si="122"/>
        <v>0</v>
      </c>
      <c r="R603" t="s">
        <v>13</v>
      </c>
      <c r="S603" t="str">
        <f t="shared" si="123"/>
        <v>Performing</v>
      </c>
      <c r="T603" t="s">
        <v>22</v>
      </c>
      <c r="U603" s="3">
        <f t="shared" si="124"/>
        <v>2.7914260378608029</v>
      </c>
      <c r="V603" t="str">
        <f t="shared" si="125"/>
        <v>High Stress</v>
      </c>
      <c r="W603" t="str">
        <f t="shared" si="126"/>
        <v>Good</v>
      </c>
      <c r="X603" s="5" t="str">
        <f t="shared" si="127"/>
        <v>Medium</v>
      </c>
      <c r="Y603" s="5" t="str">
        <f t="shared" si="128"/>
        <v>Low</v>
      </c>
      <c r="Z603" s="5" t="str">
        <f>IF(B603=120,"NULL",IF(AND(V603="High Stress", W603="High Risk", Y603="Low"),"High Risk : Reject", IF(AND(V603="Healthy", W603="Good",Y603&lt;&gt;"Low"), "Low Risk : Approve", "Medium Risk : Review")))</f>
        <v>Medium Risk : Review</v>
      </c>
      <c r="AA603" s="5" t="str">
        <f t="shared" si="129"/>
        <v>Low</v>
      </c>
    </row>
    <row r="604" spans="1:27" x14ac:dyDescent="0.2">
      <c r="A604">
        <v>25782</v>
      </c>
      <c r="B604">
        <v>54</v>
      </c>
      <c r="C604">
        <f t="shared" si="117"/>
        <v>54</v>
      </c>
      <c r="D604" t="s">
        <v>23</v>
      </c>
      <c r="E604" t="str">
        <f t="shared" si="118"/>
        <v>Self-Employed</v>
      </c>
      <c r="F604">
        <v>6128.94</v>
      </c>
      <c r="G604">
        <f>ABS(Table1[[#This Row],[Monthly_Income]])</f>
        <v>6128.94</v>
      </c>
      <c r="H604">
        <v>24985.32</v>
      </c>
      <c r="I604" s="5">
        <f t="shared" si="119"/>
        <v>24985.32</v>
      </c>
      <c r="J604">
        <v>48</v>
      </c>
      <c r="K604">
        <v>11.69</v>
      </c>
      <c r="L604">
        <v>2</v>
      </c>
      <c r="M604">
        <f t="shared" si="120"/>
        <v>2</v>
      </c>
      <c r="N604">
        <v>2.4</v>
      </c>
      <c r="O604">
        <f t="shared" si="121"/>
        <v>2.4</v>
      </c>
      <c r="P604">
        <v>0</v>
      </c>
      <c r="Q604">
        <f t="shared" si="122"/>
        <v>0</v>
      </c>
      <c r="R604" t="s">
        <v>15</v>
      </c>
      <c r="S604" t="str">
        <f t="shared" si="123"/>
        <v xml:space="preserve">Performing </v>
      </c>
      <c r="T604" t="s">
        <v>25</v>
      </c>
      <c r="U604" s="3">
        <f t="shared" si="124"/>
        <v>8.4929449464344567E-2</v>
      </c>
      <c r="V604" t="str">
        <f t="shared" si="125"/>
        <v>Healthy</v>
      </c>
      <c r="W604" t="str">
        <f t="shared" si="126"/>
        <v>Good</v>
      </c>
      <c r="X604" s="5" t="str">
        <f t="shared" si="127"/>
        <v>Medium</v>
      </c>
      <c r="Y604" s="5" t="str">
        <f t="shared" si="128"/>
        <v>Medium</v>
      </c>
      <c r="Z604" s="5" t="str">
        <f>IF(B604=120,"NULL",IF(AND(V604="High Stress", W604="High Risk", Y604="Low"),"High Risk : Reject", IF(AND(V604="Healthy", W604="Good",Y604&lt;&gt;"Low"), "Low Risk : Approve", "Medium Risk : Review")))</f>
        <v>Low Risk : Approve</v>
      </c>
      <c r="AA604" s="5" t="str">
        <f t="shared" si="129"/>
        <v>Medium</v>
      </c>
    </row>
    <row r="605" spans="1:27" x14ac:dyDescent="0.2">
      <c r="A605">
        <v>20237</v>
      </c>
      <c r="B605">
        <v>23</v>
      </c>
      <c r="C605">
        <f t="shared" si="117"/>
        <v>23</v>
      </c>
      <c r="D605" t="s">
        <v>21</v>
      </c>
      <c r="E605" t="str">
        <f t="shared" si="118"/>
        <v>Salaried</v>
      </c>
      <c r="F605">
        <v>141.25</v>
      </c>
      <c r="G605">
        <f>ABS(Table1[[#This Row],[Monthly_Income]])</f>
        <v>141.25</v>
      </c>
      <c r="H605">
        <v>19596.16</v>
      </c>
      <c r="I605" s="5">
        <f t="shared" si="119"/>
        <v>19596.16</v>
      </c>
      <c r="J605">
        <v>48</v>
      </c>
      <c r="K605">
        <v>25.61</v>
      </c>
      <c r="M605" t="str">
        <f t="shared" si="120"/>
        <v>NULL</v>
      </c>
      <c r="N605">
        <v>14.3</v>
      </c>
      <c r="O605">
        <f t="shared" si="121"/>
        <v>14.3</v>
      </c>
      <c r="P605">
        <v>90</v>
      </c>
      <c r="Q605">
        <f t="shared" si="122"/>
        <v>90</v>
      </c>
      <c r="R605" t="s">
        <v>13</v>
      </c>
      <c r="S605" t="str">
        <f t="shared" si="123"/>
        <v>Performing</v>
      </c>
      <c r="T605" t="s">
        <v>16</v>
      </c>
      <c r="U605" s="3">
        <f t="shared" si="124"/>
        <v>2.8902890855457226</v>
      </c>
      <c r="V605" t="str">
        <f t="shared" si="125"/>
        <v>High Stress</v>
      </c>
      <c r="W605" t="str">
        <f t="shared" si="126"/>
        <v>High Risk</v>
      </c>
      <c r="X605" s="5" t="str">
        <f t="shared" si="127"/>
        <v>Medium</v>
      </c>
      <c r="Y605" s="5" t="str">
        <f t="shared" si="128"/>
        <v>High</v>
      </c>
      <c r="Z605" s="5" t="str">
        <f>IF(B605=120,"NULL",IF(AND(V605="High Stress", W605="High Risk", Y605="Low"),"High Risk : Reject", IF(AND(V605="Healthy", W605="Good",Y605&lt;&gt;"Low"), "Low Risk : Approve", "Medium Risk : Review")))</f>
        <v>Medium Risk : Review</v>
      </c>
      <c r="AA605" s="5" t="str">
        <f t="shared" si="129"/>
        <v>Low</v>
      </c>
    </row>
    <row r="606" spans="1:27" x14ac:dyDescent="0.2">
      <c r="A606">
        <v>21739</v>
      </c>
      <c r="B606">
        <v>51</v>
      </c>
      <c r="C606">
        <f t="shared" si="117"/>
        <v>51</v>
      </c>
      <c r="D606" t="s">
        <v>17</v>
      </c>
      <c r="E606" t="str">
        <f t="shared" si="118"/>
        <v>Contract</v>
      </c>
      <c r="F606">
        <v>8833.0300000000007</v>
      </c>
      <c r="G606">
        <f>ABS(Table1[[#This Row],[Monthly_Income]])</f>
        <v>8833.0300000000007</v>
      </c>
      <c r="H606">
        <v>5097.5</v>
      </c>
      <c r="I606" s="5">
        <f t="shared" si="119"/>
        <v>5097.5</v>
      </c>
      <c r="J606">
        <v>24</v>
      </c>
      <c r="K606">
        <v>22.99</v>
      </c>
      <c r="L606">
        <v>4</v>
      </c>
      <c r="M606">
        <f t="shared" si="120"/>
        <v>4</v>
      </c>
      <c r="N606">
        <v>12.2</v>
      </c>
      <c r="O606">
        <f t="shared" si="121"/>
        <v>12.2</v>
      </c>
      <c r="P606">
        <v>90</v>
      </c>
      <c r="Q606">
        <f t="shared" si="122"/>
        <v>90</v>
      </c>
      <c r="R606" t="s">
        <v>15</v>
      </c>
      <c r="S606" t="str">
        <f t="shared" si="123"/>
        <v xml:space="preserve">Performing </v>
      </c>
      <c r="T606" t="s">
        <v>25</v>
      </c>
      <c r="U606" s="3">
        <f t="shared" si="124"/>
        <v>2.4045637038856801E-2</v>
      </c>
      <c r="V606" t="str">
        <f t="shared" si="125"/>
        <v>Healthy</v>
      </c>
      <c r="W606" t="str">
        <f t="shared" si="126"/>
        <v>High Risk</v>
      </c>
      <c r="X606" s="5" t="str">
        <f t="shared" si="127"/>
        <v>Small</v>
      </c>
      <c r="Y606" s="5" t="str">
        <f t="shared" si="128"/>
        <v>Low</v>
      </c>
      <c r="Z606" s="5" t="str">
        <f>IF(B606=120,"NULL",IF(AND(V606="High Stress", W606="High Risk", Y606="Low"),"High Risk : Reject", IF(AND(V606="Healthy", W606="Good",Y606&lt;&gt;"Low"), "Low Risk : Approve", "Medium Risk : Review")))</f>
        <v>Medium Risk : Review</v>
      </c>
      <c r="AA606" s="5" t="str">
        <f t="shared" si="129"/>
        <v>High</v>
      </c>
    </row>
    <row r="607" spans="1:27" x14ac:dyDescent="0.2">
      <c r="A607">
        <v>23110</v>
      </c>
      <c r="B607">
        <v>56</v>
      </c>
      <c r="C607">
        <f t="shared" si="117"/>
        <v>56</v>
      </c>
      <c r="D607" t="s">
        <v>12</v>
      </c>
      <c r="E607" t="str">
        <f t="shared" si="118"/>
        <v>Self-Employed</v>
      </c>
      <c r="F607">
        <v>3488.83</v>
      </c>
      <c r="G607">
        <f>ABS(Table1[[#This Row],[Monthly_Income]])</f>
        <v>3488.83</v>
      </c>
      <c r="H607">
        <v>15566.09</v>
      </c>
      <c r="I607" s="5">
        <f t="shared" si="119"/>
        <v>15566.09</v>
      </c>
      <c r="J607">
        <v>24</v>
      </c>
      <c r="K607">
        <v>22.89</v>
      </c>
      <c r="L607">
        <v>0</v>
      </c>
      <c r="M607">
        <f t="shared" si="120"/>
        <v>0</v>
      </c>
      <c r="N607">
        <v>7</v>
      </c>
      <c r="O607">
        <f t="shared" si="121"/>
        <v>7</v>
      </c>
      <c r="P607">
        <v>120</v>
      </c>
      <c r="Q607">
        <f t="shared" si="122"/>
        <v>120</v>
      </c>
      <c r="R607" t="s">
        <v>15</v>
      </c>
      <c r="S607" t="str">
        <f t="shared" si="123"/>
        <v xml:space="preserve">Performing </v>
      </c>
      <c r="T607" t="s">
        <v>22</v>
      </c>
      <c r="U607" s="3">
        <f t="shared" si="124"/>
        <v>0.18590389423770529</v>
      </c>
      <c r="V607" t="str">
        <f t="shared" si="125"/>
        <v>Healthy</v>
      </c>
      <c r="W607" t="str">
        <f t="shared" si="126"/>
        <v>High Risk</v>
      </c>
      <c r="X607" s="5" t="str">
        <f t="shared" si="127"/>
        <v>Medium</v>
      </c>
      <c r="Y607" s="5" t="str">
        <f t="shared" si="128"/>
        <v>Medium</v>
      </c>
      <c r="Z607" s="5" t="str">
        <f>IF(B607=120,"NULL",IF(AND(V607="High Stress", W607="High Risk", Y607="Low"),"High Risk : Reject", IF(AND(V607="Healthy", W607="Good",Y607&lt;&gt;"Low"), "Low Risk : Approve", "Medium Risk : Review")))</f>
        <v>Medium Risk : Review</v>
      </c>
      <c r="AA607" s="5" t="str">
        <f t="shared" si="129"/>
        <v>Medium</v>
      </c>
    </row>
    <row r="608" spans="1:27" x14ac:dyDescent="0.2">
      <c r="A608">
        <v>24786</v>
      </c>
      <c r="B608">
        <v>52</v>
      </c>
      <c r="C608">
        <f t="shared" si="117"/>
        <v>52</v>
      </c>
      <c r="D608" t="s">
        <v>21</v>
      </c>
      <c r="E608" t="str">
        <f t="shared" si="118"/>
        <v>Salaried</v>
      </c>
      <c r="F608">
        <v>4693.51</v>
      </c>
      <c r="G608">
        <f>ABS(Table1[[#This Row],[Monthly_Income]])</f>
        <v>4693.51</v>
      </c>
      <c r="H608">
        <v>16123.99</v>
      </c>
      <c r="I608" s="5">
        <f t="shared" si="119"/>
        <v>16123.99</v>
      </c>
      <c r="J608">
        <v>12</v>
      </c>
      <c r="K608">
        <v>17.489999999999998</v>
      </c>
      <c r="L608">
        <v>3</v>
      </c>
      <c r="M608">
        <f t="shared" si="120"/>
        <v>3</v>
      </c>
      <c r="N608">
        <v>11.5</v>
      </c>
      <c r="O608">
        <f t="shared" si="121"/>
        <v>11.5</v>
      </c>
      <c r="Q608" t="str">
        <f t="shared" si="122"/>
        <v>NULL</v>
      </c>
      <c r="R608" t="s">
        <v>15</v>
      </c>
      <c r="S608" t="str">
        <f t="shared" si="123"/>
        <v xml:space="preserve">Performing </v>
      </c>
      <c r="T608" t="s">
        <v>25</v>
      </c>
      <c r="U608" s="3">
        <f t="shared" si="124"/>
        <v>0.28628165985229248</v>
      </c>
      <c r="V608" t="str">
        <f t="shared" si="125"/>
        <v>Healthy</v>
      </c>
      <c r="W608" t="str">
        <f t="shared" si="126"/>
        <v>NULL</v>
      </c>
      <c r="X608" s="5" t="str">
        <f t="shared" si="127"/>
        <v>Medium</v>
      </c>
      <c r="Y608" s="5" t="str">
        <f t="shared" si="128"/>
        <v>High</v>
      </c>
      <c r="Z608" s="5" t="str">
        <f>IF(B608=120,"NULL",IF(AND(V608="High Stress", W608="High Risk", Y608="Low"),"High Risk : Reject", IF(AND(V608="Healthy", W608="Good",Y608&lt;&gt;"Low"), "Low Risk : Approve", "Medium Risk : Review")))</f>
        <v>Medium Risk : Review</v>
      </c>
      <c r="AA608" s="5" t="str">
        <f t="shared" si="129"/>
        <v>Medium</v>
      </c>
    </row>
    <row r="609" spans="1:27" x14ac:dyDescent="0.2">
      <c r="A609">
        <v>25843</v>
      </c>
      <c r="B609">
        <v>25</v>
      </c>
      <c r="C609">
        <f t="shared" si="117"/>
        <v>25</v>
      </c>
      <c r="D609" t="s">
        <v>23</v>
      </c>
      <c r="E609" t="str">
        <f t="shared" si="118"/>
        <v>Self-Employed</v>
      </c>
      <c r="F609">
        <v>7893.79</v>
      </c>
      <c r="G609">
        <f>ABS(Table1[[#This Row],[Monthly_Income]])</f>
        <v>7893.79</v>
      </c>
      <c r="H609">
        <v>35703.730000000003</v>
      </c>
      <c r="I609" s="5">
        <f t="shared" si="119"/>
        <v>35703.730000000003</v>
      </c>
      <c r="J609">
        <v>36</v>
      </c>
      <c r="K609">
        <v>14.14</v>
      </c>
      <c r="M609" t="str">
        <f t="shared" si="120"/>
        <v>NULL</v>
      </c>
      <c r="N609">
        <v>6.6</v>
      </c>
      <c r="O609">
        <f t="shared" si="121"/>
        <v>6.6</v>
      </c>
      <c r="P609">
        <v>90</v>
      </c>
      <c r="Q609">
        <f t="shared" si="122"/>
        <v>90</v>
      </c>
      <c r="R609" t="s">
        <v>18</v>
      </c>
      <c r="S609" t="str">
        <f t="shared" si="123"/>
        <v>Non-Performing</v>
      </c>
      <c r="T609" t="s">
        <v>19</v>
      </c>
      <c r="U609" s="3">
        <f t="shared" si="124"/>
        <v>0.12563930352565469</v>
      </c>
      <c r="V609" t="str">
        <f t="shared" si="125"/>
        <v>Healthy</v>
      </c>
      <c r="W609" t="str">
        <f t="shared" si="126"/>
        <v>High Risk</v>
      </c>
      <c r="X609" s="5" t="str">
        <f t="shared" si="127"/>
        <v>High</v>
      </c>
      <c r="Y609" s="5" t="str">
        <f t="shared" si="128"/>
        <v>Medium</v>
      </c>
      <c r="Z609" s="5" t="str">
        <f>IF(B609=120,"NULL",IF(AND(V609="High Stress", W609="High Risk", Y609="Low"),"High Risk : Reject", IF(AND(V609="Healthy", W609="Good",Y609&lt;&gt;"Low"), "Low Risk : Approve", "Medium Risk : Review")))</f>
        <v>Medium Risk : Review</v>
      </c>
      <c r="AA609" s="5" t="str">
        <f t="shared" si="129"/>
        <v>Medium</v>
      </c>
    </row>
    <row r="610" spans="1:27" x14ac:dyDescent="0.2">
      <c r="A610">
        <v>22350</v>
      </c>
      <c r="B610">
        <v>29</v>
      </c>
      <c r="C610">
        <f t="shared" si="117"/>
        <v>29</v>
      </c>
      <c r="D610" t="s">
        <v>23</v>
      </c>
      <c r="E610" t="str">
        <f t="shared" si="118"/>
        <v>Self-Employed</v>
      </c>
      <c r="F610">
        <v>4463.25</v>
      </c>
      <c r="G610">
        <f>ABS(Table1[[#This Row],[Monthly_Income]])</f>
        <v>4463.25</v>
      </c>
      <c r="H610">
        <v>21098.95</v>
      </c>
      <c r="I610" s="5">
        <f t="shared" si="119"/>
        <v>21098.95</v>
      </c>
      <c r="J610">
        <v>6</v>
      </c>
      <c r="K610">
        <v>19.13</v>
      </c>
      <c r="M610" t="str">
        <f t="shared" si="120"/>
        <v>NULL</v>
      </c>
      <c r="N610">
        <v>10.1</v>
      </c>
      <c r="O610">
        <f t="shared" si="121"/>
        <v>10.1</v>
      </c>
      <c r="Q610" t="str">
        <f t="shared" si="122"/>
        <v>NULL</v>
      </c>
      <c r="R610" t="s">
        <v>13</v>
      </c>
      <c r="S610" t="str">
        <f t="shared" si="123"/>
        <v>Performing</v>
      </c>
      <c r="T610" t="s">
        <v>25</v>
      </c>
      <c r="U610" s="3">
        <f t="shared" si="124"/>
        <v>0.7878769207789541</v>
      </c>
      <c r="V610" t="str">
        <f t="shared" si="125"/>
        <v>High Stress</v>
      </c>
      <c r="W610" t="str">
        <f t="shared" si="126"/>
        <v>NULL</v>
      </c>
      <c r="X610" s="5" t="str">
        <f t="shared" si="127"/>
        <v>Medium</v>
      </c>
      <c r="Y610" s="5" t="str">
        <f t="shared" si="128"/>
        <v>Medium</v>
      </c>
      <c r="Z610" s="5" t="str">
        <f>IF(B610=120,"NULL",IF(AND(V610="High Stress", W610="High Risk", Y610="Low"),"High Risk : Reject", IF(AND(V610="Healthy", W610="Good",Y610&lt;&gt;"Low"), "Low Risk : Approve", "Medium Risk : Review")))</f>
        <v>Medium Risk : Review</v>
      </c>
      <c r="AA610" s="5" t="str">
        <f t="shared" si="129"/>
        <v>Medium</v>
      </c>
    </row>
    <row r="611" spans="1:27" x14ac:dyDescent="0.2">
      <c r="A611">
        <v>22834</v>
      </c>
      <c r="B611">
        <v>40</v>
      </c>
      <c r="C611">
        <f t="shared" si="117"/>
        <v>40</v>
      </c>
      <c r="D611" t="s">
        <v>21</v>
      </c>
      <c r="E611" t="str">
        <f t="shared" si="118"/>
        <v>Salaried</v>
      </c>
      <c r="F611">
        <v>6325.62</v>
      </c>
      <c r="G611">
        <f>ABS(Table1[[#This Row],[Monthly_Income]])</f>
        <v>6325.62</v>
      </c>
      <c r="H611">
        <v>18981.07</v>
      </c>
      <c r="I611" s="5">
        <f t="shared" si="119"/>
        <v>18981.07</v>
      </c>
      <c r="J611">
        <v>60</v>
      </c>
      <c r="K611">
        <v>12.99</v>
      </c>
      <c r="M611" t="str">
        <f t="shared" si="120"/>
        <v>NULL</v>
      </c>
      <c r="N611">
        <v>6.2</v>
      </c>
      <c r="O611">
        <f t="shared" si="121"/>
        <v>6.2</v>
      </c>
      <c r="P611">
        <v>30</v>
      </c>
      <c r="Q611">
        <f t="shared" si="122"/>
        <v>30</v>
      </c>
      <c r="R611" t="s">
        <v>24</v>
      </c>
      <c r="S611" t="str">
        <f t="shared" si="123"/>
        <v>Non-Performing</v>
      </c>
      <c r="T611" t="s">
        <v>19</v>
      </c>
      <c r="U611" s="3">
        <f t="shared" si="124"/>
        <v>5.0011092456813191E-2</v>
      </c>
      <c r="V611" t="str">
        <f t="shared" si="125"/>
        <v>Healthy</v>
      </c>
      <c r="W611" t="str">
        <f t="shared" si="126"/>
        <v>At Risk</v>
      </c>
      <c r="X611" s="5" t="str">
        <f t="shared" si="127"/>
        <v>Medium</v>
      </c>
      <c r="Y611" s="5" t="str">
        <f t="shared" si="128"/>
        <v>High</v>
      </c>
      <c r="Z611" s="5" t="str">
        <f>IF(B611=120,"NULL",IF(AND(V611="High Stress", W611="High Risk", Y611="Low"),"High Risk : Reject", IF(AND(V611="Healthy", W611="Good",Y611&lt;&gt;"Low"), "Low Risk : Approve", "Medium Risk : Review")))</f>
        <v>Medium Risk : Review</v>
      </c>
      <c r="AA611" s="5" t="str">
        <f t="shared" si="129"/>
        <v>Medium</v>
      </c>
    </row>
    <row r="612" spans="1:27" x14ac:dyDescent="0.2">
      <c r="A612">
        <v>23299</v>
      </c>
      <c r="B612">
        <v>22</v>
      </c>
      <c r="C612">
        <f t="shared" si="117"/>
        <v>22</v>
      </c>
      <c r="D612" t="s">
        <v>23</v>
      </c>
      <c r="E612" t="str">
        <f t="shared" si="118"/>
        <v>Self-Employed</v>
      </c>
      <c r="F612">
        <v>4201.79</v>
      </c>
      <c r="G612">
        <f>ABS(Table1[[#This Row],[Monthly_Income]])</f>
        <v>4201.79</v>
      </c>
      <c r="H612">
        <v>31774.82</v>
      </c>
      <c r="I612" s="5">
        <f t="shared" si="119"/>
        <v>31774.82</v>
      </c>
      <c r="J612">
        <v>48</v>
      </c>
      <c r="K612">
        <v>24.23</v>
      </c>
      <c r="M612" t="str">
        <f t="shared" si="120"/>
        <v>NULL</v>
      </c>
      <c r="N612">
        <v>0</v>
      </c>
      <c r="O612">
        <f t="shared" si="121"/>
        <v>0</v>
      </c>
      <c r="P612">
        <v>120</v>
      </c>
      <c r="Q612">
        <f t="shared" si="122"/>
        <v>120</v>
      </c>
      <c r="R612" t="s">
        <v>24</v>
      </c>
      <c r="S612" t="str">
        <f t="shared" si="123"/>
        <v>Non-Performing</v>
      </c>
      <c r="T612" t="s">
        <v>16</v>
      </c>
      <c r="U612" s="3">
        <f t="shared" si="124"/>
        <v>0.15754604981845041</v>
      </c>
      <c r="V612" t="str">
        <f t="shared" si="125"/>
        <v>Healthy</v>
      </c>
      <c r="W612" t="str">
        <f t="shared" si="126"/>
        <v>High Risk</v>
      </c>
      <c r="X612" s="5" t="str">
        <f t="shared" si="127"/>
        <v>High</v>
      </c>
      <c r="Y612" s="5" t="str">
        <f t="shared" si="128"/>
        <v>Medium</v>
      </c>
      <c r="Z612" s="5" t="str">
        <f>IF(B612=120,"NULL",IF(AND(V612="High Stress", W612="High Risk", Y612="Low"),"High Risk : Reject", IF(AND(V612="Healthy", W612="Good",Y612&lt;&gt;"Low"), "Low Risk : Approve", "Medium Risk : Review")))</f>
        <v>Medium Risk : Review</v>
      </c>
      <c r="AA612" s="5" t="str">
        <f t="shared" si="129"/>
        <v>Medium</v>
      </c>
    </row>
    <row r="613" spans="1:27" x14ac:dyDescent="0.2">
      <c r="A613">
        <v>25065</v>
      </c>
      <c r="B613">
        <v>51</v>
      </c>
      <c r="C613">
        <f t="shared" si="117"/>
        <v>51</v>
      </c>
      <c r="D613" t="s">
        <v>26</v>
      </c>
      <c r="E613" t="str">
        <f t="shared" si="118"/>
        <v>Salaried</v>
      </c>
      <c r="F613">
        <v>1405.75</v>
      </c>
      <c r="G613">
        <f>ABS(Table1[[#This Row],[Monthly_Income]])</f>
        <v>1405.75</v>
      </c>
      <c r="H613">
        <v>18209.7</v>
      </c>
      <c r="I613" s="5">
        <f t="shared" si="119"/>
        <v>18209.7</v>
      </c>
      <c r="J613">
        <v>24</v>
      </c>
      <c r="K613">
        <v>24.22</v>
      </c>
      <c r="L613">
        <v>2</v>
      </c>
      <c r="M613">
        <f t="shared" si="120"/>
        <v>2</v>
      </c>
      <c r="N613">
        <v>7.2</v>
      </c>
      <c r="O613">
        <f t="shared" si="121"/>
        <v>7.2</v>
      </c>
      <c r="Q613" t="str">
        <f t="shared" si="122"/>
        <v>NULL</v>
      </c>
      <c r="R613" t="s">
        <v>24</v>
      </c>
      <c r="S613" t="str">
        <f t="shared" si="123"/>
        <v>Non-Performing</v>
      </c>
      <c r="T613" t="s">
        <v>22</v>
      </c>
      <c r="U613" s="3">
        <f t="shared" si="124"/>
        <v>0.5397385737150987</v>
      </c>
      <c r="V613" t="str">
        <f t="shared" si="125"/>
        <v>High Stress</v>
      </c>
      <c r="W613" t="str">
        <f t="shared" si="126"/>
        <v>NULL</v>
      </c>
      <c r="X613" s="5" t="str">
        <f t="shared" si="127"/>
        <v>Medium</v>
      </c>
      <c r="Y613" s="5" t="str">
        <f t="shared" si="128"/>
        <v>High</v>
      </c>
      <c r="Z613" s="5" t="str">
        <f>IF(B613=120,"NULL",IF(AND(V613="High Stress", W613="High Risk", Y613="Low"),"High Risk : Reject", IF(AND(V613="Healthy", W613="Good",Y613&lt;&gt;"Low"), "Low Risk : Approve", "Medium Risk : Review")))</f>
        <v>Medium Risk : Review</v>
      </c>
      <c r="AA613" s="5" t="str">
        <f t="shared" si="129"/>
        <v>Low</v>
      </c>
    </row>
    <row r="614" spans="1:27" x14ac:dyDescent="0.2">
      <c r="A614">
        <v>22935</v>
      </c>
      <c r="B614">
        <v>25</v>
      </c>
      <c r="C614">
        <f t="shared" si="117"/>
        <v>25</v>
      </c>
      <c r="D614" t="s">
        <v>21</v>
      </c>
      <c r="E614" t="str">
        <f t="shared" si="118"/>
        <v>Salaried</v>
      </c>
      <c r="F614">
        <v>5911.21</v>
      </c>
      <c r="G614">
        <f>ABS(Table1[[#This Row],[Monthly_Income]])</f>
        <v>5911.21</v>
      </c>
      <c r="H614">
        <v>33908.06</v>
      </c>
      <c r="I614" s="5">
        <f t="shared" si="119"/>
        <v>33908.06</v>
      </c>
      <c r="J614">
        <v>12</v>
      </c>
      <c r="K614">
        <v>17.27</v>
      </c>
      <c r="M614" t="str">
        <f t="shared" si="120"/>
        <v>NULL</v>
      </c>
      <c r="N614">
        <v>2.9</v>
      </c>
      <c r="O614">
        <f t="shared" si="121"/>
        <v>2.9</v>
      </c>
      <c r="P614">
        <v>90</v>
      </c>
      <c r="Q614">
        <f t="shared" si="122"/>
        <v>90</v>
      </c>
      <c r="R614" t="s">
        <v>15</v>
      </c>
      <c r="S614" t="str">
        <f t="shared" si="123"/>
        <v xml:space="preserve">Performing </v>
      </c>
      <c r="T614" t="s">
        <v>16</v>
      </c>
      <c r="U614" s="3">
        <f t="shared" si="124"/>
        <v>0.47801916471698119</v>
      </c>
      <c r="V614" t="str">
        <f t="shared" si="125"/>
        <v>High Stress</v>
      </c>
      <c r="W614" t="str">
        <f t="shared" si="126"/>
        <v>High Risk</v>
      </c>
      <c r="X614" s="5" t="str">
        <f t="shared" si="127"/>
        <v>High</v>
      </c>
      <c r="Y614" s="5" t="str">
        <f t="shared" si="128"/>
        <v>High</v>
      </c>
      <c r="Z614" s="5" t="str">
        <f>IF(B614=120,"NULL",IF(AND(V614="High Stress", W614="High Risk", Y614="Low"),"High Risk : Reject", IF(AND(V614="Healthy", W614="Good",Y614&lt;&gt;"Low"), "Low Risk : Approve", "Medium Risk : Review")))</f>
        <v>Medium Risk : Review</v>
      </c>
      <c r="AA614" s="5" t="str">
        <f t="shared" si="129"/>
        <v>Medium</v>
      </c>
    </row>
    <row r="615" spans="1:27" x14ac:dyDescent="0.2">
      <c r="A615">
        <v>21614</v>
      </c>
      <c r="B615">
        <v>27</v>
      </c>
      <c r="C615">
        <f t="shared" si="117"/>
        <v>27</v>
      </c>
      <c r="D615" t="s">
        <v>21</v>
      </c>
      <c r="E615" t="str">
        <f t="shared" si="118"/>
        <v>Salaried</v>
      </c>
      <c r="F615">
        <v>5497.51</v>
      </c>
      <c r="G615">
        <f>ABS(Table1[[#This Row],[Monthly_Income]])</f>
        <v>5497.51</v>
      </c>
      <c r="H615">
        <v>21346.38</v>
      </c>
      <c r="I615" s="5">
        <f t="shared" si="119"/>
        <v>21346.38</v>
      </c>
      <c r="J615">
        <v>12</v>
      </c>
      <c r="K615">
        <v>5.77</v>
      </c>
      <c r="L615">
        <v>2</v>
      </c>
      <c r="M615">
        <f t="shared" si="120"/>
        <v>2</v>
      </c>
      <c r="N615">
        <v>11.7</v>
      </c>
      <c r="O615">
        <f t="shared" si="121"/>
        <v>11.7</v>
      </c>
      <c r="P615">
        <v>0</v>
      </c>
      <c r="Q615">
        <f t="shared" si="122"/>
        <v>0</v>
      </c>
      <c r="R615" t="s">
        <v>15</v>
      </c>
      <c r="S615" t="str">
        <f t="shared" si="123"/>
        <v xml:space="preserve">Performing </v>
      </c>
      <c r="T615" t="s">
        <v>19</v>
      </c>
      <c r="U615" s="3">
        <f t="shared" si="124"/>
        <v>0.32357649190269783</v>
      </c>
      <c r="V615" t="str">
        <f t="shared" si="125"/>
        <v>Stretched</v>
      </c>
      <c r="W615" t="str">
        <f t="shared" si="126"/>
        <v>Good</v>
      </c>
      <c r="X615" s="5" t="str">
        <f t="shared" si="127"/>
        <v>Medium</v>
      </c>
      <c r="Y615" s="5" t="str">
        <f t="shared" si="128"/>
        <v>High</v>
      </c>
      <c r="Z615" s="5" t="str">
        <f>IF(B615=120,"NULL",IF(AND(V615="High Stress", W615="High Risk", Y615="Low"),"High Risk : Reject", IF(AND(V615="Healthy", W615="Good",Y615&lt;&gt;"Low"), "Low Risk : Approve", "Medium Risk : Review")))</f>
        <v>Medium Risk : Review</v>
      </c>
      <c r="AA615" s="5" t="str">
        <f t="shared" si="129"/>
        <v>Medium</v>
      </c>
    </row>
    <row r="616" spans="1:27" x14ac:dyDescent="0.2">
      <c r="A616">
        <v>23135</v>
      </c>
      <c r="B616">
        <v>51</v>
      </c>
      <c r="C616">
        <f t="shared" si="117"/>
        <v>51</v>
      </c>
      <c r="D616" t="s">
        <v>27</v>
      </c>
      <c r="E616" t="str">
        <f t="shared" si="118"/>
        <v>Unemployed</v>
      </c>
      <c r="F616">
        <v>10767.71</v>
      </c>
      <c r="G616">
        <f>ABS(Table1[[#This Row],[Monthly_Income]])</f>
        <v>10767.71</v>
      </c>
      <c r="H616">
        <v>12546.18</v>
      </c>
      <c r="I616" s="5">
        <f t="shared" si="119"/>
        <v>12546.18</v>
      </c>
      <c r="J616">
        <v>12</v>
      </c>
      <c r="K616">
        <v>19.09</v>
      </c>
      <c r="M616" t="str">
        <f t="shared" si="120"/>
        <v>NULL</v>
      </c>
      <c r="N616">
        <v>12.1</v>
      </c>
      <c r="O616">
        <f t="shared" si="121"/>
        <v>12.1</v>
      </c>
      <c r="P616">
        <v>30</v>
      </c>
      <c r="Q616">
        <f t="shared" si="122"/>
        <v>30</v>
      </c>
      <c r="R616" t="s">
        <v>24</v>
      </c>
      <c r="S616" t="str">
        <f t="shared" si="123"/>
        <v>Non-Performing</v>
      </c>
      <c r="T616" t="s">
        <v>16</v>
      </c>
      <c r="U616" s="3">
        <f t="shared" si="124"/>
        <v>9.7097247232698511E-2</v>
      </c>
      <c r="V616" t="str">
        <f t="shared" si="125"/>
        <v>Healthy</v>
      </c>
      <c r="W616" t="str">
        <f t="shared" si="126"/>
        <v>At Risk</v>
      </c>
      <c r="X616" s="5" t="str">
        <f t="shared" si="127"/>
        <v>Medium</v>
      </c>
      <c r="Y616" s="5" t="str">
        <f t="shared" si="128"/>
        <v>Low</v>
      </c>
      <c r="Z616" s="5" t="str">
        <f>IF(B616=120,"NULL",IF(AND(V616="High Stress", W616="High Risk", Y616="Low"),"High Risk : Reject", IF(AND(V616="Healthy", W616="Good",Y616&lt;&gt;"Low"), "Low Risk : Approve", "Medium Risk : Review")))</f>
        <v>Medium Risk : Review</v>
      </c>
      <c r="AA616" s="5" t="str">
        <f t="shared" si="129"/>
        <v>High</v>
      </c>
    </row>
    <row r="617" spans="1:27" x14ac:dyDescent="0.2">
      <c r="A617">
        <v>20407</v>
      </c>
      <c r="B617">
        <v>28</v>
      </c>
      <c r="C617">
        <f t="shared" si="117"/>
        <v>28</v>
      </c>
      <c r="D617" t="s">
        <v>17</v>
      </c>
      <c r="E617" t="str">
        <f t="shared" si="118"/>
        <v>Contract</v>
      </c>
      <c r="F617">
        <v>3156.18</v>
      </c>
      <c r="G617">
        <f>ABS(Table1[[#This Row],[Monthly_Income]])</f>
        <v>3156.18</v>
      </c>
      <c r="H617">
        <v>42762.83</v>
      </c>
      <c r="I617" s="5">
        <f t="shared" si="119"/>
        <v>42762.83</v>
      </c>
      <c r="J617">
        <v>24</v>
      </c>
      <c r="K617">
        <v>3.69</v>
      </c>
      <c r="L617">
        <v>1</v>
      </c>
      <c r="M617">
        <f t="shared" si="120"/>
        <v>1</v>
      </c>
      <c r="N617">
        <v>1.9</v>
      </c>
      <c r="O617">
        <f t="shared" si="121"/>
        <v>1.9</v>
      </c>
      <c r="P617">
        <v>0</v>
      </c>
      <c r="Q617">
        <f t="shared" si="122"/>
        <v>0</v>
      </c>
      <c r="R617" t="s">
        <v>18</v>
      </c>
      <c r="S617" t="str">
        <f t="shared" si="123"/>
        <v>Non-Performing</v>
      </c>
      <c r="T617" t="s">
        <v>25</v>
      </c>
      <c r="U617" s="3">
        <f t="shared" si="124"/>
        <v>0.56453832903488821</v>
      </c>
      <c r="V617" t="str">
        <f t="shared" si="125"/>
        <v>High Stress</v>
      </c>
      <c r="W617" t="str">
        <f t="shared" si="126"/>
        <v>Good</v>
      </c>
      <c r="X617" s="5" t="str">
        <f t="shared" si="127"/>
        <v>High</v>
      </c>
      <c r="Y617" s="5" t="str">
        <f t="shared" si="128"/>
        <v>Low</v>
      </c>
      <c r="Z617" s="5" t="str">
        <f>IF(B617=120,"NULL",IF(AND(V617="High Stress", W617="High Risk", Y617="Low"),"High Risk : Reject", IF(AND(V617="Healthy", W617="Good",Y617&lt;&gt;"Low"), "Low Risk : Approve", "Medium Risk : Review")))</f>
        <v>Medium Risk : Review</v>
      </c>
      <c r="AA617" s="5" t="str">
        <f t="shared" si="129"/>
        <v>Medium</v>
      </c>
    </row>
    <row r="618" spans="1:27" x14ac:dyDescent="0.2">
      <c r="A618">
        <v>20553</v>
      </c>
      <c r="B618">
        <v>64</v>
      </c>
      <c r="C618">
        <f t="shared" si="117"/>
        <v>64</v>
      </c>
      <c r="D618" t="s">
        <v>27</v>
      </c>
      <c r="E618" t="str">
        <f t="shared" si="118"/>
        <v>Unemployed</v>
      </c>
      <c r="F618">
        <v>2508.11</v>
      </c>
      <c r="G618">
        <f>ABS(Table1[[#This Row],[Monthly_Income]])</f>
        <v>2508.11</v>
      </c>
      <c r="H618">
        <v>30431.95</v>
      </c>
      <c r="I618" s="5">
        <f t="shared" si="119"/>
        <v>30431.95</v>
      </c>
      <c r="J618">
        <v>24</v>
      </c>
      <c r="K618">
        <v>15.15</v>
      </c>
      <c r="L618">
        <v>0</v>
      </c>
      <c r="M618">
        <f t="shared" si="120"/>
        <v>0</v>
      </c>
      <c r="N618">
        <v>6.8</v>
      </c>
      <c r="O618">
        <f t="shared" si="121"/>
        <v>6.8</v>
      </c>
      <c r="P618">
        <v>0</v>
      </c>
      <c r="Q618">
        <f t="shared" si="122"/>
        <v>0</v>
      </c>
      <c r="R618" t="s">
        <v>20</v>
      </c>
      <c r="S618" t="str">
        <f t="shared" si="123"/>
        <v>Written Off</v>
      </c>
      <c r="T618" t="s">
        <v>25</v>
      </c>
      <c r="U618" s="3">
        <f t="shared" si="124"/>
        <v>0.50555913283973464</v>
      </c>
      <c r="V618" t="str">
        <f t="shared" si="125"/>
        <v>High Stress</v>
      </c>
      <c r="W618" t="str">
        <f t="shared" si="126"/>
        <v>Good</v>
      </c>
      <c r="X618" s="5" t="str">
        <f t="shared" si="127"/>
        <v>High</v>
      </c>
      <c r="Y618" s="5" t="str">
        <f t="shared" si="128"/>
        <v>Low</v>
      </c>
      <c r="Z618" s="5" t="str">
        <f>IF(B618=120,"NULL",IF(AND(V618="High Stress", W618="High Risk", Y618="Low"),"High Risk : Reject", IF(AND(V618="Healthy", W618="Good",Y618&lt;&gt;"Low"), "Low Risk : Approve", "Medium Risk : Review")))</f>
        <v>Medium Risk : Review</v>
      </c>
      <c r="AA618" s="5" t="str">
        <f t="shared" si="129"/>
        <v>Medium</v>
      </c>
    </row>
    <row r="619" spans="1:27" x14ac:dyDescent="0.2">
      <c r="A619">
        <v>24051</v>
      </c>
      <c r="B619">
        <v>48</v>
      </c>
      <c r="C619">
        <f t="shared" si="117"/>
        <v>48</v>
      </c>
      <c r="D619" t="s">
        <v>12</v>
      </c>
      <c r="E619" t="str">
        <f t="shared" si="118"/>
        <v>Self-Employed</v>
      </c>
      <c r="F619">
        <v>4036.63</v>
      </c>
      <c r="G619">
        <f>ABS(Table1[[#This Row],[Monthly_Income]])</f>
        <v>4036.63</v>
      </c>
      <c r="H619">
        <v>21622.880000000001</v>
      </c>
      <c r="I619" s="5">
        <f t="shared" si="119"/>
        <v>21622.880000000001</v>
      </c>
      <c r="J619">
        <v>24</v>
      </c>
      <c r="K619">
        <v>16.8</v>
      </c>
      <c r="L619">
        <v>1</v>
      </c>
      <c r="M619">
        <f t="shared" si="120"/>
        <v>1</v>
      </c>
      <c r="N619">
        <v>7.9</v>
      </c>
      <c r="O619">
        <f t="shared" si="121"/>
        <v>7.9</v>
      </c>
      <c r="Q619" t="str">
        <f t="shared" si="122"/>
        <v>NULL</v>
      </c>
      <c r="R619" t="s">
        <v>20</v>
      </c>
      <c r="S619" t="str">
        <f t="shared" si="123"/>
        <v>Written Off</v>
      </c>
      <c r="T619" t="s">
        <v>16</v>
      </c>
      <c r="U619" s="3">
        <f t="shared" si="124"/>
        <v>0.22319443033751754</v>
      </c>
      <c r="V619" t="str">
        <f t="shared" si="125"/>
        <v>Healthy</v>
      </c>
      <c r="W619" t="str">
        <f t="shared" si="126"/>
        <v>NULL</v>
      </c>
      <c r="X619" s="5" t="str">
        <f t="shared" si="127"/>
        <v>Medium</v>
      </c>
      <c r="Y619" s="5" t="str">
        <f t="shared" si="128"/>
        <v>Medium</v>
      </c>
      <c r="Z619" s="5" t="str">
        <f>IF(B619=120,"NULL",IF(AND(V619="High Stress", W619="High Risk", Y619="Low"),"High Risk : Reject", IF(AND(V619="Healthy", W619="Good",Y619&lt;&gt;"Low"), "Low Risk : Approve", "Medium Risk : Review")))</f>
        <v>Medium Risk : Review</v>
      </c>
      <c r="AA619" s="5" t="str">
        <f t="shared" si="129"/>
        <v>Medium</v>
      </c>
    </row>
    <row r="620" spans="1:27" x14ac:dyDescent="0.2">
      <c r="A620">
        <v>25038</v>
      </c>
      <c r="B620">
        <v>47</v>
      </c>
      <c r="C620">
        <f t="shared" si="117"/>
        <v>47</v>
      </c>
      <c r="D620" t="s">
        <v>17</v>
      </c>
      <c r="E620" t="str">
        <f t="shared" si="118"/>
        <v>Contract</v>
      </c>
      <c r="F620">
        <v>5423.56</v>
      </c>
      <c r="G620">
        <f>ABS(Table1[[#This Row],[Monthly_Income]])</f>
        <v>5423.56</v>
      </c>
      <c r="H620">
        <v>13408.25</v>
      </c>
      <c r="I620" s="5">
        <f t="shared" si="119"/>
        <v>13408.25</v>
      </c>
      <c r="J620">
        <v>36</v>
      </c>
      <c r="K620">
        <v>17.28</v>
      </c>
      <c r="L620">
        <v>3</v>
      </c>
      <c r="M620">
        <f t="shared" si="120"/>
        <v>3</v>
      </c>
      <c r="N620">
        <v>8</v>
      </c>
      <c r="O620">
        <f t="shared" si="121"/>
        <v>8</v>
      </c>
      <c r="Q620" t="str">
        <f t="shared" si="122"/>
        <v>NULL</v>
      </c>
      <c r="R620" t="s">
        <v>15</v>
      </c>
      <c r="S620" t="str">
        <f t="shared" si="123"/>
        <v xml:space="preserve">Performing </v>
      </c>
      <c r="T620" t="s">
        <v>16</v>
      </c>
      <c r="U620" s="3">
        <f t="shared" si="124"/>
        <v>6.8672862269227017E-2</v>
      </c>
      <c r="V620" t="str">
        <f t="shared" si="125"/>
        <v>Healthy</v>
      </c>
      <c r="W620" t="str">
        <f t="shared" si="126"/>
        <v>NULL</v>
      </c>
      <c r="X620" s="5" t="str">
        <f t="shared" si="127"/>
        <v>Medium</v>
      </c>
      <c r="Y620" s="5" t="str">
        <f t="shared" si="128"/>
        <v>Low</v>
      </c>
      <c r="Z620" s="5" t="str">
        <f>IF(B620=120,"NULL",IF(AND(V620="High Stress", W620="High Risk", Y620="Low"),"High Risk : Reject", IF(AND(V620="Healthy", W620="Good",Y620&lt;&gt;"Low"), "Low Risk : Approve", "Medium Risk : Review")))</f>
        <v>Medium Risk : Review</v>
      </c>
      <c r="AA620" s="5" t="str">
        <f t="shared" si="129"/>
        <v>Medium</v>
      </c>
    </row>
    <row r="621" spans="1:27" x14ac:dyDescent="0.2">
      <c r="A621">
        <v>22998</v>
      </c>
      <c r="B621">
        <v>30</v>
      </c>
      <c r="C621">
        <f t="shared" si="117"/>
        <v>30</v>
      </c>
      <c r="D621" t="s">
        <v>27</v>
      </c>
      <c r="E621" t="str">
        <f t="shared" si="118"/>
        <v>Unemployed</v>
      </c>
      <c r="F621">
        <v>4298.66</v>
      </c>
      <c r="G621">
        <f>ABS(Table1[[#This Row],[Monthly_Income]])</f>
        <v>4298.66</v>
      </c>
      <c r="H621">
        <v>10626.47</v>
      </c>
      <c r="I621" s="5">
        <f t="shared" si="119"/>
        <v>10626.47</v>
      </c>
      <c r="J621">
        <v>24</v>
      </c>
      <c r="K621">
        <v>15.97</v>
      </c>
      <c r="M621" t="str">
        <f t="shared" si="120"/>
        <v>NULL</v>
      </c>
      <c r="N621">
        <v>-1.2</v>
      </c>
      <c r="O621">
        <f t="shared" si="121"/>
        <v>1.2</v>
      </c>
      <c r="P621">
        <v>15</v>
      </c>
      <c r="Q621">
        <f t="shared" si="122"/>
        <v>15</v>
      </c>
      <c r="R621" t="s">
        <v>13</v>
      </c>
      <c r="S621" t="str">
        <f t="shared" si="123"/>
        <v>Performing</v>
      </c>
      <c r="T621" t="s">
        <v>22</v>
      </c>
      <c r="U621" s="3">
        <f t="shared" si="124"/>
        <v>0.1030017687682518</v>
      </c>
      <c r="V621" t="str">
        <f t="shared" si="125"/>
        <v>Healthy</v>
      </c>
      <c r="W621" t="str">
        <f t="shared" si="126"/>
        <v>Good</v>
      </c>
      <c r="X621" s="5" t="str">
        <f t="shared" si="127"/>
        <v>Medium</v>
      </c>
      <c r="Y621" s="5" t="str">
        <f t="shared" si="128"/>
        <v>Low</v>
      </c>
      <c r="Z621" s="5" t="str">
        <f>IF(B621=120,"NULL",IF(AND(V621="High Stress", W621="High Risk", Y621="Low"),"High Risk : Reject", IF(AND(V621="Healthy", W621="Good",Y621&lt;&gt;"Low"), "Low Risk : Approve", "Medium Risk : Review")))</f>
        <v>Medium Risk : Review</v>
      </c>
      <c r="AA621" s="5" t="str">
        <f t="shared" si="129"/>
        <v>Medium</v>
      </c>
    </row>
    <row r="622" spans="1:27" x14ac:dyDescent="0.2">
      <c r="A622">
        <v>22081</v>
      </c>
      <c r="B622">
        <v>49</v>
      </c>
      <c r="C622">
        <f t="shared" si="117"/>
        <v>49</v>
      </c>
      <c r="D622" t="s">
        <v>21</v>
      </c>
      <c r="E622" t="str">
        <f t="shared" si="118"/>
        <v>Salaried</v>
      </c>
      <c r="F622">
        <v>5830.14</v>
      </c>
      <c r="G622">
        <f>ABS(Table1[[#This Row],[Monthly_Income]])</f>
        <v>5830.14</v>
      </c>
      <c r="H622">
        <v>14123.9</v>
      </c>
      <c r="I622" s="5">
        <f t="shared" si="119"/>
        <v>14123.9</v>
      </c>
      <c r="J622">
        <v>60</v>
      </c>
      <c r="K622">
        <v>25.86</v>
      </c>
      <c r="L622">
        <v>0</v>
      </c>
      <c r="M622">
        <f t="shared" si="120"/>
        <v>0</v>
      </c>
      <c r="N622">
        <v>7.3</v>
      </c>
      <c r="O622">
        <f t="shared" si="121"/>
        <v>7.3</v>
      </c>
      <c r="P622">
        <v>0</v>
      </c>
      <c r="Q622">
        <f t="shared" si="122"/>
        <v>0</v>
      </c>
      <c r="R622" t="s">
        <v>20</v>
      </c>
      <c r="S622" t="str">
        <f t="shared" si="123"/>
        <v>Written Off</v>
      </c>
      <c r="T622" t="s">
        <v>14</v>
      </c>
      <c r="U622" s="3">
        <f t="shared" si="124"/>
        <v>4.0376103032402876E-2</v>
      </c>
      <c r="V622" t="str">
        <f t="shared" si="125"/>
        <v>Healthy</v>
      </c>
      <c r="W622" t="str">
        <f t="shared" si="126"/>
        <v>Good</v>
      </c>
      <c r="X622" s="5" t="str">
        <f t="shared" si="127"/>
        <v>Medium</v>
      </c>
      <c r="Y622" s="5" t="str">
        <f t="shared" si="128"/>
        <v>High</v>
      </c>
      <c r="Z622" s="5" t="str">
        <f>IF(B622=120,"NULL",IF(AND(V622="High Stress", W622="High Risk", Y622="Low"),"High Risk : Reject", IF(AND(V622="Healthy", W622="Good",Y622&lt;&gt;"Low"), "Low Risk : Approve", "Medium Risk : Review")))</f>
        <v>Low Risk : Approve</v>
      </c>
      <c r="AA622" s="5" t="str">
        <f t="shared" si="129"/>
        <v>Medium</v>
      </c>
    </row>
    <row r="623" spans="1:27" x14ac:dyDescent="0.2">
      <c r="A623">
        <v>21205</v>
      </c>
      <c r="B623">
        <v>61</v>
      </c>
      <c r="C623">
        <f t="shared" si="117"/>
        <v>61</v>
      </c>
      <c r="D623" t="s">
        <v>27</v>
      </c>
      <c r="E623" t="str">
        <f t="shared" si="118"/>
        <v>Unemployed</v>
      </c>
      <c r="F623">
        <v>3977.38</v>
      </c>
      <c r="G623">
        <f>ABS(Table1[[#This Row],[Monthly_Income]])</f>
        <v>3977.38</v>
      </c>
      <c r="H623">
        <v>23366.44</v>
      </c>
      <c r="I623" s="5">
        <f t="shared" si="119"/>
        <v>23366.44</v>
      </c>
      <c r="J623">
        <v>60</v>
      </c>
      <c r="K623">
        <v>20.43</v>
      </c>
      <c r="L623">
        <v>1</v>
      </c>
      <c r="M623">
        <f t="shared" si="120"/>
        <v>1</v>
      </c>
      <c r="N623">
        <v>1.7</v>
      </c>
      <c r="O623">
        <f t="shared" si="121"/>
        <v>1.7</v>
      </c>
      <c r="P623">
        <v>60</v>
      </c>
      <c r="Q623">
        <f t="shared" si="122"/>
        <v>60</v>
      </c>
      <c r="R623" t="s">
        <v>13</v>
      </c>
      <c r="S623" t="str">
        <f t="shared" si="123"/>
        <v>Performing</v>
      </c>
      <c r="T623" t="s">
        <v>22</v>
      </c>
      <c r="U623" s="3">
        <f t="shared" si="124"/>
        <v>9.7913869599250414E-2</v>
      </c>
      <c r="V623" t="str">
        <f t="shared" si="125"/>
        <v>Healthy</v>
      </c>
      <c r="W623" t="str">
        <f t="shared" si="126"/>
        <v>High Risk</v>
      </c>
      <c r="X623" s="5" t="str">
        <f t="shared" si="127"/>
        <v>Medium</v>
      </c>
      <c r="Y623" s="5" t="str">
        <f t="shared" si="128"/>
        <v>Low</v>
      </c>
      <c r="Z623" s="5" t="str">
        <f>IF(B623=120,"NULL",IF(AND(V623="High Stress", W623="High Risk", Y623="Low"),"High Risk : Reject", IF(AND(V623="Healthy", W623="Good",Y623&lt;&gt;"Low"), "Low Risk : Approve", "Medium Risk : Review")))</f>
        <v>Medium Risk : Review</v>
      </c>
      <c r="AA623" s="5" t="str">
        <f t="shared" si="129"/>
        <v>Medium</v>
      </c>
    </row>
    <row r="624" spans="1:27" x14ac:dyDescent="0.2">
      <c r="A624">
        <v>24468</v>
      </c>
      <c r="B624">
        <v>63</v>
      </c>
      <c r="C624">
        <f t="shared" si="117"/>
        <v>63</v>
      </c>
      <c r="D624" t="s">
        <v>23</v>
      </c>
      <c r="E624" t="str">
        <f t="shared" si="118"/>
        <v>Self-Employed</v>
      </c>
      <c r="F624">
        <v>5153.8999999999996</v>
      </c>
      <c r="G624">
        <f>ABS(Table1[[#This Row],[Monthly_Income]])</f>
        <v>5153.8999999999996</v>
      </c>
      <c r="H624">
        <v>2459.81</v>
      </c>
      <c r="I624" s="5">
        <f t="shared" si="119"/>
        <v>2459.81</v>
      </c>
      <c r="J624">
        <v>12</v>
      </c>
      <c r="K624">
        <v>15.04</v>
      </c>
      <c r="L624">
        <v>3</v>
      </c>
      <c r="M624">
        <f t="shared" si="120"/>
        <v>3</v>
      </c>
      <c r="N624">
        <v>4.7</v>
      </c>
      <c r="O624">
        <f t="shared" si="121"/>
        <v>4.7</v>
      </c>
      <c r="P624">
        <v>0</v>
      </c>
      <c r="Q624">
        <f t="shared" si="122"/>
        <v>0</v>
      </c>
      <c r="R624" t="s">
        <v>24</v>
      </c>
      <c r="S624" t="str">
        <f t="shared" si="123"/>
        <v>Non-Performing</v>
      </c>
      <c r="T624" t="s">
        <v>14</v>
      </c>
      <c r="U624" s="3">
        <f t="shared" si="124"/>
        <v>3.9772631728723237E-2</v>
      </c>
      <c r="V624" t="str">
        <f t="shared" si="125"/>
        <v>Healthy</v>
      </c>
      <c r="W624" t="str">
        <f t="shared" si="126"/>
        <v>Good</v>
      </c>
      <c r="X624" s="5" t="str">
        <f t="shared" si="127"/>
        <v>Small</v>
      </c>
      <c r="Y624" s="5" t="str">
        <f t="shared" si="128"/>
        <v>Medium</v>
      </c>
      <c r="Z624" s="5" t="str">
        <f>IF(B624=120,"NULL",IF(AND(V624="High Stress", W624="High Risk", Y624="Low"),"High Risk : Reject", IF(AND(V624="Healthy", W624="Good",Y624&lt;&gt;"Low"), "Low Risk : Approve", "Medium Risk : Review")))</f>
        <v>Low Risk : Approve</v>
      </c>
      <c r="AA624" s="5" t="str">
        <f t="shared" si="129"/>
        <v>Medium</v>
      </c>
    </row>
    <row r="625" spans="1:27" x14ac:dyDescent="0.2">
      <c r="A625">
        <v>20901</v>
      </c>
      <c r="B625">
        <v>59</v>
      </c>
      <c r="C625">
        <f t="shared" si="117"/>
        <v>59</v>
      </c>
      <c r="D625" t="s">
        <v>23</v>
      </c>
      <c r="E625" t="str">
        <f t="shared" si="118"/>
        <v>Self-Employed</v>
      </c>
      <c r="F625">
        <v>6163.64</v>
      </c>
      <c r="G625">
        <f>ABS(Table1[[#This Row],[Monthly_Income]])</f>
        <v>6163.64</v>
      </c>
      <c r="H625"/>
      <c r="I625" s="5" t="str">
        <f t="shared" si="119"/>
        <v>NULL</v>
      </c>
      <c r="J625">
        <v>6</v>
      </c>
      <c r="K625">
        <v>20.51</v>
      </c>
      <c r="M625" t="str">
        <f t="shared" si="120"/>
        <v>NULL</v>
      </c>
      <c r="N625">
        <v>2.2000000000000002</v>
      </c>
      <c r="O625">
        <f t="shared" si="121"/>
        <v>2.2000000000000002</v>
      </c>
      <c r="P625">
        <v>0</v>
      </c>
      <c r="Q625">
        <f t="shared" si="122"/>
        <v>0</v>
      </c>
      <c r="R625" t="s">
        <v>13</v>
      </c>
      <c r="S625" t="str">
        <f t="shared" si="123"/>
        <v>Performing</v>
      </c>
      <c r="T625" t="s">
        <v>19</v>
      </c>
      <c r="U625" s="3" t="str">
        <f t="shared" si="124"/>
        <v>NULL</v>
      </c>
      <c r="V625" t="str">
        <f t="shared" si="125"/>
        <v>NULL</v>
      </c>
      <c r="W625" t="str">
        <f t="shared" si="126"/>
        <v>Good</v>
      </c>
      <c r="X625" s="5" t="str">
        <f t="shared" si="127"/>
        <v>High</v>
      </c>
      <c r="Y625" s="5" t="str">
        <f t="shared" si="128"/>
        <v>Medium</v>
      </c>
      <c r="Z625" s="5" t="str">
        <f>IF(B625=120,"NULL",IF(AND(V625="High Stress", W625="High Risk", Y625="Low"),"High Risk : Reject", IF(AND(V625="Healthy", W625="Good",Y625&lt;&gt;"Low"), "Low Risk : Approve", "Medium Risk : Review")))</f>
        <v>Medium Risk : Review</v>
      </c>
      <c r="AA625" s="5" t="str">
        <f t="shared" si="129"/>
        <v>Medium</v>
      </c>
    </row>
    <row r="626" spans="1:27" x14ac:dyDescent="0.2">
      <c r="A626">
        <v>23102</v>
      </c>
      <c r="B626">
        <v>29</v>
      </c>
      <c r="C626">
        <f t="shared" si="117"/>
        <v>29</v>
      </c>
      <c r="D626" t="s">
        <v>27</v>
      </c>
      <c r="E626" t="str">
        <f t="shared" si="118"/>
        <v>Unemployed</v>
      </c>
      <c r="F626">
        <v>9139.94</v>
      </c>
      <c r="G626">
        <f>ABS(Table1[[#This Row],[Monthly_Income]])</f>
        <v>9139.94</v>
      </c>
      <c r="H626">
        <v>17761.82</v>
      </c>
      <c r="I626" s="5">
        <f t="shared" si="119"/>
        <v>17761.82</v>
      </c>
      <c r="J626">
        <v>12</v>
      </c>
      <c r="K626">
        <v>12.95</v>
      </c>
      <c r="M626" t="str">
        <f t="shared" si="120"/>
        <v>NULL</v>
      </c>
      <c r="N626">
        <v>1.9</v>
      </c>
      <c r="O626">
        <f t="shared" si="121"/>
        <v>1.9</v>
      </c>
      <c r="P626">
        <v>60</v>
      </c>
      <c r="Q626">
        <f t="shared" si="122"/>
        <v>60</v>
      </c>
      <c r="R626" t="s">
        <v>24</v>
      </c>
      <c r="S626" t="str">
        <f t="shared" si="123"/>
        <v>Non-Performing</v>
      </c>
      <c r="T626" t="s">
        <v>16</v>
      </c>
      <c r="U626" s="3">
        <f t="shared" si="124"/>
        <v>0.16194325856260181</v>
      </c>
      <c r="V626" t="str">
        <f t="shared" si="125"/>
        <v>Healthy</v>
      </c>
      <c r="W626" t="str">
        <f t="shared" si="126"/>
        <v>High Risk</v>
      </c>
      <c r="X626" s="5" t="str">
        <f t="shared" si="127"/>
        <v>Medium</v>
      </c>
      <c r="Y626" s="5" t="str">
        <f t="shared" si="128"/>
        <v>Low</v>
      </c>
      <c r="Z626" s="5" t="str">
        <f>IF(B626=120,"NULL",IF(AND(V626="High Stress", W626="High Risk", Y626="Low"),"High Risk : Reject", IF(AND(V626="Healthy", W626="Good",Y626&lt;&gt;"Low"), "Low Risk : Approve", "Medium Risk : Review")))</f>
        <v>Medium Risk : Review</v>
      </c>
      <c r="AA626" s="5" t="str">
        <f t="shared" si="129"/>
        <v>High</v>
      </c>
    </row>
    <row r="627" spans="1:27" x14ac:dyDescent="0.2">
      <c r="A627">
        <v>24173</v>
      </c>
      <c r="B627">
        <v>57</v>
      </c>
      <c r="C627">
        <f t="shared" si="117"/>
        <v>57</v>
      </c>
      <c r="D627" t="s">
        <v>27</v>
      </c>
      <c r="E627" t="str">
        <f t="shared" si="118"/>
        <v>Unemployed</v>
      </c>
      <c r="F627">
        <v>6332.59</v>
      </c>
      <c r="G627">
        <f>ABS(Table1[[#This Row],[Monthly_Income]])</f>
        <v>6332.59</v>
      </c>
      <c r="H627">
        <v>19625.689999999999</v>
      </c>
      <c r="I627" s="5">
        <f t="shared" si="119"/>
        <v>19625.689999999999</v>
      </c>
      <c r="J627">
        <v>6</v>
      </c>
      <c r="K627">
        <v>20.43</v>
      </c>
      <c r="L627">
        <v>0</v>
      </c>
      <c r="M627">
        <f t="shared" si="120"/>
        <v>0</v>
      </c>
      <c r="N627">
        <v>1.8</v>
      </c>
      <c r="O627">
        <f t="shared" si="121"/>
        <v>1.8</v>
      </c>
      <c r="P627">
        <v>0</v>
      </c>
      <c r="Q627">
        <f t="shared" si="122"/>
        <v>0</v>
      </c>
      <c r="R627" t="s">
        <v>20</v>
      </c>
      <c r="S627" t="str">
        <f t="shared" si="123"/>
        <v>Written Off</v>
      </c>
      <c r="T627" t="s">
        <v>25</v>
      </c>
      <c r="U627" s="3">
        <f t="shared" si="124"/>
        <v>0.51652615017446779</v>
      </c>
      <c r="V627" t="str">
        <f t="shared" si="125"/>
        <v>High Stress</v>
      </c>
      <c r="W627" t="str">
        <f t="shared" si="126"/>
        <v>Good</v>
      </c>
      <c r="X627" s="5" t="str">
        <f t="shared" si="127"/>
        <v>Medium</v>
      </c>
      <c r="Y627" s="5" t="str">
        <f t="shared" si="128"/>
        <v>Low</v>
      </c>
      <c r="Z627" s="5" t="str">
        <f>IF(B627=120,"NULL",IF(AND(V627="High Stress", W627="High Risk", Y627="Low"),"High Risk : Reject", IF(AND(V627="Healthy", W627="Good",Y627&lt;&gt;"Low"), "Low Risk : Approve", "Medium Risk : Review")))</f>
        <v>Medium Risk : Review</v>
      </c>
      <c r="AA627" s="5" t="str">
        <f t="shared" si="129"/>
        <v>Medium</v>
      </c>
    </row>
    <row r="628" spans="1:27" x14ac:dyDescent="0.2">
      <c r="A628">
        <v>23302</v>
      </c>
      <c r="B628">
        <v>31</v>
      </c>
      <c r="C628">
        <f t="shared" si="117"/>
        <v>31</v>
      </c>
      <c r="D628" t="s">
        <v>27</v>
      </c>
      <c r="E628" t="str">
        <f t="shared" si="118"/>
        <v>Unemployed</v>
      </c>
      <c r="F628">
        <v>3334.2</v>
      </c>
      <c r="G628">
        <f>ABS(Table1[[#This Row],[Monthly_Income]])</f>
        <v>3334.2</v>
      </c>
      <c r="H628">
        <v>20863.04</v>
      </c>
      <c r="I628" s="5">
        <f t="shared" si="119"/>
        <v>20863.04</v>
      </c>
      <c r="J628">
        <v>48</v>
      </c>
      <c r="K628">
        <v>21.72</v>
      </c>
      <c r="M628" t="str">
        <f t="shared" si="120"/>
        <v>NULL</v>
      </c>
      <c r="N628">
        <v>7.3</v>
      </c>
      <c r="O628">
        <f t="shared" si="121"/>
        <v>7.3</v>
      </c>
      <c r="P628">
        <v>30</v>
      </c>
      <c r="Q628">
        <f t="shared" si="122"/>
        <v>30</v>
      </c>
      <c r="R628" t="s">
        <v>20</v>
      </c>
      <c r="S628" t="str">
        <f t="shared" si="123"/>
        <v>Written Off</v>
      </c>
      <c r="T628" t="s">
        <v>25</v>
      </c>
      <c r="U628" s="3">
        <f t="shared" si="124"/>
        <v>0.13036010637234322</v>
      </c>
      <c r="V628" t="str">
        <f t="shared" si="125"/>
        <v>Healthy</v>
      </c>
      <c r="W628" t="str">
        <f t="shared" si="126"/>
        <v>At Risk</v>
      </c>
      <c r="X628" s="5" t="str">
        <f t="shared" si="127"/>
        <v>Medium</v>
      </c>
      <c r="Y628" s="5" t="str">
        <f t="shared" si="128"/>
        <v>Low</v>
      </c>
      <c r="Z628" s="5" t="str">
        <f>IF(B628=120,"NULL",IF(AND(V628="High Stress", W628="High Risk", Y628="Low"),"High Risk : Reject", IF(AND(V628="Healthy", W628="Good",Y628&lt;&gt;"Low"), "Low Risk : Approve", "Medium Risk : Review")))</f>
        <v>Medium Risk : Review</v>
      </c>
      <c r="AA628" s="5" t="str">
        <f t="shared" si="129"/>
        <v>Medium</v>
      </c>
    </row>
    <row r="629" spans="1:27" x14ac:dyDescent="0.2">
      <c r="A629">
        <v>21027</v>
      </c>
      <c r="B629">
        <v>51</v>
      </c>
      <c r="C629">
        <f t="shared" si="117"/>
        <v>51</v>
      </c>
      <c r="D629" t="s">
        <v>17</v>
      </c>
      <c r="E629" t="str">
        <f t="shared" si="118"/>
        <v>Contract</v>
      </c>
      <c r="F629">
        <v>9340.84</v>
      </c>
      <c r="G629">
        <f>ABS(Table1[[#This Row],[Monthly_Income]])</f>
        <v>9340.84</v>
      </c>
      <c r="H629">
        <v>34832.050000000003</v>
      </c>
      <c r="I629" s="5">
        <f t="shared" si="119"/>
        <v>34832.050000000003</v>
      </c>
      <c r="J629">
        <v>48</v>
      </c>
      <c r="K629">
        <v>15.27</v>
      </c>
      <c r="M629" t="str">
        <f t="shared" si="120"/>
        <v>NULL</v>
      </c>
      <c r="N629">
        <v>3.9</v>
      </c>
      <c r="O629">
        <f t="shared" si="121"/>
        <v>3.9</v>
      </c>
      <c r="P629">
        <v>120</v>
      </c>
      <c r="Q629">
        <f t="shared" si="122"/>
        <v>120</v>
      </c>
      <c r="R629" t="s">
        <v>13</v>
      </c>
      <c r="S629" t="str">
        <f t="shared" si="123"/>
        <v>Performing</v>
      </c>
      <c r="T629" t="s">
        <v>16</v>
      </c>
      <c r="U629" s="3">
        <f t="shared" si="124"/>
        <v>7.7687628557317479E-2</v>
      </c>
      <c r="V629" t="str">
        <f t="shared" si="125"/>
        <v>Healthy</v>
      </c>
      <c r="W629" t="str">
        <f t="shared" si="126"/>
        <v>High Risk</v>
      </c>
      <c r="X629" s="5" t="str">
        <f t="shared" si="127"/>
        <v>High</v>
      </c>
      <c r="Y629" s="5" t="str">
        <f t="shared" si="128"/>
        <v>Low</v>
      </c>
      <c r="Z629" s="5" t="str">
        <f>IF(B629=120,"NULL",IF(AND(V629="High Stress", W629="High Risk", Y629="Low"),"High Risk : Reject", IF(AND(V629="Healthy", W629="Good",Y629&lt;&gt;"Low"), "Low Risk : Approve", "Medium Risk : Review")))</f>
        <v>Medium Risk : Review</v>
      </c>
      <c r="AA629" s="5" t="str">
        <f t="shared" si="129"/>
        <v>High</v>
      </c>
    </row>
    <row r="630" spans="1:27" x14ac:dyDescent="0.2">
      <c r="A630">
        <v>21840</v>
      </c>
      <c r="B630">
        <v>42</v>
      </c>
      <c r="C630">
        <f t="shared" si="117"/>
        <v>42</v>
      </c>
      <c r="D630" t="s">
        <v>26</v>
      </c>
      <c r="E630" t="str">
        <f t="shared" si="118"/>
        <v>Salaried</v>
      </c>
      <c r="F630">
        <v>4442.28</v>
      </c>
      <c r="G630">
        <f>ABS(Table1[[#This Row],[Monthly_Income]])</f>
        <v>4442.28</v>
      </c>
      <c r="H630">
        <v>15912.39</v>
      </c>
      <c r="I630" s="5">
        <f t="shared" si="119"/>
        <v>15912.39</v>
      </c>
      <c r="J630">
        <v>36</v>
      </c>
      <c r="K630">
        <v>9.65</v>
      </c>
      <c r="M630" t="str">
        <f t="shared" si="120"/>
        <v>NULL</v>
      </c>
      <c r="N630">
        <v>12.3</v>
      </c>
      <c r="O630">
        <f t="shared" si="121"/>
        <v>12.3</v>
      </c>
      <c r="P630">
        <v>0</v>
      </c>
      <c r="Q630">
        <f t="shared" si="122"/>
        <v>0</v>
      </c>
      <c r="R630" t="s">
        <v>18</v>
      </c>
      <c r="S630" t="str">
        <f t="shared" si="123"/>
        <v>Non-Performing</v>
      </c>
      <c r="T630" t="s">
        <v>22</v>
      </c>
      <c r="U630" s="3">
        <f t="shared" si="124"/>
        <v>9.950089443559014E-2</v>
      </c>
      <c r="V630" t="str">
        <f t="shared" si="125"/>
        <v>Healthy</v>
      </c>
      <c r="W630" t="str">
        <f t="shared" si="126"/>
        <v>Good</v>
      </c>
      <c r="X630" s="5" t="str">
        <f t="shared" si="127"/>
        <v>Medium</v>
      </c>
      <c r="Y630" s="5" t="str">
        <f t="shared" si="128"/>
        <v>High</v>
      </c>
      <c r="Z630" s="5" t="str">
        <f>IF(B630=120,"NULL",IF(AND(V630="High Stress", W630="High Risk", Y630="Low"),"High Risk : Reject", IF(AND(V630="Healthy", W630="Good",Y630&lt;&gt;"Low"), "Low Risk : Approve", "Medium Risk : Review")))</f>
        <v>Low Risk : Approve</v>
      </c>
      <c r="AA630" s="5" t="str">
        <f t="shared" si="129"/>
        <v>Medium</v>
      </c>
    </row>
    <row r="631" spans="1:27" x14ac:dyDescent="0.2">
      <c r="A631">
        <v>25911</v>
      </c>
      <c r="B631">
        <v>52</v>
      </c>
      <c r="C631">
        <f t="shared" si="117"/>
        <v>52</v>
      </c>
      <c r="D631" t="s">
        <v>17</v>
      </c>
      <c r="E631" t="str">
        <f t="shared" si="118"/>
        <v>Contract</v>
      </c>
      <c r="F631">
        <v>-1500</v>
      </c>
      <c r="G631">
        <f>ABS(Table1[[#This Row],[Monthly_Income]])</f>
        <v>1500</v>
      </c>
      <c r="H631">
        <v>8477.91</v>
      </c>
      <c r="I631" s="5">
        <f t="shared" si="119"/>
        <v>8477.91</v>
      </c>
      <c r="J631">
        <v>12</v>
      </c>
      <c r="K631">
        <v>14.21</v>
      </c>
      <c r="M631" t="str">
        <f t="shared" si="120"/>
        <v>NULL</v>
      </c>
      <c r="N631">
        <v>4.9000000000000004</v>
      </c>
      <c r="O631">
        <f t="shared" si="121"/>
        <v>4.9000000000000004</v>
      </c>
      <c r="Q631" t="str">
        <f t="shared" si="122"/>
        <v>NULL</v>
      </c>
      <c r="R631" t="s">
        <v>18</v>
      </c>
      <c r="S631" t="str">
        <f t="shared" si="123"/>
        <v>Non-Performing</v>
      </c>
      <c r="T631" t="s">
        <v>25</v>
      </c>
      <c r="U631" s="3">
        <f t="shared" si="124"/>
        <v>0.470995</v>
      </c>
      <c r="V631" t="str">
        <f t="shared" si="125"/>
        <v>High Stress</v>
      </c>
      <c r="W631" t="str">
        <f t="shared" si="126"/>
        <v>NULL</v>
      </c>
      <c r="X631" s="5" t="str">
        <f t="shared" si="127"/>
        <v>Small</v>
      </c>
      <c r="Y631" s="5" t="str">
        <f t="shared" si="128"/>
        <v>Low</v>
      </c>
      <c r="Z631" s="5" t="str">
        <f>IF(B631=120,"NULL",IF(AND(V631="High Stress", W631="High Risk", Y631="Low"),"High Risk : Reject", IF(AND(V631="Healthy", W631="Good",Y631&lt;&gt;"Low"), "Low Risk : Approve", "Medium Risk : Review")))</f>
        <v>Medium Risk : Review</v>
      </c>
      <c r="AA631" s="5" t="str">
        <f t="shared" si="129"/>
        <v>Low</v>
      </c>
    </row>
    <row r="632" spans="1:27" x14ac:dyDescent="0.2">
      <c r="A632">
        <v>22378</v>
      </c>
      <c r="B632">
        <v>46</v>
      </c>
      <c r="C632">
        <f t="shared" si="117"/>
        <v>46</v>
      </c>
      <c r="D632" t="s">
        <v>12</v>
      </c>
      <c r="E632" t="str">
        <f t="shared" si="118"/>
        <v>Self-Employed</v>
      </c>
      <c r="F632">
        <v>5634.99</v>
      </c>
      <c r="G632">
        <f>ABS(Table1[[#This Row],[Monthly_Income]])</f>
        <v>5634.99</v>
      </c>
      <c r="H632">
        <v>8422.99</v>
      </c>
      <c r="I632" s="5">
        <f t="shared" si="119"/>
        <v>8422.99</v>
      </c>
      <c r="J632">
        <v>18</v>
      </c>
      <c r="K632">
        <v>11.54</v>
      </c>
      <c r="M632" t="str">
        <f t="shared" si="120"/>
        <v>NULL</v>
      </c>
      <c r="N632">
        <v>15.2</v>
      </c>
      <c r="O632">
        <f t="shared" si="121"/>
        <v>15.2</v>
      </c>
      <c r="P632">
        <v>0</v>
      </c>
      <c r="Q632">
        <f t="shared" si="122"/>
        <v>0</v>
      </c>
      <c r="R632" t="s">
        <v>18</v>
      </c>
      <c r="S632" t="str">
        <f t="shared" si="123"/>
        <v>Non-Performing</v>
      </c>
      <c r="T632" t="s">
        <v>22</v>
      </c>
      <c r="U632" s="3">
        <f t="shared" si="124"/>
        <v>8.3042541138296413E-2</v>
      </c>
      <c r="V632" t="str">
        <f t="shared" si="125"/>
        <v>Healthy</v>
      </c>
      <c r="W632" t="str">
        <f t="shared" si="126"/>
        <v>Good</v>
      </c>
      <c r="X632" s="5" t="str">
        <f t="shared" si="127"/>
        <v>Small</v>
      </c>
      <c r="Y632" s="5" t="str">
        <f t="shared" si="128"/>
        <v>Medium</v>
      </c>
      <c r="Z632" s="5" t="str">
        <f>IF(B632=120,"NULL",IF(AND(V632="High Stress", W632="High Risk", Y632="Low"),"High Risk : Reject", IF(AND(V632="Healthy", W632="Good",Y632&lt;&gt;"Low"), "Low Risk : Approve", "Medium Risk : Review")))</f>
        <v>Low Risk : Approve</v>
      </c>
      <c r="AA632" s="5" t="str">
        <f t="shared" si="129"/>
        <v>Medium</v>
      </c>
    </row>
    <row r="633" spans="1:27" x14ac:dyDescent="0.2">
      <c r="A633">
        <v>20991</v>
      </c>
      <c r="B633">
        <v>26</v>
      </c>
      <c r="C633">
        <f t="shared" si="117"/>
        <v>26</v>
      </c>
      <c r="D633" t="s">
        <v>21</v>
      </c>
      <c r="E633" t="str">
        <f t="shared" si="118"/>
        <v>Salaried</v>
      </c>
      <c r="F633">
        <v>7732.87</v>
      </c>
      <c r="G633">
        <f>ABS(Table1[[#This Row],[Monthly_Income]])</f>
        <v>7732.87</v>
      </c>
      <c r="H633">
        <v>23331.48</v>
      </c>
      <c r="I633" s="5">
        <f t="shared" si="119"/>
        <v>23331.48</v>
      </c>
      <c r="J633">
        <v>36</v>
      </c>
      <c r="K633">
        <v>23.96</v>
      </c>
      <c r="L633">
        <v>3</v>
      </c>
      <c r="M633">
        <f t="shared" si="120"/>
        <v>3</v>
      </c>
      <c r="N633">
        <v>6.1</v>
      </c>
      <c r="O633">
        <f t="shared" si="121"/>
        <v>6.1</v>
      </c>
      <c r="Q633" t="str">
        <f t="shared" si="122"/>
        <v>NULL</v>
      </c>
      <c r="R633" t="s">
        <v>20</v>
      </c>
      <c r="S633" t="str">
        <f t="shared" si="123"/>
        <v>Written Off</v>
      </c>
      <c r="T633" t="s">
        <v>25</v>
      </c>
      <c r="U633" s="3">
        <f t="shared" si="124"/>
        <v>8.3810624860713639E-2</v>
      </c>
      <c r="V633" t="str">
        <f t="shared" si="125"/>
        <v>Healthy</v>
      </c>
      <c r="W633" t="str">
        <f t="shared" si="126"/>
        <v>NULL</v>
      </c>
      <c r="X633" s="5" t="str">
        <f t="shared" si="127"/>
        <v>Medium</v>
      </c>
      <c r="Y633" s="5" t="str">
        <f t="shared" si="128"/>
        <v>High</v>
      </c>
      <c r="Z633" s="5" t="str">
        <f>IF(B633=120,"NULL",IF(AND(V633="High Stress", W633="High Risk", Y633="Low"),"High Risk : Reject", IF(AND(V633="Healthy", W633="Good",Y633&lt;&gt;"Low"), "Low Risk : Approve", "Medium Risk : Review")))</f>
        <v>Medium Risk : Review</v>
      </c>
      <c r="AA633" s="5" t="str">
        <f t="shared" si="129"/>
        <v>Medium</v>
      </c>
    </row>
    <row r="634" spans="1:27" x14ac:dyDescent="0.2">
      <c r="A634">
        <v>25975</v>
      </c>
      <c r="B634">
        <v>51</v>
      </c>
      <c r="C634">
        <f t="shared" si="117"/>
        <v>51</v>
      </c>
      <c r="D634" t="s">
        <v>26</v>
      </c>
      <c r="E634" t="str">
        <f t="shared" si="118"/>
        <v>Salaried</v>
      </c>
      <c r="F634">
        <v>8000.91</v>
      </c>
      <c r="G634">
        <f>ABS(Table1[[#This Row],[Monthly_Income]])</f>
        <v>8000.91</v>
      </c>
      <c r="H634">
        <v>26141.18</v>
      </c>
      <c r="I634" s="5">
        <f t="shared" si="119"/>
        <v>26141.18</v>
      </c>
      <c r="J634">
        <v>24</v>
      </c>
      <c r="K634">
        <v>21.52</v>
      </c>
      <c r="L634">
        <v>0</v>
      </c>
      <c r="M634">
        <f t="shared" si="120"/>
        <v>0</v>
      </c>
      <c r="N634">
        <v>4</v>
      </c>
      <c r="O634">
        <f t="shared" si="121"/>
        <v>4</v>
      </c>
      <c r="P634">
        <v>0</v>
      </c>
      <c r="Q634">
        <f t="shared" si="122"/>
        <v>0</v>
      </c>
      <c r="R634" t="s">
        <v>18</v>
      </c>
      <c r="S634" t="str">
        <f t="shared" si="123"/>
        <v>Non-Performing</v>
      </c>
      <c r="T634" t="s">
        <v>19</v>
      </c>
      <c r="U634" s="3">
        <f t="shared" si="124"/>
        <v>0.13613649364051505</v>
      </c>
      <c r="V634" t="str">
        <f t="shared" si="125"/>
        <v>Healthy</v>
      </c>
      <c r="W634" t="str">
        <f t="shared" si="126"/>
        <v>Good</v>
      </c>
      <c r="X634" s="5" t="str">
        <f t="shared" si="127"/>
        <v>Medium</v>
      </c>
      <c r="Y634" s="5" t="str">
        <f t="shared" si="128"/>
        <v>High</v>
      </c>
      <c r="Z634" s="5" t="str">
        <f>IF(B634=120,"NULL",IF(AND(V634="High Stress", W634="High Risk", Y634="Low"),"High Risk : Reject", IF(AND(V634="Healthy", W634="Good",Y634&lt;&gt;"Low"), "Low Risk : Approve", "Medium Risk : Review")))</f>
        <v>Low Risk : Approve</v>
      </c>
      <c r="AA634" s="5" t="str">
        <f t="shared" si="129"/>
        <v>High</v>
      </c>
    </row>
    <row r="635" spans="1:27" x14ac:dyDescent="0.2">
      <c r="A635">
        <v>20120</v>
      </c>
      <c r="B635">
        <v>75</v>
      </c>
      <c r="C635">
        <f t="shared" si="117"/>
        <v>75</v>
      </c>
      <c r="D635" t="s">
        <v>27</v>
      </c>
      <c r="E635" t="str">
        <f t="shared" si="118"/>
        <v>Unemployed</v>
      </c>
      <c r="F635">
        <v>7870.52</v>
      </c>
      <c r="G635">
        <f>ABS(Table1[[#This Row],[Monthly_Income]])</f>
        <v>7870.52</v>
      </c>
      <c r="H635">
        <v>9479.58</v>
      </c>
      <c r="I635" s="5">
        <f t="shared" si="119"/>
        <v>9479.58</v>
      </c>
      <c r="J635">
        <v>24</v>
      </c>
      <c r="K635">
        <v>21.22</v>
      </c>
      <c r="M635" t="str">
        <f t="shared" si="120"/>
        <v>NULL</v>
      </c>
      <c r="N635">
        <v>8.8000000000000007</v>
      </c>
      <c r="O635">
        <f t="shared" si="121"/>
        <v>8.8000000000000007</v>
      </c>
      <c r="P635">
        <v>0</v>
      </c>
      <c r="Q635">
        <f t="shared" si="122"/>
        <v>0</v>
      </c>
      <c r="R635" t="s">
        <v>24</v>
      </c>
      <c r="S635" t="str">
        <f t="shared" si="123"/>
        <v>Non-Performing</v>
      </c>
      <c r="T635" t="s">
        <v>22</v>
      </c>
      <c r="U635" s="3">
        <f t="shared" si="124"/>
        <v>5.0185057658197932E-2</v>
      </c>
      <c r="V635" t="str">
        <f t="shared" si="125"/>
        <v>Healthy</v>
      </c>
      <c r="W635" t="str">
        <f t="shared" si="126"/>
        <v>Good</v>
      </c>
      <c r="X635" s="5" t="str">
        <f t="shared" si="127"/>
        <v>Small</v>
      </c>
      <c r="Y635" s="5" t="str">
        <f t="shared" si="128"/>
        <v>Low</v>
      </c>
      <c r="Z635" s="5" t="str">
        <f>IF(B635=120,"NULL",IF(AND(V635="High Stress", W635="High Risk", Y635="Low"),"High Risk : Reject", IF(AND(V635="Healthy", W635="Good",Y635&lt;&gt;"Low"), "Low Risk : Approve", "Medium Risk : Review")))</f>
        <v>Medium Risk : Review</v>
      </c>
      <c r="AA635" s="5" t="str">
        <f t="shared" si="129"/>
        <v>Medium</v>
      </c>
    </row>
    <row r="636" spans="1:27" x14ac:dyDescent="0.2">
      <c r="A636">
        <v>20438</v>
      </c>
      <c r="B636">
        <v>64</v>
      </c>
      <c r="C636">
        <f t="shared" si="117"/>
        <v>64</v>
      </c>
      <c r="D636" t="s">
        <v>26</v>
      </c>
      <c r="E636" t="str">
        <f t="shared" si="118"/>
        <v>Salaried</v>
      </c>
      <c r="F636">
        <v>2617.62</v>
      </c>
      <c r="G636">
        <f>ABS(Table1[[#This Row],[Monthly_Income]])</f>
        <v>2617.62</v>
      </c>
      <c r="H636">
        <v>6726.47</v>
      </c>
      <c r="I636" s="5">
        <f t="shared" si="119"/>
        <v>6726.47</v>
      </c>
      <c r="J636">
        <v>6</v>
      </c>
      <c r="K636">
        <v>27.92</v>
      </c>
      <c r="M636" t="str">
        <f t="shared" si="120"/>
        <v>NULL</v>
      </c>
      <c r="N636">
        <v>7.8</v>
      </c>
      <c r="O636">
        <f t="shared" si="121"/>
        <v>7.8</v>
      </c>
      <c r="P636">
        <v>90</v>
      </c>
      <c r="Q636">
        <f t="shared" si="122"/>
        <v>90</v>
      </c>
      <c r="R636" t="s">
        <v>18</v>
      </c>
      <c r="S636" t="str">
        <f t="shared" si="123"/>
        <v>Non-Performing</v>
      </c>
      <c r="T636" t="s">
        <v>14</v>
      </c>
      <c r="U636" s="3">
        <f t="shared" si="124"/>
        <v>0.42828154328486695</v>
      </c>
      <c r="V636" t="str">
        <f t="shared" si="125"/>
        <v>Stretched</v>
      </c>
      <c r="W636" t="str">
        <f t="shared" si="126"/>
        <v>High Risk</v>
      </c>
      <c r="X636" s="5" t="str">
        <f t="shared" si="127"/>
        <v>Small</v>
      </c>
      <c r="Y636" s="5" t="str">
        <f t="shared" si="128"/>
        <v>High</v>
      </c>
      <c r="Z636" s="5" t="str">
        <f>IF(B636=120,"NULL",IF(AND(V636="High Stress", W636="High Risk", Y636="Low"),"High Risk : Reject", IF(AND(V636="Healthy", W636="Good",Y636&lt;&gt;"Low"), "Low Risk : Approve", "Medium Risk : Review")))</f>
        <v>Medium Risk : Review</v>
      </c>
      <c r="AA636" s="5" t="str">
        <f t="shared" si="129"/>
        <v>Medium</v>
      </c>
    </row>
    <row r="637" spans="1:27" x14ac:dyDescent="0.2">
      <c r="A637">
        <v>23928</v>
      </c>
      <c r="B637">
        <v>52</v>
      </c>
      <c r="C637">
        <f t="shared" si="117"/>
        <v>52</v>
      </c>
      <c r="D637" t="s">
        <v>23</v>
      </c>
      <c r="E637" t="str">
        <f t="shared" si="118"/>
        <v>Self-Employed</v>
      </c>
      <c r="F637">
        <v>5888.65</v>
      </c>
      <c r="G637">
        <f>ABS(Table1[[#This Row],[Monthly_Income]])</f>
        <v>5888.65</v>
      </c>
      <c r="H637">
        <v>16859.13</v>
      </c>
      <c r="I637" s="5">
        <f t="shared" si="119"/>
        <v>16859.13</v>
      </c>
      <c r="J637">
        <v>60</v>
      </c>
      <c r="K637">
        <v>13.56</v>
      </c>
      <c r="L637">
        <v>1</v>
      </c>
      <c r="M637">
        <f t="shared" si="120"/>
        <v>1</v>
      </c>
      <c r="N637">
        <v>9.1</v>
      </c>
      <c r="O637">
        <f t="shared" si="121"/>
        <v>9.1</v>
      </c>
      <c r="P637">
        <v>0</v>
      </c>
      <c r="Q637">
        <f t="shared" si="122"/>
        <v>0</v>
      </c>
      <c r="R637" t="s">
        <v>13</v>
      </c>
      <c r="S637" t="str">
        <f t="shared" si="123"/>
        <v>Performing</v>
      </c>
      <c r="T637" t="s">
        <v>14</v>
      </c>
      <c r="U637" s="3">
        <f t="shared" si="124"/>
        <v>4.7716454535419839E-2</v>
      </c>
      <c r="V637" t="str">
        <f t="shared" si="125"/>
        <v>Healthy</v>
      </c>
      <c r="W637" t="str">
        <f t="shared" si="126"/>
        <v>Good</v>
      </c>
      <c r="X637" s="5" t="str">
        <f t="shared" si="127"/>
        <v>Medium</v>
      </c>
      <c r="Y637" s="5" t="str">
        <f t="shared" si="128"/>
        <v>Medium</v>
      </c>
      <c r="Z637" s="5" t="str">
        <f>IF(B637=120,"NULL",IF(AND(V637="High Stress", W637="High Risk", Y637="Low"),"High Risk : Reject", IF(AND(V637="Healthy", W637="Good",Y637&lt;&gt;"Low"), "Low Risk : Approve", "Medium Risk : Review")))</f>
        <v>Low Risk : Approve</v>
      </c>
      <c r="AA637" s="5" t="str">
        <f t="shared" si="129"/>
        <v>Medium</v>
      </c>
    </row>
    <row r="638" spans="1:27" x14ac:dyDescent="0.2">
      <c r="A638">
        <v>25173</v>
      </c>
      <c r="B638">
        <v>49</v>
      </c>
      <c r="C638">
        <f t="shared" si="117"/>
        <v>49</v>
      </c>
      <c r="D638" t="s">
        <v>23</v>
      </c>
      <c r="E638" t="str">
        <f t="shared" si="118"/>
        <v>Self-Employed</v>
      </c>
      <c r="F638">
        <v>6224.13</v>
      </c>
      <c r="G638">
        <f>ABS(Table1[[#This Row],[Monthly_Income]])</f>
        <v>6224.13</v>
      </c>
      <c r="H638">
        <v>23196.21</v>
      </c>
      <c r="I638" s="5">
        <f t="shared" si="119"/>
        <v>23196.21</v>
      </c>
      <c r="J638">
        <v>24</v>
      </c>
      <c r="K638">
        <v>21.31</v>
      </c>
      <c r="M638" t="str">
        <f t="shared" si="120"/>
        <v>NULL</v>
      </c>
      <c r="N638">
        <v>3.3</v>
      </c>
      <c r="O638">
        <f t="shared" si="121"/>
        <v>3.3</v>
      </c>
      <c r="P638">
        <v>90</v>
      </c>
      <c r="Q638">
        <f t="shared" si="122"/>
        <v>90</v>
      </c>
      <c r="R638" t="s">
        <v>18</v>
      </c>
      <c r="S638" t="str">
        <f t="shared" si="123"/>
        <v>Non-Performing</v>
      </c>
      <c r="T638" t="s">
        <v>22</v>
      </c>
      <c r="U638" s="3">
        <f t="shared" si="124"/>
        <v>0.15528415216263156</v>
      </c>
      <c r="V638" t="str">
        <f t="shared" si="125"/>
        <v>Healthy</v>
      </c>
      <c r="W638" t="str">
        <f t="shared" si="126"/>
        <v>High Risk</v>
      </c>
      <c r="X638" s="5" t="str">
        <f t="shared" si="127"/>
        <v>Medium</v>
      </c>
      <c r="Y638" s="5" t="str">
        <f t="shared" si="128"/>
        <v>Medium</v>
      </c>
      <c r="Z638" s="5" t="str">
        <f>IF(B638=120,"NULL",IF(AND(V638="High Stress", W638="High Risk", Y638="Low"),"High Risk : Reject", IF(AND(V638="Healthy", W638="Good",Y638&lt;&gt;"Low"), "Low Risk : Approve", "Medium Risk : Review")))</f>
        <v>Medium Risk : Review</v>
      </c>
      <c r="AA638" s="5" t="str">
        <f t="shared" si="129"/>
        <v>Medium</v>
      </c>
    </row>
    <row r="639" spans="1:27" x14ac:dyDescent="0.2">
      <c r="A639">
        <v>22827</v>
      </c>
      <c r="B639">
        <v>40</v>
      </c>
      <c r="C639">
        <f t="shared" si="117"/>
        <v>40</v>
      </c>
      <c r="D639" t="s">
        <v>26</v>
      </c>
      <c r="E639" t="str">
        <f t="shared" si="118"/>
        <v>Salaried</v>
      </c>
      <c r="F639">
        <v>9319.65</v>
      </c>
      <c r="G639">
        <f>ABS(Table1[[#This Row],[Monthly_Income]])</f>
        <v>9319.65</v>
      </c>
      <c r="H639">
        <v>36186.78</v>
      </c>
      <c r="I639" s="5">
        <f t="shared" si="119"/>
        <v>36186.78</v>
      </c>
      <c r="J639">
        <v>12</v>
      </c>
      <c r="K639">
        <v>19.63</v>
      </c>
      <c r="L639">
        <v>2</v>
      </c>
      <c r="M639">
        <f t="shared" si="120"/>
        <v>2</v>
      </c>
      <c r="N639">
        <v>4.5</v>
      </c>
      <c r="O639">
        <f t="shared" si="121"/>
        <v>4.5</v>
      </c>
      <c r="P639">
        <v>90</v>
      </c>
      <c r="Q639">
        <f t="shared" si="122"/>
        <v>90</v>
      </c>
      <c r="R639" t="s">
        <v>13</v>
      </c>
      <c r="S639" t="str">
        <f t="shared" si="123"/>
        <v>Performing</v>
      </c>
      <c r="T639" t="s">
        <v>22</v>
      </c>
      <c r="U639" s="3">
        <f t="shared" si="124"/>
        <v>0.32357062765232603</v>
      </c>
      <c r="V639" t="str">
        <f t="shared" si="125"/>
        <v>Stretched</v>
      </c>
      <c r="W639" t="str">
        <f t="shared" si="126"/>
        <v>High Risk</v>
      </c>
      <c r="X639" s="5" t="str">
        <f t="shared" si="127"/>
        <v>High</v>
      </c>
      <c r="Y639" s="5" t="str">
        <f t="shared" si="128"/>
        <v>High</v>
      </c>
      <c r="Z639" s="5" t="str">
        <f>IF(B639=120,"NULL",IF(AND(V639="High Stress", W639="High Risk", Y639="Low"),"High Risk : Reject", IF(AND(V639="Healthy", W639="Good",Y639&lt;&gt;"Low"), "Low Risk : Approve", "Medium Risk : Review")))</f>
        <v>Medium Risk : Review</v>
      </c>
      <c r="AA639" s="5" t="str">
        <f t="shared" si="129"/>
        <v>High</v>
      </c>
    </row>
    <row r="640" spans="1:27" x14ac:dyDescent="0.2">
      <c r="A640">
        <v>25257</v>
      </c>
      <c r="B640">
        <v>55</v>
      </c>
      <c r="C640">
        <f t="shared" si="117"/>
        <v>55</v>
      </c>
      <c r="D640" t="s">
        <v>12</v>
      </c>
      <c r="E640" t="str">
        <f t="shared" si="118"/>
        <v>Self-Employed</v>
      </c>
      <c r="F640">
        <v>4111.8599999999997</v>
      </c>
      <c r="G640">
        <f>ABS(Table1[[#This Row],[Monthly_Income]])</f>
        <v>4111.8599999999997</v>
      </c>
      <c r="H640">
        <v>8173.02</v>
      </c>
      <c r="I640" s="5">
        <f t="shared" si="119"/>
        <v>8173.02</v>
      </c>
      <c r="J640">
        <v>48</v>
      </c>
      <c r="K640">
        <v>16.190000000000001</v>
      </c>
      <c r="L640">
        <v>1</v>
      </c>
      <c r="M640">
        <f t="shared" si="120"/>
        <v>1</v>
      </c>
      <c r="N640">
        <v>4</v>
      </c>
      <c r="O640">
        <f t="shared" si="121"/>
        <v>4</v>
      </c>
      <c r="P640">
        <v>15</v>
      </c>
      <c r="Q640">
        <f t="shared" si="122"/>
        <v>15</v>
      </c>
      <c r="R640" t="s">
        <v>15</v>
      </c>
      <c r="S640" t="str">
        <f t="shared" si="123"/>
        <v xml:space="preserve">Performing </v>
      </c>
      <c r="T640" t="s">
        <v>16</v>
      </c>
      <c r="U640" s="3">
        <f t="shared" si="124"/>
        <v>4.1409787784603573E-2</v>
      </c>
      <c r="V640" t="str">
        <f t="shared" si="125"/>
        <v>Healthy</v>
      </c>
      <c r="W640" t="str">
        <f t="shared" si="126"/>
        <v>Good</v>
      </c>
      <c r="X640" s="5" t="str">
        <f t="shared" si="127"/>
        <v>Small</v>
      </c>
      <c r="Y640" s="5" t="str">
        <f t="shared" si="128"/>
        <v>Medium</v>
      </c>
      <c r="Z640" s="5" t="str">
        <f>IF(B640=120,"NULL",IF(AND(V640="High Stress", W640="High Risk", Y640="Low"),"High Risk : Reject", IF(AND(V640="Healthy", W640="Good",Y640&lt;&gt;"Low"), "Low Risk : Approve", "Medium Risk : Review")))</f>
        <v>Low Risk : Approve</v>
      </c>
      <c r="AA640" s="5" t="str">
        <f t="shared" si="129"/>
        <v>Medium</v>
      </c>
    </row>
    <row r="641" spans="1:27" x14ac:dyDescent="0.2">
      <c r="A641">
        <v>21868</v>
      </c>
      <c r="B641">
        <v>50</v>
      </c>
      <c r="C641">
        <f t="shared" si="117"/>
        <v>50</v>
      </c>
      <c r="D641" t="s">
        <v>26</v>
      </c>
      <c r="E641" t="str">
        <f t="shared" si="118"/>
        <v>Salaried</v>
      </c>
      <c r="F641">
        <v>5451.56</v>
      </c>
      <c r="G641">
        <f>ABS(Table1[[#This Row],[Monthly_Income]])</f>
        <v>5451.56</v>
      </c>
      <c r="H641">
        <v>22157.78</v>
      </c>
      <c r="I641" s="5">
        <f t="shared" si="119"/>
        <v>22157.78</v>
      </c>
      <c r="J641">
        <v>12</v>
      </c>
      <c r="K641">
        <v>20.55</v>
      </c>
      <c r="L641">
        <v>0</v>
      </c>
      <c r="M641">
        <f t="shared" si="120"/>
        <v>0</v>
      </c>
      <c r="N641">
        <v>1.4</v>
      </c>
      <c r="O641">
        <f t="shared" si="121"/>
        <v>1.4</v>
      </c>
      <c r="P641">
        <v>0</v>
      </c>
      <c r="Q641">
        <f t="shared" si="122"/>
        <v>0</v>
      </c>
      <c r="R641" t="s">
        <v>13</v>
      </c>
      <c r="S641" t="str">
        <f t="shared" si="123"/>
        <v>Performing</v>
      </c>
      <c r="T641" t="s">
        <v>22</v>
      </c>
      <c r="U641" s="3">
        <f t="shared" si="124"/>
        <v>0.33870702453365026</v>
      </c>
      <c r="V641" t="str">
        <f t="shared" si="125"/>
        <v>Stretched</v>
      </c>
      <c r="W641" t="str">
        <f t="shared" si="126"/>
        <v>Good</v>
      </c>
      <c r="X641" s="5" t="str">
        <f t="shared" si="127"/>
        <v>Medium</v>
      </c>
      <c r="Y641" s="5" t="str">
        <f t="shared" si="128"/>
        <v>High</v>
      </c>
      <c r="Z641" s="5" t="str">
        <f>IF(B641=120,"NULL",IF(AND(V641="High Stress", W641="High Risk", Y641="Low"),"High Risk : Reject", IF(AND(V641="Healthy", W641="Good",Y641&lt;&gt;"Low"), "Low Risk : Approve", "Medium Risk : Review")))</f>
        <v>Medium Risk : Review</v>
      </c>
      <c r="AA641" s="5" t="str">
        <f t="shared" si="129"/>
        <v>Medium</v>
      </c>
    </row>
    <row r="642" spans="1:27" x14ac:dyDescent="0.2">
      <c r="A642">
        <v>25752</v>
      </c>
      <c r="B642">
        <v>44</v>
      </c>
      <c r="C642">
        <f t="shared" ref="C642:C705" si="130">IF(B642=120,"NULL",B642)</f>
        <v>44</v>
      </c>
      <c r="D642" t="s">
        <v>17</v>
      </c>
      <c r="E642" t="str">
        <f t="shared" ref="E642:E705" si="131">TRIM(IF(D642="Self employed","Self-Employed",D642))</f>
        <v>Contract</v>
      </c>
      <c r="F642">
        <v>8993.64</v>
      </c>
      <c r="G642">
        <f>ABS(Table1[[#This Row],[Monthly_Income]])</f>
        <v>8993.64</v>
      </c>
      <c r="H642">
        <v>24311.93</v>
      </c>
      <c r="I642" s="5">
        <f t="shared" ref="I642:I705" si="132">IF(H642="","NULL",ABS(H642))</f>
        <v>24311.93</v>
      </c>
      <c r="J642">
        <v>24</v>
      </c>
      <c r="K642">
        <v>28.72</v>
      </c>
      <c r="L642">
        <v>1</v>
      </c>
      <c r="M642">
        <f t="shared" ref="M642:M705" si="133">IF(L642="","NULL",L642)</f>
        <v>1</v>
      </c>
      <c r="N642">
        <v>6.2</v>
      </c>
      <c r="O642">
        <f t="shared" ref="O642:O705" si="134">IF(N642="","NULL",ABS(N642))</f>
        <v>6.2</v>
      </c>
      <c r="P642">
        <v>0</v>
      </c>
      <c r="Q642">
        <f t="shared" ref="Q642:Q705" si="135">IF(P642="","NULL",P642)</f>
        <v>0</v>
      </c>
      <c r="R642" t="s">
        <v>24</v>
      </c>
      <c r="S642" t="str">
        <f t="shared" ref="S642:S705" si="136">IF(R642="Non performing","Non-Performing",R642)</f>
        <v>Non-Performing</v>
      </c>
      <c r="T642" t="s">
        <v>25</v>
      </c>
      <c r="U642" s="3">
        <f t="shared" ref="U642:U705" si="137">IFERROR(I642/(G642*J642),"NULL")</f>
        <v>0.11263482675905789</v>
      </c>
      <c r="V642" t="str">
        <f t="shared" ref="V642:V705" si="138">IF(U642="NULL","NULL",IF(U642&lt;=0.3,"Healthy",IF(U642&lt;=0.45,"Stretched","High Stress")))</f>
        <v>Healthy</v>
      </c>
      <c r="W642" t="str">
        <f t="shared" ref="W642:W705" si="139">IF(Q642="NULL","NULL",IF(Q642&lt;30,"Good",IF(Q642&lt;60,"At Risk","High Risk")))</f>
        <v>Good</v>
      </c>
      <c r="X642" s="5" t="str">
        <f t="shared" ref="X642:X705" si="140">IF(I642&lt;10000,"Small",IF(I642&lt;=30000,"Medium","High"))</f>
        <v>Medium</v>
      </c>
      <c r="Y642" s="5" t="str">
        <f t="shared" ref="Y642:Y705" si="141">IF(E642="Salaried","High",IF(E642="Self-Employed","Medium","Low"))</f>
        <v>Low</v>
      </c>
      <c r="Z642" s="5" t="str">
        <f>IF(B642=120,"NULL",IF(AND(V642="High Stress", W642="High Risk", Y642="Low"),"High Risk : Reject", IF(AND(V642="Healthy", W642="Good",Y642&lt;&gt;"Low"), "Low Risk : Approve", "Medium Risk : Review")))</f>
        <v>Medium Risk : Review</v>
      </c>
      <c r="AA642" s="5" t="str">
        <f t="shared" ref="AA642:AA705" si="142">IF(G642="NULL","NULL",IF(G642&gt;8000,"High",IF(G642&gt;2000,"Medium","Low")))</f>
        <v>High</v>
      </c>
    </row>
    <row r="643" spans="1:27" x14ac:dyDescent="0.2">
      <c r="A643">
        <v>23897</v>
      </c>
      <c r="B643">
        <v>44</v>
      </c>
      <c r="C643">
        <f t="shared" si="130"/>
        <v>44</v>
      </c>
      <c r="D643" t="s">
        <v>27</v>
      </c>
      <c r="E643" t="str">
        <f t="shared" si="131"/>
        <v>Unemployed</v>
      </c>
      <c r="F643">
        <v>7114.41</v>
      </c>
      <c r="G643">
        <f>ABS(Table1[[#This Row],[Monthly_Income]])</f>
        <v>7114.41</v>
      </c>
      <c r="H643">
        <v>15784.44</v>
      </c>
      <c r="I643" s="5">
        <f t="shared" si="132"/>
        <v>15784.44</v>
      </c>
      <c r="J643">
        <v>60</v>
      </c>
      <c r="K643">
        <v>11.38</v>
      </c>
      <c r="L643">
        <v>3</v>
      </c>
      <c r="M643">
        <f t="shared" si="133"/>
        <v>3</v>
      </c>
      <c r="N643">
        <v>8.6999999999999993</v>
      </c>
      <c r="O643">
        <f t="shared" si="134"/>
        <v>8.6999999999999993</v>
      </c>
      <c r="P643">
        <v>15</v>
      </c>
      <c r="Q643">
        <f t="shared" si="135"/>
        <v>15</v>
      </c>
      <c r="R643" t="s">
        <v>18</v>
      </c>
      <c r="S643" t="str">
        <f t="shared" si="136"/>
        <v>Non-Performing</v>
      </c>
      <c r="T643" t="s">
        <v>14</v>
      </c>
      <c r="U643" s="3">
        <f t="shared" si="137"/>
        <v>3.6977627097679218E-2</v>
      </c>
      <c r="V643" t="str">
        <f t="shared" si="138"/>
        <v>Healthy</v>
      </c>
      <c r="W643" t="str">
        <f t="shared" si="139"/>
        <v>Good</v>
      </c>
      <c r="X643" s="5" t="str">
        <f t="shared" si="140"/>
        <v>Medium</v>
      </c>
      <c r="Y643" s="5" t="str">
        <f t="shared" si="141"/>
        <v>Low</v>
      </c>
      <c r="Z643" s="5" t="str">
        <f>IF(B643=120,"NULL",IF(AND(V643="High Stress", W643="High Risk", Y643="Low"),"High Risk : Reject", IF(AND(V643="Healthy", W643="Good",Y643&lt;&gt;"Low"), "Low Risk : Approve", "Medium Risk : Review")))</f>
        <v>Medium Risk : Review</v>
      </c>
      <c r="AA643" s="5" t="str">
        <f t="shared" si="142"/>
        <v>Medium</v>
      </c>
    </row>
    <row r="644" spans="1:27" x14ac:dyDescent="0.2">
      <c r="A644">
        <v>20324</v>
      </c>
      <c r="B644">
        <v>44</v>
      </c>
      <c r="C644">
        <f t="shared" si="130"/>
        <v>44</v>
      </c>
      <c r="D644" t="s">
        <v>21</v>
      </c>
      <c r="E644" t="str">
        <f t="shared" si="131"/>
        <v>Salaried</v>
      </c>
      <c r="F644">
        <v>6689.69</v>
      </c>
      <c r="G644">
        <f>ABS(Table1[[#This Row],[Monthly_Income]])</f>
        <v>6689.69</v>
      </c>
      <c r="H644">
        <v>30117.439999999999</v>
      </c>
      <c r="I644" s="5">
        <f t="shared" si="132"/>
        <v>30117.439999999999</v>
      </c>
      <c r="J644">
        <v>18</v>
      </c>
      <c r="K644">
        <v>23.24</v>
      </c>
      <c r="L644">
        <v>4</v>
      </c>
      <c r="M644">
        <f t="shared" si="133"/>
        <v>4</v>
      </c>
      <c r="N644">
        <v>6.7</v>
      </c>
      <c r="O644">
        <f t="shared" si="134"/>
        <v>6.7</v>
      </c>
      <c r="P644">
        <v>15</v>
      </c>
      <c r="Q644">
        <f t="shared" si="135"/>
        <v>15</v>
      </c>
      <c r="R644" t="s">
        <v>20</v>
      </c>
      <c r="S644" t="str">
        <f t="shared" si="136"/>
        <v>Written Off</v>
      </c>
      <c r="T644" t="s">
        <v>22</v>
      </c>
      <c r="U644" s="3">
        <f t="shared" si="137"/>
        <v>0.25011489487720823</v>
      </c>
      <c r="V644" t="str">
        <f t="shared" si="138"/>
        <v>Healthy</v>
      </c>
      <c r="W644" t="str">
        <f t="shared" si="139"/>
        <v>Good</v>
      </c>
      <c r="X644" s="5" t="str">
        <f t="shared" si="140"/>
        <v>High</v>
      </c>
      <c r="Y644" s="5" t="str">
        <f t="shared" si="141"/>
        <v>High</v>
      </c>
      <c r="Z644" s="5" t="str">
        <f>IF(B644=120,"NULL",IF(AND(V644="High Stress", W644="High Risk", Y644="Low"),"High Risk : Reject", IF(AND(V644="Healthy", W644="Good",Y644&lt;&gt;"Low"), "Low Risk : Approve", "Medium Risk : Review")))</f>
        <v>Low Risk : Approve</v>
      </c>
      <c r="AA644" s="5" t="str">
        <f t="shared" si="142"/>
        <v>Medium</v>
      </c>
    </row>
    <row r="645" spans="1:27" x14ac:dyDescent="0.2">
      <c r="A645">
        <v>24724</v>
      </c>
      <c r="B645">
        <v>62</v>
      </c>
      <c r="C645">
        <f t="shared" si="130"/>
        <v>62</v>
      </c>
      <c r="D645" t="s">
        <v>26</v>
      </c>
      <c r="E645" t="str">
        <f t="shared" si="131"/>
        <v>Salaried</v>
      </c>
      <c r="F645">
        <v>7708.27</v>
      </c>
      <c r="G645">
        <f>ABS(Table1[[#This Row],[Monthly_Income]])</f>
        <v>7708.27</v>
      </c>
      <c r="H645">
        <v>22956.41</v>
      </c>
      <c r="I645" s="5">
        <f t="shared" si="132"/>
        <v>22956.41</v>
      </c>
      <c r="J645">
        <v>18</v>
      </c>
      <c r="K645">
        <v>22.51</v>
      </c>
      <c r="L645">
        <v>0</v>
      </c>
      <c r="M645">
        <f t="shared" si="133"/>
        <v>0</v>
      </c>
      <c r="N645">
        <v>10</v>
      </c>
      <c r="O645">
        <f t="shared" si="134"/>
        <v>10</v>
      </c>
      <c r="P645">
        <v>0</v>
      </c>
      <c r="Q645">
        <f t="shared" si="135"/>
        <v>0</v>
      </c>
      <c r="R645" t="s">
        <v>20</v>
      </c>
      <c r="S645" t="str">
        <f t="shared" si="136"/>
        <v>Written Off</v>
      </c>
      <c r="T645" t="s">
        <v>22</v>
      </c>
      <c r="U645" s="3">
        <f t="shared" si="137"/>
        <v>0.16545296300092122</v>
      </c>
      <c r="V645" t="str">
        <f t="shared" si="138"/>
        <v>Healthy</v>
      </c>
      <c r="W645" t="str">
        <f t="shared" si="139"/>
        <v>Good</v>
      </c>
      <c r="X645" s="5" t="str">
        <f t="shared" si="140"/>
        <v>Medium</v>
      </c>
      <c r="Y645" s="5" t="str">
        <f t="shared" si="141"/>
        <v>High</v>
      </c>
      <c r="Z645" s="5" t="str">
        <f>IF(B645=120,"NULL",IF(AND(V645="High Stress", W645="High Risk", Y645="Low"),"High Risk : Reject", IF(AND(V645="Healthy", W645="Good",Y645&lt;&gt;"Low"), "Low Risk : Approve", "Medium Risk : Review")))</f>
        <v>Low Risk : Approve</v>
      </c>
      <c r="AA645" s="5" t="str">
        <f t="shared" si="142"/>
        <v>Medium</v>
      </c>
    </row>
    <row r="646" spans="1:27" x14ac:dyDescent="0.2">
      <c r="A646">
        <v>20840</v>
      </c>
      <c r="B646">
        <v>23</v>
      </c>
      <c r="C646">
        <f t="shared" si="130"/>
        <v>23</v>
      </c>
      <c r="D646" t="s">
        <v>21</v>
      </c>
      <c r="E646" t="str">
        <f t="shared" si="131"/>
        <v>Salaried</v>
      </c>
      <c r="F646">
        <v>5416.16</v>
      </c>
      <c r="G646">
        <f>ABS(Table1[[#This Row],[Monthly_Income]])</f>
        <v>5416.16</v>
      </c>
      <c r="H646">
        <v>17858.64</v>
      </c>
      <c r="I646" s="5">
        <f t="shared" si="132"/>
        <v>17858.64</v>
      </c>
      <c r="J646">
        <v>36</v>
      </c>
      <c r="K646">
        <v>10.31</v>
      </c>
      <c r="L646">
        <v>0</v>
      </c>
      <c r="M646">
        <f t="shared" si="133"/>
        <v>0</v>
      </c>
      <c r="N646">
        <v>2.2999999999999998</v>
      </c>
      <c r="O646">
        <f t="shared" si="134"/>
        <v>2.2999999999999998</v>
      </c>
      <c r="P646">
        <v>0</v>
      </c>
      <c r="Q646">
        <f t="shared" si="135"/>
        <v>0</v>
      </c>
      <c r="R646" t="s">
        <v>20</v>
      </c>
      <c r="S646" t="str">
        <f t="shared" si="136"/>
        <v>Written Off</v>
      </c>
      <c r="T646" t="s">
        <v>14</v>
      </c>
      <c r="U646" s="3">
        <f t="shared" si="137"/>
        <v>9.1591336543479757E-2</v>
      </c>
      <c r="V646" t="str">
        <f t="shared" si="138"/>
        <v>Healthy</v>
      </c>
      <c r="W646" t="str">
        <f t="shared" si="139"/>
        <v>Good</v>
      </c>
      <c r="X646" s="5" t="str">
        <f t="shared" si="140"/>
        <v>Medium</v>
      </c>
      <c r="Y646" s="5" t="str">
        <f t="shared" si="141"/>
        <v>High</v>
      </c>
      <c r="Z646" s="5" t="str">
        <f>IF(B646=120,"NULL",IF(AND(V646="High Stress", W646="High Risk", Y646="Low"),"High Risk : Reject", IF(AND(V646="Healthy", W646="Good",Y646&lt;&gt;"Low"), "Low Risk : Approve", "Medium Risk : Review")))</f>
        <v>Low Risk : Approve</v>
      </c>
      <c r="AA646" s="5" t="str">
        <f t="shared" si="142"/>
        <v>Medium</v>
      </c>
    </row>
    <row r="647" spans="1:27" x14ac:dyDescent="0.2">
      <c r="A647">
        <v>20625</v>
      </c>
      <c r="B647">
        <v>39</v>
      </c>
      <c r="C647">
        <f t="shared" si="130"/>
        <v>39</v>
      </c>
      <c r="D647" t="s">
        <v>23</v>
      </c>
      <c r="E647" t="str">
        <f t="shared" si="131"/>
        <v>Self-Employed</v>
      </c>
      <c r="F647">
        <v>8027.05</v>
      </c>
      <c r="G647">
        <f>ABS(Table1[[#This Row],[Monthly_Income]])</f>
        <v>8027.05</v>
      </c>
      <c r="H647">
        <v>30876.38</v>
      </c>
      <c r="I647" s="5">
        <f t="shared" si="132"/>
        <v>30876.38</v>
      </c>
      <c r="J647">
        <v>60</v>
      </c>
      <c r="K647">
        <v>20.77</v>
      </c>
      <c r="M647" t="str">
        <f t="shared" si="133"/>
        <v>NULL</v>
      </c>
      <c r="N647">
        <v>7.8</v>
      </c>
      <c r="O647">
        <f t="shared" si="134"/>
        <v>7.8</v>
      </c>
      <c r="P647">
        <v>0</v>
      </c>
      <c r="Q647">
        <f t="shared" si="135"/>
        <v>0</v>
      </c>
      <c r="R647" t="s">
        <v>24</v>
      </c>
      <c r="S647" t="str">
        <f t="shared" si="136"/>
        <v>Non-Performing</v>
      </c>
      <c r="T647" t="s">
        <v>16</v>
      </c>
      <c r="U647" s="3">
        <f t="shared" si="137"/>
        <v>6.4109023032537904E-2</v>
      </c>
      <c r="V647" t="str">
        <f t="shared" si="138"/>
        <v>Healthy</v>
      </c>
      <c r="W647" t="str">
        <f t="shared" si="139"/>
        <v>Good</v>
      </c>
      <c r="X647" s="5" t="str">
        <f t="shared" si="140"/>
        <v>High</v>
      </c>
      <c r="Y647" s="5" t="str">
        <f t="shared" si="141"/>
        <v>Medium</v>
      </c>
      <c r="Z647" s="5" t="str">
        <f>IF(B647=120,"NULL",IF(AND(V647="High Stress", W647="High Risk", Y647="Low"),"High Risk : Reject", IF(AND(V647="Healthy", W647="Good",Y647&lt;&gt;"Low"), "Low Risk : Approve", "Medium Risk : Review")))</f>
        <v>Low Risk : Approve</v>
      </c>
      <c r="AA647" s="5" t="str">
        <f t="shared" si="142"/>
        <v>High</v>
      </c>
    </row>
    <row r="648" spans="1:27" x14ac:dyDescent="0.2">
      <c r="A648">
        <v>22833</v>
      </c>
      <c r="B648">
        <v>34</v>
      </c>
      <c r="C648">
        <f t="shared" si="130"/>
        <v>34</v>
      </c>
      <c r="D648" t="s">
        <v>26</v>
      </c>
      <c r="E648" t="str">
        <f t="shared" si="131"/>
        <v>Salaried</v>
      </c>
      <c r="F648">
        <v>2350.23</v>
      </c>
      <c r="G648">
        <f>ABS(Table1[[#This Row],[Monthly_Income]])</f>
        <v>2350.23</v>
      </c>
      <c r="H648">
        <v>20096.34</v>
      </c>
      <c r="I648" s="5">
        <f t="shared" si="132"/>
        <v>20096.34</v>
      </c>
      <c r="J648">
        <v>24</v>
      </c>
      <c r="K648">
        <v>14.58</v>
      </c>
      <c r="L648">
        <v>3</v>
      </c>
      <c r="M648">
        <f t="shared" si="133"/>
        <v>3</v>
      </c>
      <c r="N648">
        <v>11</v>
      </c>
      <c r="O648">
        <f t="shared" si="134"/>
        <v>11</v>
      </c>
      <c r="P648">
        <v>15</v>
      </c>
      <c r="Q648">
        <f t="shared" si="135"/>
        <v>15</v>
      </c>
      <c r="R648" t="s">
        <v>18</v>
      </c>
      <c r="S648" t="str">
        <f t="shared" si="136"/>
        <v>Non-Performing</v>
      </c>
      <c r="T648" t="s">
        <v>14</v>
      </c>
      <c r="U648" s="3">
        <f t="shared" si="137"/>
        <v>0.35628321483429282</v>
      </c>
      <c r="V648" t="str">
        <f t="shared" si="138"/>
        <v>Stretched</v>
      </c>
      <c r="W648" t="str">
        <f t="shared" si="139"/>
        <v>Good</v>
      </c>
      <c r="X648" s="5" t="str">
        <f t="shared" si="140"/>
        <v>Medium</v>
      </c>
      <c r="Y648" s="5" t="str">
        <f t="shared" si="141"/>
        <v>High</v>
      </c>
      <c r="Z648" s="5" t="str">
        <f>IF(B648=120,"NULL",IF(AND(V648="High Stress", W648="High Risk", Y648="Low"),"High Risk : Reject", IF(AND(V648="Healthy", W648="Good",Y648&lt;&gt;"Low"), "Low Risk : Approve", "Medium Risk : Review")))</f>
        <v>Medium Risk : Review</v>
      </c>
      <c r="AA648" s="5" t="str">
        <f t="shared" si="142"/>
        <v>Medium</v>
      </c>
    </row>
    <row r="649" spans="1:27" x14ac:dyDescent="0.2">
      <c r="A649">
        <v>22631</v>
      </c>
      <c r="B649">
        <v>27</v>
      </c>
      <c r="C649">
        <f t="shared" si="130"/>
        <v>27</v>
      </c>
      <c r="D649" t="s">
        <v>23</v>
      </c>
      <c r="E649" t="str">
        <f t="shared" si="131"/>
        <v>Self-Employed</v>
      </c>
      <c r="F649">
        <v>3025.4</v>
      </c>
      <c r="G649">
        <f>ABS(Table1[[#This Row],[Monthly_Income]])</f>
        <v>3025.4</v>
      </c>
      <c r="H649">
        <v>12705.8</v>
      </c>
      <c r="I649" s="5">
        <f t="shared" si="132"/>
        <v>12705.8</v>
      </c>
      <c r="J649">
        <v>18</v>
      </c>
      <c r="K649">
        <v>24.82</v>
      </c>
      <c r="L649">
        <v>1</v>
      </c>
      <c r="M649">
        <f t="shared" si="133"/>
        <v>1</v>
      </c>
      <c r="N649">
        <v>10.6</v>
      </c>
      <c r="O649">
        <f t="shared" si="134"/>
        <v>10.6</v>
      </c>
      <c r="P649">
        <v>0</v>
      </c>
      <c r="Q649">
        <f t="shared" si="135"/>
        <v>0</v>
      </c>
      <c r="R649" t="s">
        <v>13</v>
      </c>
      <c r="S649" t="str">
        <f t="shared" si="136"/>
        <v>Performing</v>
      </c>
      <c r="T649" t="s">
        <v>16</v>
      </c>
      <c r="U649" s="3">
        <f t="shared" si="137"/>
        <v>0.23331717385396233</v>
      </c>
      <c r="V649" t="str">
        <f t="shared" si="138"/>
        <v>Healthy</v>
      </c>
      <c r="W649" t="str">
        <f t="shared" si="139"/>
        <v>Good</v>
      </c>
      <c r="X649" s="5" t="str">
        <f t="shared" si="140"/>
        <v>Medium</v>
      </c>
      <c r="Y649" s="5" t="str">
        <f t="shared" si="141"/>
        <v>Medium</v>
      </c>
      <c r="Z649" s="5" t="str">
        <f>IF(B649=120,"NULL",IF(AND(V649="High Stress", W649="High Risk", Y649="Low"),"High Risk : Reject", IF(AND(V649="Healthy", W649="Good",Y649&lt;&gt;"Low"), "Low Risk : Approve", "Medium Risk : Review")))</f>
        <v>Low Risk : Approve</v>
      </c>
      <c r="AA649" s="5" t="str">
        <f t="shared" si="142"/>
        <v>Medium</v>
      </c>
    </row>
    <row r="650" spans="1:27" x14ac:dyDescent="0.2">
      <c r="A650">
        <v>24872</v>
      </c>
      <c r="B650">
        <v>29</v>
      </c>
      <c r="C650">
        <f t="shared" si="130"/>
        <v>29</v>
      </c>
      <c r="D650" t="s">
        <v>23</v>
      </c>
      <c r="E650" t="str">
        <f t="shared" si="131"/>
        <v>Self-Employed</v>
      </c>
      <c r="F650">
        <v>155.88</v>
      </c>
      <c r="G650">
        <f>ABS(Table1[[#This Row],[Monthly_Income]])</f>
        <v>155.88</v>
      </c>
      <c r="H650">
        <v>27864.39</v>
      </c>
      <c r="I650" s="5">
        <f t="shared" si="132"/>
        <v>27864.39</v>
      </c>
      <c r="J650">
        <v>24</v>
      </c>
      <c r="K650">
        <v>12.17</v>
      </c>
      <c r="L650">
        <v>1</v>
      </c>
      <c r="M650">
        <f t="shared" si="133"/>
        <v>1</v>
      </c>
      <c r="N650">
        <v>4.5</v>
      </c>
      <c r="O650">
        <f t="shared" si="134"/>
        <v>4.5</v>
      </c>
      <c r="Q650" t="str">
        <f t="shared" si="135"/>
        <v>NULL</v>
      </c>
      <c r="R650" t="s">
        <v>20</v>
      </c>
      <c r="S650" t="str">
        <f t="shared" si="136"/>
        <v>Written Off</v>
      </c>
      <c r="T650" t="s">
        <v>19</v>
      </c>
      <c r="U650" s="3">
        <f t="shared" si="137"/>
        <v>7.4481411983577113</v>
      </c>
      <c r="V650" t="str">
        <f t="shared" si="138"/>
        <v>High Stress</v>
      </c>
      <c r="W650" t="str">
        <f t="shared" si="139"/>
        <v>NULL</v>
      </c>
      <c r="X650" s="5" t="str">
        <f t="shared" si="140"/>
        <v>Medium</v>
      </c>
      <c r="Y650" s="5" t="str">
        <f t="shared" si="141"/>
        <v>Medium</v>
      </c>
      <c r="Z650" s="5" t="str">
        <f>IF(B650=120,"NULL",IF(AND(V650="High Stress", W650="High Risk", Y650="Low"),"High Risk : Reject", IF(AND(V650="Healthy", W650="Good",Y650&lt;&gt;"Low"), "Low Risk : Approve", "Medium Risk : Review")))</f>
        <v>Medium Risk : Review</v>
      </c>
      <c r="AA650" s="5" t="str">
        <f t="shared" si="142"/>
        <v>Low</v>
      </c>
    </row>
    <row r="651" spans="1:27" x14ac:dyDescent="0.2">
      <c r="A651">
        <v>21358</v>
      </c>
      <c r="B651">
        <v>37</v>
      </c>
      <c r="C651">
        <f t="shared" si="130"/>
        <v>37</v>
      </c>
      <c r="D651" t="s">
        <v>26</v>
      </c>
      <c r="E651" t="str">
        <f t="shared" si="131"/>
        <v>Salaried</v>
      </c>
      <c r="F651">
        <v>5240.62</v>
      </c>
      <c r="G651">
        <f>ABS(Table1[[#This Row],[Monthly_Income]])</f>
        <v>5240.62</v>
      </c>
      <c r="H651">
        <v>19946.07</v>
      </c>
      <c r="I651" s="5">
        <f t="shared" si="132"/>
        <v>19946.07</v>
      </c>
      <c r="J651">
        <v>60</v>
      </c>
      <c r="K651">
        <v>17.05</v>
      </c>
      <c r="L651">
        <v>4</v>
      </c>
      <c r="M651">
        <f t="shared" si="133"/>
        <v>4</v>
      </c>
      <c r="N651">
        <v>6.9</v>
      </c>
      <c r="O651">
        <f t="shared" si="134"/>
        <v>6.9</v>
      </c>
      <c r="P651">
        <v>0</v>
      </c>
      <c r="Q651">
        <f t="shared" si="135"/>
        <v>0</v>
      </c>
      <c r="R651" t="s">
        <v>15</v>
      </c>
      <c r="S651" t="str">
        <f t="shared" si="136"/>
        <v xml:space="preserve">Performing </v>
      </c>
      <c r="T651" t="s">
        <v>22</v>
      </c>
      <c r="U651" s="3">
        <f t="shared" si="137"/>
        <v>6.3434192900839972E-2</v>
      </c>
      <c r="V651" t="str">
        <f t="shared" si="138"/>
        <v>Healthy</v>
      </c>
      <c r="W651" t="str">
        <f t="shared" si="139"/>
        <v>Good</v>
      </c>
      <c r="X651" s="5" t="str">
        <f t="shared" si="140"/>
        <v>Medium</v>
      </c>
      <c r="Y651" s="5" t="str">
        <f t="shared" si="141"/>
        <v>High</v>
      </c>
      <c r="Z651" s="5" t="str">
        <f>IF(B651=120,"NULL",IF(AND(V651="High Stress", W651="High Risk", Y651="Low"),"High Risk : Reject", IF(AND(V651="Healthy", W651="Good",Y651&lt;&gt;"Low"), "Low Risk : Approve", "Medium Risk : Review")))</f>
        <v>Low Risk : Approve</v>
      </c>
      <c r="AA651" s="5" t="str">
        <f t="shared" si="142"/>
        <v>Medium</v>
      </c>
    </row>
    <row r="652" spans="1:27" x14ac:dyDescent="0.2">
      <c r="A652">
        <v>24861</v>
      </c>
      <c r="B652">
        <v>27</v>
      </c>
      <c r="C652">
        <f t="shared" si="130"/>
        <v>27</v>
      </c>
      <c r="D652" t="s">
        <v>21</v>
      </c>
      <c r="E652" t="str">
        <f t="shared" si="131"/>
        <v>Salaried</v>
      </c>
      <c r="F652">
        <v>6254.51</v>
      </c>
      <c r="G652">
        <f>ABS(Table1[[#This Row],[Monthly_Income]])</f>
        <v>6254.51</v>
      </c>
      <c r="H652">
        <v>10032.61</v>
      </c>
      <c r="I652" s="5">
        <f t="shared" si="132"/>
        <v>10032.61</v>
      </c>
      <c r="J652">
        <v>60</v>
      </c>
      <c r="K652">
        <v>23.32</v>
      </c>
      <c r="L652">
        <v>4</v>
      </c>
      <c r="M652">
        <f t="shared" si="133"/>
        <v>4</v>
      </c>
      <c r="N652">
        <v>9.3000000000000007</v>
      </c>
      <c r="O652">
        <f t="shared" si="134"/>
        <v>9.3000000000000007</v>
      </c>
      <c r="P652">
        <v>0</v>
      </c>
      <c r="Q652">
        <f t="shared" si="135"/>
        <v>0</v>
      </c>
      <c r="R652" t="s">
        <v>18</v>
      </c>
      <c r="S652" t="str">
        <f t="shared" si="136"/>
        <v>Non-Performing</v>
      </c>
      <c r="T652" t="s">
        <v>19</v>
      </c>
      <c r="U652" s="3">
        <f t="shared" si="137"/>
        <v>2.67343351704077E-2</v>
      </c>
      <c r="V652" t="str">
        <f t="shared" si="138"/>
        <v>Healthy</v>
      </c>
      <c r="W652" t="str">
        <f t="shared" si="139"/>
        <v>Good</v>
      </c>
      <c r="X652" s="5" t="str">
        <f t="shared" si="140"/>
        <v>Medium</v>
      </c>
      <c r="Y652" s="5" t="str">
        <f t="shared" si="141"/>
        <v>High</v>
      </c>
      <c r="Z652" s="5" t="str">
        <f>IF(B652=120,"NULL",IF(AND(V652="High Stress", W652="High Risk", Y652="Low"),"High Risk : Reject", IF(AND(V652="Healthy", W652="Good",Y652&lt;&gt;"Low"), "Low Risk : Approve", "Medium Risk : Review")))</f>
        <v>Low Risk : Approve</v>
      </c>
      <c r="AA652" s="5" t="str">
        <f t="shared" si="142"/>
        <v>Medium</v>
      </c>
    </row>
    <row r="653" spans="1:27" x14ac:dyDescent="0.2">
      <c r="A653">
        <v>23075</v>
      </c>
      <c r="B653">
        <v>47</v>
      </c>
      <c r="C653">
        <f t="shared" si="130"/>
        <v>47</v>
      </c>
      <c r="D653" t="s">
        <v>17</v>
      </c>
      <c r="E653" t="str">
        <f t="shared" si="131"/>
        <v>Contract</v>
      </c>
      <c r="F653">
        <v>1870.18</v>
      </c>
      <c r="G653">
        <f>ABS(Table1[[#This Row],[Monthly_Income]])</f>
        <v>1870.18</v>
      </c>
      <c r="H653">
        <v>25971.82</v>
      </c>
      <c r="I653" s="5">
        <f t="shared" si="132"/>
        <v>25971.82</v>
      </c>
      <c r="J653">
        <v>36</v>
      </c>
      <c r="K653">
        <v>13.73</v>
      </c>
      <c r="L653">
        <v>4</v>
      </c>
      <c r="M653">
        <f t="shared" si="133"/>
        <v>4</v>
      </c>
      <c r="N653">
        <v>6.6</v>
      </c>
      <c r="O653">
        <f t="shared" si="134"/>
        <v>6.6</v>
      </c>
      <c r="Q653" t="str">
        <f t="shared" si="135"/>
        <v>NULL</v>
      </c>
      <c r="R653" t="s">
        <v>18</v>
      </c>
      <c r="S653" t="str">
        <f t="shared" si="136"/>
        <v>Non-Performing</v>
      </c>
      <c r="T653" t="s">
        <v>22</v>
      </c>
      <c r="U653" s="3">
        <f t="shared" si="137"/>
        <v>0.3857593624380779</v>
      </c>
      <c r="V653" t="str">
        <f t="shared" si="138"/>
        <v>Stretched</v>
      </c>
      <c r="W653" t="str">
        <f t="shared" si="139"/>
        <v>NULL</v>
      </c>
      <c r="X653" s="5" t="str">
        <f t="shared" si="140"/>
        <v>Medium</v>
      </c>
      <c r="Y653" s="5" t="str">
        <f t="shared" si="141"/>
        <v>Low</v>
      </c>
      <c r="Z653" s="5" t="str">
        <f>IF(B653=120,"NULL",IF(AND(V653="High Stress", W653="High Risk", Y653="Low"),"High Risk : Reject", IF(AND(V653="Healthy", W653="Good",Y653&lt;&gt;"Low"), "Low Risk : Approve", "Medium Risk : Review")))</f>
        <v>Medium Risk : Review</v>
      </c>
      <c r="AA653" s="5" t="str">
        <f t="shared" si="142"/>
        <v>Low</v>
      </c>
    </row>
    <row r="654" spans="1:27" x14ac:dyDescent="0.2">
      <c r="A654">
        <v>21384</v>
      </c>
      <c r="B654">
        <v>45</v>
      </c>
      <c r="C654">
        <f t="shared" si="130"/>
        <v>45</v>
      </c>
      <c r="D654" t="s">
        <v>21</v>
      </c>
      <c r="E654" t="str">
        <f t="shared" si="131"/>
        <v>Salaried</v>
      </c>
      <c r="F654">
        <v>3583.83</v>
      </c>
      <c r="G654">
        <f>ABS(Table1[[#This Row],[Monthly_Income]])</f>
        <v>3583.83</v>
      </c>
      <c r="H654">
        <v>23774.42</v>
      </c>
      <c r="I654" s="5">
        <f t="shared" si="132"/>
        <v>23774.42</v>
      </c>
      <c r="J654">
        <v>24</v>
      </c>
      <c r="K654">
        <v>10.25</v>
      </c>
      <c r="L654">
        <v>2</v>
      </c>
      <c r="M654">
        <f t="shared" si="133"/>
        <v>2</v>
      </c>
      <c r="N654">
        <v>0.5</v>
      </c>
      <c r="O654">
        <f t="shared" si="134"/>
        <v>0.5</v>
      </c>
      <c r="P654">
        <v>90</v>
      </c>
      <c r="Q654">
        <f t="shared" si="135"/>
        <v>90</v>
      </c>
      <c r="R654" t="s">
        <v>13</v>
      </c>
      <c r="S654" t="str">
        <f t="shared" si="136"/>
        <v>Performing</v>
      </c>
      <c r="T654" t="s">
        <v>14</v>
      </c>
      <c r="U654" s="3">
        <f t="shared" si="137"/>
        <v>0.27640843269165483</v>
      </c>
      <c r="V654" t="str">
        <f t="shared" si="138"/>
        <v>Healthy</v>
      </c>
      <c r="W654" t="str">
        <f t="shared" si="139"/>
        <v>High Risk</v>
      </c>
      <c r="X654" s="5" t="str">
        <f t="shared" si="140"/>
        <v>Medium</v>
      </c>
      <c r="Y654" s="5" t="str">
        <f t="shared" si="141"/>
        <v>High</v>
      </c>
      <c r="Z654" s="5" t="str">
        <f>IF(B654=120,"NULL",IF(AND(V654="High Stress", W654="High Risk", Y654="Low"),"High Risk : Reject", IF(AND(V654="Healthy", W654="Good",Y654&lt;&gt;"Low"), "Low Risk : Approve", "Medium Risk : Review")))</f>
        <v>Medium Risk : Review</v>
      </c>
      <c r="AA654" s="5" t="str">
        <f t="shared" si="142"/>
        <v>Medium</v>
      </c>
    </row>
    <row r="655" spans="1:27" x14ac:dyDescent="0.2">
      <c r="A655">
        <v>25765</v>
      </c>
      <c r="B655">
        <v>58</v>
      </c>
      <c r="C655">
        <f t="shared" si="130"/>
        <v>58</v>
      </c>
      <c r="D655" t="s">
        <v>23</v>
      </c>
      <c r="E655" t="str">
        <f t="shared" si="131"/>
        <v>Self-Employed</v>
      </c>
      <c r="F655">
        <v>7224.63</v>
      </c>
      <c r="G655">
        <f>ABS(Table1[[#This Row],[Monthly_Income]])</f>
        <v>7224.63</v>
      </c>
      <c r="H655">
        <v>17986.78</v>
      </c>
      <c r="I655" s="5">
        <f t="shared" si="132"/>
        <v>17986.78</v>
      </c>
      <c r="J655">
        <v>48</v>
      </c>
      <c r="K655">
        <v>26.13</v>
      </c>
      <c r="L655">
        <v>1</v>
      </c>
      <c r="M655">
        <f t="shared" si="133"/>
        <v>1</v>
      </c>
      <c r="N655">
        <v>9.5</v>
      </c>
      <c r="O655">
        <f t="shared" si="134"/>
        <v>9.5</v>
      </c>
      <c r="P655">
        <v>120</v>
      </c>
      <c r="Q655">
        <f t="shared" si="135"/>
        <v>120</v>
      </c>
      <c r="R655" t="s">
        <v>13</v>
      </c>
      <c r="S655" t="str">
        <f t="shared" si="136"/>
        <v>Performing</v>
      </c>
      <c r="T655" t="s">
        <v>16</v>
      </c>
      <c r="U655" s="3">
        <f t="shared" si="137"/>
        <v>5.1867650431002464E-2</v>
      </c>
      <c r="V655" t="str">
        <f t="shared" si="138"/>
        <v>Healthy</v>
      </c>
      <c r="W655" t="str">
        <f t="shared" si="139"/>
        <v>High Risk</v>
      </c>
      <c r="X655" s="5" t="str">
        <f t="shared" si="140"/>
        <v>Medium</v>
      </c>
      <c r="Y655" s="5" t="str">
        <f t="shared" si="141"/>
        <v>Medium</v>
      </c>
      <c r="Z655" s="5" t="str">
        <f>IF(B655=120,"NULL",IF(AND(V655="High Stress", W655="High Risk", Y655="Low"),"High Risk : Reject", IF(AND(V655="Healthy", W655="Good",Y655&lt;&gt;"Low"), "Low Risk : Approve", "Medium Risk : Review")))</f>
        <v>Medium Risk : Review</v>
      </c>
      <c r="AA655" s="5" t="str">
        <f t="shared" si="142"/>
        <v>Medium</v>
      </c>
    </row>
    <row r="656" spans="1:27" x14ac:dyDescent="0.2">
      <c r="A656">
        <v>25150</v>
      </c>
      <c r="B656">
        <v>33</v>
      </c>
      <c r="C656">
        <f t="shared" si="130"/>
        <v>33</v>
      </c>
      <c r="D656" t="s">
        <v>26</v>
      </c>
      <c r="E656" t="str">
        <f t="shared" si="131"/>
        <v>Salaried</v>
      </c>
      <c r="F656">
        <v>-1500</v>
      </c>
      <c r="G656">
        <f>ABS(Table1[[#This Row],[Monthly_Income]])</f>
        <v>1500</v>
      </c>
      <c r="H656">
        <v>18134.91</v>
      </c>
      <c r="I656" s="5">
        <f t="shared" si="132"/>
        <v>18134.91</v>
      </c>
      <c r="J656">
        <v>6</v>
      </c>
      <c r="K656">
        <v>26.61</v>
      </c>
      <c r="L656">
        <v>2</v>
      </c>
      <c r="M656">
        <f t="shared" si="133"/>
        <v>2</v>
      </c>
      <c r="N656">
        <v>10.7</v>
      </c>
      <c r="O656">
        <f t="shared" si="134"/>
        <v>10.7</v>
      </c>
      <c r="P656">
        <v>90</v>
      </c>
      <c r="Q656">
        <f t="shared" si="135"/>
        <v>90</v>
      </c>
      <c r="R656" t="s">
        <v>24</v>
      </c>
      <c r="S656" t="str">
        <f t="shared" si="136"/>
        <v>Non-Performing</v>
      </c>
      <c r="T656" t="s">
        <v>22</v>
      </c>
      <c r="U656" s="3">
        <f t="shared" si="137"/>
        <v>2.0149900000000001</v>
      </c>
      <c r="V656" t="str">
        <f t="shared" si="138"/>
        <v>High Stress</v>
      </c>
      <c r="W656" t="str">
        <f t="shared" si="139"/>
        <v>High Risk</v>
      </c>
      <c r="X656" s="5" t="str">
        <f t="shared" si="140"/>
        <v>Medium</v>
      </c>
      <c r="Y656" s="5" t="str">
        <f t="shared" si="141"/>
        <v>High</v>
      </c>
      <c r="Z656" s="5" t="str">
        <f>IF(B656=120,"NULL",IF(AND(V656="High Stress", W656="High Risk", Y656="Low"),"High Risk : Reject", IF(AND(V656="Healthy", W656="Good",Y656&lt;&gt;"Low"), "Low Risk : Approve", "Medium Risk : Review")))</f>
        <v>Medium Risk : Review</v>
      </c>
      <c r="AA656" s="5" t="str">
        <f t="shared" si="142"/>
        <v>Low</v>
      </c>
    </row>
    <row r="657" spans="1:27" x14ac:dyDescent="0.2">
      <c r="A657">
        <v>25350</v>
      </c>
      <c r="B657">
        <v>22</v>
      </c>
      <c r="C657">
        <f t="shared" si="130"/>
        <v>22</v>
      </c>
      <c r="D657" t="s">
        <v>27</v>
      </c>
      <c r="E657" t="str">
        <f t="shared" si="131"/>
        <v>Unemployed</v>
      </c>
      <c r="F657">
        <v>4658.63</v>
      </c>
      <c r="G657">
        <f>ABS(Table1[[#This Row],[Monthly_Income]])</f>
        <v>4658.63</v>
      </c>
      <c r="H657">
        <v>33810.79</v>
      </c>
      <c r="I657" s="5">
        <f t="shared" si="132"/>
        <v>33810.79</v>
      </c>
      <c r="J657">
        <v>60</v>
      </c>
      <c r="K657">
        <v>22.27</v>
      </c>
      <c r="L657">
        <v>3</v>
      </c>
      <c r="M657">
        <f t="shared" si="133"/>
        <v>3</v>
      </c>
      <c r="N657">
        <v>7.9</v>
      </c>
      <c r="O657">
        <f t="shared" si="134"/>
        <v>7.9</v>
      </c>
      <c r="P657">
        <v>30</v>
      </c>
      <c r="Q657">
        <f t="shared" si="135"/>
        <v>30</v>
      </c>
      <c r="R657" t="s">
        <v>18</v>
      </c>
      <c r="S657" t="str">
        <f t="shared" si="136"/>
        <v>Non-Performing</v>
      </c>
      <c r="T657" t="s">
        <v>16</v>
      </c>
      <c r="U657" s="3">
        <f t="shared" si="137"/>
        <v>0.12096113378110447</v>
      </c>
      <c r="V657" t="str">
        <f t="shared" si="138"/>
        <v>Healthy</v>
      </c>
      <c r="W657" t="str">
        <f t="shared" si="139"/>
        <v>At Risk</v>
      </c>
      <c r="X657" s="5" t="str">
        <f t="shared" si="140"/>
        <v>High</v>
      </c>
      <c r="Y657" s="5" t="str">
        <f t="shared" si="141"/>
        <v>Low</v>
      </c>
      <c r="Z657" s="5" t="str">
        <f>IF(B657=120,"NULL",IF(AND(V657="High Stress", W657="High Risk", Y657="Low"),"High Risk : Reject", IF(AND(V657="Healthy", W657="Good",Y657&lt;&gt;"Low"), "Low Risk : Approve", "Medium Risk : Review")))</f>
        <v>Medium Risk : Review</v>
      </c>
      <c r="AA657" s="5" t="str">
        <f t="shared" si="142"/>
        <v>Medium</v>
      </c>
    </row>
    <row r="658" spans="1:27" x14ac:dyDescent="0.2">
      <c r="A658">
        <v>22240</v>
      </c>
      <c r="B658">
        <v>29</v>
      </c>
      <c r="C658">
        <f t="shared" si="130"/>
        <v>29</v>
      </c>
      <c r="D658" t="s">
        <v>12</v>
      </c>
      <c r="E658" t="str">
        <f t="shared" si="131"/>
        <v>Self-Employed</v>
      </c>
      <c r="F658">
        <v>7389.03</v>
      </c>
      <c r="G658">
        <f>ABS(Table1[[#This Row],[Monthly_Income]])</f>
        <v>7389.03</v>
      </c>
      <c r="H658">
        <v>13386.71</v>
      </c>
      <c r="I658" s="5">
        <f t="shared" si="132"/>
        <v>13386.71</v>
      </c>
      <c r="J658">
        <v>24</v>
      </c>
      <c r="K658">
        <v>18.8</v>
      </c>
      <c r="L658">
        <v>0</v>
      </c>
      <c r="M658">
        <f t="shared" si="133"/>
        <v>0</v>
      </c>
      <c r="N658">
        <v>2.4</v>
      </c>
      <c r="O658">
        <f t="shared" si="134"/>
        <v>2.4</v>
      </c>
      <c r="P658">
        <v>0</v>
      </c>
      <c r="Q658">
        <f t="shared" si="135"/>
        <v>0</v>
      </c>
      <c r="R658" t="s">
        <v>20</v>
      </c>
      <c r="S658" t="str">
        <f t="shared" si="136"/>
        <v>Written Off</v>
      </c>
      <c r="T658" t="s">
        <v>16</v>
      </c>
      <c r="U658" s="3">
        <f t="shared" si="137"/>
        <v>7.5487524523967731E-2</v>
      </c>
      <c r="V658" t="str">
        <f t="shared" si="138"/>
        <v>Healthy</v>
      </c>
      <c r="W658" t="str">
        <f t="shared" si="139"/>
        <v>Good</v>
      </c>
      <c r="X658" s="5" t="str">
        <f t="shared" si="140"/>
        <v>Medium</v>
      </c>
      <c r="Y658" s="5" t="str">
        <f t="shared" si="141"/>
        <v>Medium</v>
      </c>
      <c r="Z658" s="5" t="str">
        <f>IF(B658=120,"NULL",IF(AND(V658="High Stress", W658="High Risk", Y658="Low"),"High Risk : Reject", IF(AND(V658="Healthy", W658="Good",Y658&lt;&gt;"Low"), "Low Risk : Approve", "Medium Risk : Review")))</f>
        <v>Low Risk : Approve</v>
      </c>
      <c r="AA658" s="5" t="str">
        <f t="shared" si="142"/>
        <v>Medium</v>
      </c>
    </row>
    <row r="659" spans="1:27" x14ac:dyDescent="0.2">
      <c r="A659">
        <v>23265</v>
      </c>
      <c r="B659">
        <v>29</v>
      </c>
      <c r="C659">
        <f t="shared" si="130"/>
        <v>29</v>
      </c>
      <c r="D659" t="s">
        <v>27</v>
      </c>
      <c r="E659" t="str">
        <f t="shared" si="131"/>
        <v>Unemployed</v>
      </c>
      <c r="F659">
        <v>5137.4799999999996</v>
      </c>
      <c r="G659">
        <f>ABS(Table1[[#This Row],[Monthly_Income]])</f>
        <v>5137.4799999999996</v>
      </c>
      <c r="H659">
        <v>10834.8</v>
      </c>
      <c r="I659" s="5">
        <f t="shared" si="132"/>
        <v>10834.8</v>
      </c>
      <c r="J659">
        <v>12</v>
      </c>
      <c r="K659">
        <v>19.03</v>
      </c>
      <c r="L659">
        <v>1</v>
      </c>
      <c r="M659">
        <f t="shared" si="133"/>
        <v>1</v>
      </c>
      <c r="N659">
        <v>0.2</v>
      </c>
      <c r="O659">
        <f t="shared" si="134"/>
        <v>0.2</v>
      </c>
      <c r="P659">
        <v>60</v>
      </c>
      <c r="Q659">
        <f t="shared" si="135"/>
        <v>60</v>
      </c>
      <c r="R659" t="s">
        <v>20</v>
      </c>
      <c r="S659" t="str">
        <f t="shared" si="136"/>
        <v>Written Off</v>
      </c>
      <c r="T659" t="s">
        <v>14</v>
      </c>
      <c r="U659" s="3">
        <f t="shared" si="137"/>
        <v>0.17574764281320804</v>
      </c>
      <c r="V659" t="str">
        <f t="shared" si="138"/>
        <v>Healthy</v>
      </c>
      <c r="W659" t="str">
        <f t="shared" si="139"/>
        <v>High Risk</v>
      </c>
      <c r="X659" s="5" t="str">
        <f t="shared" si="140"/>
        <v>Medium</v>
      </c>
      <c r="Y659" s="5" t="str">
        <f t="shared" si="141"/>
        <v>Low</v>
      </c>
      <c r="Z659" s="5" t="str">
        <f>IF(B659=120,"NULL",IF(AND(V659="High Stress", W659="High Risk", Y659="Low"),"High Risk : Reject", IF(AND(V659="Healthy", W659="Good",Y659&lt;&gt;"Low"), "Low Risk : Approve", "Medium Risk : Review")))</f>
        <v>Medium Risk : Review</v>
      </c>
      <c r="AA659" s="5" t="str">
        <f t="shared" si="142"/>
        <v>Medium</v>
      </c>
    </row>
    <row r="660" spans="1:27" x14ac:dyDescent="0.2">
      <c r="A660">
        <v>21892</v>
      </c>
      <c r="B660">
        <v>59</v>
      </c>
      <c r="C660">
        <f t="shared" si="130"/>
        <v>59</v>
      </c>
      <c r="D660" t="s">
        <v>21</v>
      </c>
      <c r="E660" t="str">
        <f t="shared" si="131"/>
        <v>Salaried</v>
      </c>
      <c r="F660">
        <v>3725.37</v>
      </c>
      <c r="G660">
        <f>ABS(Table1[[#This Row],[Monthly_Income]])</f>
        <v>3725.37</v>
      </c>
      <c r="H660">
        <v>-1600.44</v>
      </c>
      <c r="I660" s="5">
        <f t="shared" si="132"/>
        <v>1600.44</v>
      </c>
      <c r="J660">
        <v>18</v>
      </c>
      <c r="K660">
        <v>14.24</v>
      </c>
      <c r="L660">
        <v>4</v>
      </c>
      <c r="M660">
        <f t="shared" si="133"/>
        <v>4</v>
      </c>
      <c r="N660">
        <v>4.5999999999999996</v>
      </c>
      <c r="O660">
        <f t="shared" si="134"/>
        <v>4.5999999999999996</v>
      </c>
      <c r="P660">
        <v>30</v>
      </c>
      <c r="Q660">
        <f t="shared" si="135"/>
        <v>30</v>
      </c>
      <c r="R660" t="s">
        <v>13</v>
      </c>
      <c r="S660" t="str">
        <f t="shared" si="136"/>
        <v>Performing</v>
      </c>
      <c r="T660" t="s">
        <v>19</v>
      </c>
      <c r="U660" s="3">
        <f t="shared" si="137"/>
        <v>2.386698055047776E-2</v>
      </c>
      <c r="V660" t="str">
        <f t="shared" si="138"/>
        <v>Healthy</v>
      </c>
      <c r="W660" t="str">
        <f t="shared" si="139"/>
        <v>At Risk</v>
      </c>
      <c r="X660" s="5" t="str">
        <f t="shared" si="140"/>
        <v>Small</v>
      </c>
      <c r="Y660" s="5" t="str">
        <f t="shared" si="141"/>
        <v>High</v>
      </c>
      <c r="Z660" s="5" t="str">
        <f>IF(B660=120,"NULL",IF(AND(V660="High Stress", W660="High Risk", Y660="Low"),"High Risk : Reject", IF(AND(V660="Healthy", W660="Good",Y660&lt;&gt;"Low"), "Low Risk : Approve", "Medium Risk : Review")))</f>
        <v>Medium Risk : Review</v>
      </c>
      <c r="AA660" s="5" t="str">
        <f t="shared" si="142"/>
        <v>Medium</v>
      </c>
    </row>
    <row r="661" spans="1:27" x14ac:dyDescent="0.2">
      <c r="A661">
        <v>21132</v>
      </c>
      <c r="B661">
        <v>62</v>
      </c>
      <c r="C661">
        <f t="shared" si="130"/>
        <v>62</v>
      </c>
      <c r="D661" t="s">
        <v>21</v>
      </c>
      <c r="E661" t="str">
        <f t="shared" si="131"/>
        <v>Salaried</v>
      </c>
      <c r="F661">
        <v>1128.19</v>
      </c>
      <c r="G661">
        <f>ABS(Table1[[#This Row],[Monthly_Income]])</f>
        <v>1128.19</v>
      </c>
      <c r="H661">
        <v>23204.45</v>
      </c>
      <c r="I661" s="5">
        <f t="shared" si="132"/>
        <v>23204.45</v>
      </c>
      <c r="J661">
        <v>6</v>
      </c>
      <c r="K661">
        <v>19.11</v>
      </c>
      <c r="L661">
        <v>3</v>
      </c>
      <c r="M661">
        <f t="shared" si="133"/>
        <v>3</v>
      </c>
      <c r="N661">
        <v>6.3</v>
      </c>
      <c r="O661">
        <f t="shared" si="134"/>
        <v>6.3</v>
      </c>
      <c r="Q661" t="str">
        <f t="shared" si="135"/>
        <v>NULL</v>
      </c>
      <c r="R661" t="s">
        <v>18</v>
      </c>
      <c r="S661" t="str">
        <f t="shared" si="136"/>
        <v>Non-Performing</v>
      </c>
      <c r="T661" t="s">
        <v>14</v>
      </c>
      <c r="U661" s="3">
        <f t="shared" si="137"/>
        <v>3.42797607967925</v>
      </c>
      <c r="V661" t="str">
        <f t="shared" si="138"/>
        <v>High Stress</v>
      </c>
      <c r="W661" t="str">
        <f t="shared" si="139"/>
        <v>NULL</v>
      </c>
      <c r="X661" s="5" t="str">
        <f t="shared" si="140"/>
        <v>Medium</v>
      </c>
      <c r="Y661" s="5" t="str">
        <f t="shared" si="141"/>
        <v>High</v>
      </c>
      <c r="Z661" s="5" t="str">
        <f>IF(B661=120,"NULL",IF(AND(V661="High Stress", W661="High Risk", Y661="Low"),"High Risk : Reject", IF(AND(V661="Healthy", W661="Good",Y661&lt;&gt;"Low"), "Low Risk : Approve", "Medium Risk : Review")))</f>
        <v>Medium Risk : Review</v>
      </c>
      <c r="AA661" s="5" t="str">
        <f t="shared" si="142"/>
        <v>Low</v>
      </c>
    </row>
    <row r="662" spans="1:27" x14ac:dyDescent="0.2">
      <c r="A662">
        <v>20240</v>
      </c>
      <c r="B662">
        <v>26</v>
      </c>
      <c r="C662">
        <f t="shared" si="130"/>
        <v>26</v>
      </c>
      <c r="D662" t="s">
        <v>17</v>
      </c>
      <c r="E662" t="str">
        <f t="shared" si="131"/>
        <v>Contract</v>
      </c>
      <c r="F662">
        <v>7304.75</v>
      </c>
      <c r="G662">
        <f>ABS(Table1[[#This Row],[Monthly_Income]])</f>
        <v>7304.75</v>
      </c>
      <c r="H662">
        <v>21233.87</v>
      </c>
      <c r="I662" s="5">
        <f t="shared" si="132"/>
        <v>21233.87</v>
      </c>
      <c r="J662">
        <v>6</v>
      </c>
      <c r="K662">
        <v>21.92</v>
      </c>
      <c r="L662">
        <v>4</v>
      </c>
      <c r="M662">
        <f t="shared" si="133"/>
        <v>4</v>
      </c>
      <c r="N662">
        <v>4.8</v>
      </c>
      <c r="O662">
        <f t="shared" si="134"/>
        <v>4.8</v>
      </c>
      <c r="P662">
        <v>90</v>
      </c>
      <c r="Q662">
        <f t="shared" si="135"/>
        <v>90</v>
      </c>
      <c r="R662" t="s">
        <v>13</v>
      </c>
      <c r="S662" t="str">
        <f t="shared" si="136"/>
        <v>Performing</v>
      </c>
      <c r="T662" t="s">
        <v>14</v>
      </c>
      <c r="U662" s="3">
        <f t="shared" si="137"/>
        <v>0.48447631107612626</v>
      </c>
      <c r="V662" t="str">
        <f t="shared" si="138"/>
        <v>High Stress</v>
      </c>
      <c r="W662" t="str">
        <f t="shared" si="139"/>
        <v>High Risk</v>
      </c>
      <c r="X662" s="5" t="str">
        <f t="shared" si="140"/>
        <v>Medium</v>
      </c>
      <c r="Y662" s="5" t="str">
        <f t="shared" si="141"/>
        <v>Low</v>
      </c>
      <c r="Z662" s="5" t="str">
        <f>IF(B662=120,"NULL",IF(AND(V662="High Stress", W662="High Risk", Y662="Low"),"High Risk : Reject", IF(AND(V662="Healthy", W662="Good",Y662&lt;&gt;"Low"), "Low Risk : Approve", "Medium Risk : Review")))</f>
        <v>High Risk : Reject</v>
      </c>
      <c r="AA662" s="5" t="str">
        <f t="shared" si="142"/>
        <v>Medium</v>
      </c>
    </row>
    <row r="663" spans="1:27" x14ac:dyDescent="0.2">
      <c r="A663">
        <v>20219</v>
      </c>
      <c r="B663">
        <v>75</v>
      </c>
      <c r="C663">
        <f t="shared" si="130"/>
        <v>75</v>
      </c>
      <c r="D663" t="s">
        <v>23</v>
      </c>
      <c r="E663" t="str">
        <f t="shared" si="131"/>
        <v>Self-Employed</v>
      </c>
      <c r="F663">
        <v>4502.88</v>
      </c>
      <c r="G663">
        <f>ABS(Table1[[#This Row],[Monthly_Income]])</f>
        <v>4502.88</v>
      </c>
      <c r="H663">
        <v>18456.93</v>
      </c>
      <c r="I663" s="5">
        <f t="shared" si="132"/>
        <v>18456.93</v>
      </c>
      <c r="J663">
        <v>12</v>
      </c>
      <c r="K663">
        <v>12.83</v>
      </c>
      <c r="L663">
        <v>3</v>
      </c>
      <c r="M663">
        <f t="shared" si="133"/>
        <v>3</v>
      </c>
      <c r="N663">
        <v>8.8000000000000007</v>
      </c>
      <c r="O663">
        <f t="shared" si="134"/>
        <v>8.8000000000000007</v>
      </c>
      <c r="P663">
        <v>60</v>
      </c>
      <c r="Q663">
        <f t="shared" si="135"/>
        <v>60</v>
      </c>
      <c r="R663" t="s">
        <v>20</v>
      </c>
      <c r="S663" t="str">
        <f t="shared" si="136"/>
        <v>Written Off</v>
      </c>
      <c r="T663" t="s">
        <v>22</v>
      </c>
      <c r="U663" s="3">
        <f t="shared" si="137"/>
        <v>0.34157639110968979</v>
      </c>
      <c r="V663" t="str">
        <f t="shared" si="138"/>
        <v>Stretched</v>
      </c>
      <c r="W663" t="str">
        <f t="shared" si="139"/>
        <v>High Risk</v>
      </c>
      <c r="X663" s="5" t="str">
        <f t="shared" si="140"/>
        <v>Medium</v>
      </c>
      <c r="Y663" s="5" t="str">
        <f t="shared" si="141"/>
        <v>Medium</v>
      </c>
      <c r="Z663" s="5" t="str">
        <f>IF(B663=120,"NULL",IF(AND(V663="High Stress", W663="High Risk", Y663="Low"),"High Risk : Reject", IF(AND(V663="Healthy", W663="Good",Y663&lt;&gt;"Low"), "Low Risk : Approve", "Medium Risk : Review")))</f>
        <v>Medium Risk : Review</v>
      </c>
      <c r="AA663" s="5" t="str">
        <f t="shared" si="142"/>
        <v>Medium</v>
      </c>
    </row>
    <row r="664" spans="1:27" x14ac:dyDescent="0.2">
      <c r="A664">
        <v>25854</v>
      </c>
      <c r="B664">
        <v>53</v>
      </c>
      <c r="C664">
        <f t="shared" si="130"/>
        <v>53</v>
      </c>
      <c r="D664" t="s">
        <v>17</v>
      </c>
      <c r="E664" t="str">
        <f t="shared" si="131"/>
        <v>Contract</v>
      </c>
      <c r="F664">
        <v>3393.76</v>
      </c>
      <c r="G664">
        <f>ABS(Table1[[#This Row],[Monthly_Income]])</f>
        <v>3393.76</v>
      </c>
      <c r="H664">
        <v>11701.79</v>
      </c>
      <c r="I664" s="5">
        <f t="shared" si="132"/>
        <v>11701.79</v>
      </c>
      <c r="J664">
        <v>60</v>
      </c>
      <c r="K664">
        <v>21.65</v>
      </c>
      <c r="L664">
        <v>2</v>
      </c>
      <c r="M664">
        <f t="shared" si="133"/>
        <v>2</v>
      </c>
      <c r="N664">
        <v>13.9</v>
      </c>
      <c r="O664">
        <f t="shared" si="134"/>
        <v>13.9</v>
      </c>
      <c r="P664">
        <v>15</v>
      </c>
      <c r="Q664">
        <f t="shared" si="135"/>
        <v>15</v>
      </c>
      <c r="R664" t="s">
        <v>20</v>
      </c>
      <c r="S664" t="str">
        <f t="shared" si="136"/>
        <v>Written Off</v>
      </c>
      <c r="T664" t="s">
        <v>19</v>
      </c>
      <c r="U664" s="3">
        <f t="shared" si="137"/>
        <v>5.7467184872628987E-2</v>
      </c>
      <c r="V664" t="str">
        <f t="shared" si="138"/>
        <v>Healthy</v>
      </c>
      <c r="W664" t="str">
        <f t="shared" si="139"/>
        <v>Good</v>
      </c>
      <c r="X664" s="5" t="str">
        <f t="shared" si="140"/>
        <v>Medium</v>
      </c>
      <c r="Y664" s="5" t="str">
        <f t="shared" si="141"/>
        <v>Low</v>
      </c>
      <c r="Z664" s="5" t="str">
        <f>IF(B664=120,"NULL",IF(AND(V664="High Stress", W664="High Risk", Y664="Low"),"High Risk : Reject", IF(AND(V664="Healthy", W664="Good",Y664&lt;&gt;"Low"), "Low Risk : Approve", "Medium Risk : Review")))</f>
        <v>Medium Risk : Review</v>
      </c>
      <c r="AA664" s="5" t="str">
        <f t="shared" si="142"/>
        <v>Medium</v>
      </c>
    </row>
    <row r="665" spans="1:27" x14ac:dyDescent="0.2">
      <c r="A665">
        <v>22768</v>
      </c>
      <c r="B665">
        <v>45</v>
      </c>
      <c r="C665">
        <f t="shared" si="130"/>
        <v>45</v>
      </c>
      <c r="D665" t="s">
        <v>27</v>
      </c>
      <c r="E665" t="str">
        <f t="shared" si="131"/>
        <v>Unemployed</v>
      </c>
      <c r="F665">
        <v>9085.36</v>
      </c>
      <c r="G665">
        <f>ABS(Table1[[#This Row],[Monthly_Income]])</f>
        <v>9085.36</v>
      </c>
      <c r="H665">
        <v>34632.79</v>
      </c>
      <c r="I665" s="5">
        <f t="shared" si="132"/>
        <v>34632.79</v>
      </c>
      <c r="J665">
        <v>12</v>
      </c>
      <c r="K665">
        <v>10.88</v>
      </c>
      <c r="M665" t="str">
        <f t="shared" si="133"/>
        <v>NULL</v>
      </c>
      <c r="N665">
        <v>6.4</v>
      </c>
      <c r="O665">
        <f t="shared" si="134"/>
        <v>6.4</v>
      </c>
      <c r="P665">
        <v>60</v>
      </c>
      <c r="Q665">
        <f t="shared" si="135"/>
        <v>60</v>
      </c>
      <c r="R665" t="s">
        <v>13</v>
      </c>
      <c r="S665" t="str">
        <f t="shared" si="136"/>
        <v>Performing</v>
      </c>
      <c r="T665" t="s">
        <v>19</v>
      </c>
      <c r="U665" s="3">
        <f t="shared" si="137"/>
        <v>0.31766114202776041</v>
      </c>
      <c r="V665" t="str">
        <f t="shared" si="138"/>
        <v>Stretched</v>
      </c>
      <c r="W665" t="str">
        <f t="shared" si="139"/>
        <v>High Risk</v>
      </c>
      <c r="X665" s="5" t="str">
        <f t="shared" si="140"/>
        <v>High</v>
      </c>
      <c r="Y665" s="5" t="str">
        <f t="shared" si="141"/>
        <v>Low</v>
      </c>
      <c r="Z665" s="5" t="str">
        <f>IF(B665=120,"NULL",IF(AND(V665="High Stress", W665="High Risk", Y665="Low"),"High Risk : Reject", IF(AND(V665="Healthy", W665="Good",Y665&lt;&gt;"Low"), "Low Risk : Approve", "Medium Risk : Review")))</f>
        <v>Medium Risk : Review</v>
      </c>
      <c r="AA665" s="5" t="str">
        <f t="shared" si="142"/>
        <v>High</v>
      </c>
    </row>
    <row r="666" spans="1:27" x14ac:dyDescent="0.2">
      <c r="A666">
        <v>22693</v>
      </c>
      <c r="B666">
        <v>42</v>
      </c>
      <c r="C666">
        <f t="shared" si="130"/>
        <v>42</v>
      </c>
      <c r="D666" t="s">
        <v>27</v>
      </c>
      <c r="E666" t="str">
        <f t="shared" si="131"/>
        <v>Unemployed</v>
      </c>
      <c r="F666">
        <v>5353.09</v>
      </c>
      <c r="G666">
        <f>ABS(Table1[[#This Row],[Monthly_Income]])</f>
        <v>5353.09</v>
      </c>
      <c r="H666"/>
      <c r="I666" s="5" t="str">
        <f t="shared" si="132"/>
        <v>NULL</v>
      </c>
      <c r="J666">
        <v>6</v>
      </c>
      <c r="K666">
        <v>25.9</v>
      </c>
      <c r="L666">
        <v>3</v>
      </c>
      <c r="M666">
        <f t="shared" si="133"/>
        <v>3</v>
      </c>
      <c r="N666">
        <v>9.3000000000000007</v>
      </c>
      <c r="O666">
        <f t="shared" si="134"/>
        <v>9.3000000000000007</v>
      </c>
      <c r="P666">
        <v>0</v>
      </c>
      <c r="Q666">
        <f t="shared" si="135"/>
        <v>0</v>
      </c>
      <c r="R666" t="s">
        <v>15</v>
      </c>
      <c r="S666" t="str">
        <f t="shared" si="136"/>
        <v xml:space="preserve">Performing </v>
      </c>
      <c r="T666" t="s">
        <v>22</v>
      </c>
      <c r="U666" s="3" t="str">
        <f t="shared" si="137"/>
        <v>NULL</v>
      </c>
      <c r="V666" t="str">
        <f t="shared" si="138"/>
        <v>NULL</v>
      </c>
      <c r="W666" t="str">
        <f t="shared" si="139"/>
        <v>Good</v>
      </c>
      <c r="X666" s="5" t="str">
        <f t="shared" si="140"/>
        <v>High</v>
      </c>
      <c r="Y666" s="5" t="str">
        <f t="shared" si="141"/>
        <v>Low</v>
      </c>
      <c r="Z666" s="5" t="str">
        <f>IF(B666=120,"NULL",IF(AND(V666="High Stress", W666="High Risk", Y666="Low"),"High Risk : Reject", IF(AND(V666="Healthy", W666="Good",Y666&lt;&gt;"Low"), "Low Risk : Approve", "Medium Risk : Review")))</f>
        <v>Medium Risk : Review</v>
      </c>
      <c r="AA666" s="5" t="str">
        <f t="shared" si="142"/>
        <v>Medium</v>
      </c>
    </row>
    <row r="667" spans="1:27" x14ac:dyDescent="0.2">
      <c r="A667">
        <v>24246</v>
      </c>
      <c r="B667">
        <v>31</v>
      </c>
      <c r="C667">
        <f t="shared" si="130"/>
        <v>31</v>
      </c>
      <c r="D667" t="s">
        <v>27</v>
      </c>
      <c r="E667" t="str">
        <f t="shared" si="131"/>
        <v>Unemployed</v>
      </c>
      <c r="F667">
        <v>4964.2700000000004</v>
      </c>
      <c r="G667">
        <f>ABS(Table1[[#This Row],[Monthly_Income]])</f>
        <v>4964.2700000000004</v>
      </c>
      <c r="H667">
        <v>16536.38</v>
      </c>
      <c r="I667" s="5">
        <f t="shared" si="132"/>
        <v>16536.38</v>
      </c>
      <c r="J667">
        <v>12</v>
      </c>
      <c r="K667">
        <v>20.32</v>
      </c>
      <c r="L667">
        <v>1</v>
      </c>
      <c r="M667">
        <f t="shared" si="133"/>
        <v>1</v>
      </c>
      <c r="N667">
        <v>8.5</v>
      </c>
      <c r="O667">
        <f t="shared" si="134"/>
        <v>8.5</v>
      </c>
      <c r="P667">
        <v>90</v>
      </c>
      <c r="Q667">
        <f t="shared" si="135"/>
        <v>90</v>
      </c>
      <c r="R667" t="s">
        <v>20</v>
      </c>
      <c r="S667" t="str">
        <f t="shared" si="136"/>
        <v>Written Off</v>
      </c>
      <c r="T667" t="s">
        <v>19</v>
      </c>
      <c r="U667" s="3">
        <f t="shared" si="137"/>
        <v>0.27758999141196322</v>
      </c>
      <c r="V667" t="str">
        <f t="shared" si="138"/>
        <v>Healthy</v>
      </c>
      <c r="W667" t="str">
        <f t="shared" si="139"/>
        <v>High Risk</v>
      </c>
      <c r="X667" s="5" t="str">
        <f t="shared" si="140"/>
        <v>Medium</v>
      </c>
      <c r="Y667" s="5" t="str">
        <f t="shared" si="141"/>
        <v>Low</v>
      </c>
      <c r="Z667" s="5" t="str">
        <f>IF(B667=120,"NULL",IF(AND(V667="High Stress", W667="High Risk", Y667="Low"),"High Risk : Reject", IF(AND(V667="Healthy", W667="Good",Y667&lt;&gt;"Low"), "Low Risk : Approve", "Medium Risk : Review")))</f>
        <v>Medium Risk : Review</v>
      </c>
      <c r="AA667" s="5" t="str">
        <f t="shared" si="142"/>
        <v>Medium</v>
      </c>
    </row>
    <row r="668" spans="1:27" x14ac:dyDescent="0.2">
      <c r="A668">
        <v>22716</v>
      </c>
      <c r="B668">
        <v>53</v>
      </c>
      <c r="C668">
        <f t="shared" si="130"/>
        <v>53</v>
      </c>
      <c r="D668" t="s">
        <v>23</v>
      </c>
      <c r="E668" t="str">
        <f t="shared" si="131"/>
        <v>Self-Employed</v>
      </c>
      <c r="F668">
        <v>11856.95</v>
      </c>
      <c r="G668">
        <f>ABS(Table1[[#This Row],[Monthly_Income]])</f>
        <v>11856.95</v>
      </c>
      <c r="H668">
        <v>10970</v>
      </c>
      <c r="I668" s="5">
        <f t="shared" si="132"/>
        <v>10970</v>
      </c>
      <c r="J668">
        <v>6</v>
      </c>
      <c r="K668">
        <v>24.34</v>
      </c>
      <c r="L668">
        <v>2</v>
      </c>
      <c r="M668">
        <f t="shared" si="133"/>
        <v>2</v>
      </c>
      <c r="N668">
        <v>10.5</v>
      </c>
      <c r="O668">
        <f t="shared" si="134"/>
        <v>10.5</v>
      </c>
      <c r="P668">
        <v>60</v>
      </c>
      <c r="Q668">
        <f t="shared" si="135"/>
        <v>60</v>
      </c>
      <c r="R668" t="s">
        <v>15</v>
      </c>
      <c r="S668" t="str">
        <f t="shared" si="136"/>
        <v xml:space="preserve">Performing </v>
      </c>
      <c r="T668" t="s">
        <v>22</v>
      </c>
      <c r="U668" s="3">
        <f t="shared" si="137"/>
        <v>0.15419929520942005</v>
      </c>
      <c r="V668" t="str">
        <f t="shared" si="138"/>
        <v>Healthy</v>
      </c>
      <c r="W668" t="str">
        <f t="shared" si="139"/>
        <v>High Risk</v>
      </c>
      <c r="X668" s="5" t="str">
        <f t="shared" si="140"/>
        <v>Medium</v>
      </c>
      <c r="Y668" s="5" t="str">
        <f t="shared" si="141"/>
        <v>Medium</v>
      </c>
      <c r="Z668" s="5" t="str">
        <f>IF(B668=120,"NULL",IF(AND(V668="High Stress", W668="High Risk", Y668="Low"),"High Risk : Reject", IF(AND(V668="Healthy", W668="Good",Y668&lt;&gt;"Low"), "Low Risk : Approve", "Medium Risk : Review")))</f>
        <v>Medium Risk : Review</v>
      </c>
      <c r="AA668" s="5" t="str">
        <f t="shared" si="142"/>
        <v>High</v>
      </c>
    </row>
    <row r="669" spans="1:27" x14ac:dyDescent="0.2">
      <c r="A669">
        <v>21453</v>
      </c>
      <c r="B669">
        <v>75</v>
      </c>
      <c r="C669">
        <f t="shared" si="130"/>
        <v>75</v>
      </c>
      <c r="D669" t="s">
        <v>26</v>
      </c>
      <c r="E669" t="str">
        <f t="shared" si="131"/>
        <v>Salaried</v>
      </c>
      <c r="F669">
        <v>921.09</v>
      </c>
      <c r="G669">
        <f>ABS(Table1[[#This Row],[Monthly_Income]])</f>
        <v>921.09</v>
      </c>
      <c r="H669">
        <v>19776.490000000002</v>
      </c>
      <c r="I669" s="5">
        <f t="shared" si="132"/>
        <v>19776.490000000002</v>
      </c>
      <c r="J669">
        <v>18</v>
      </c>
      <c r="K669">
        <v>17.75</v>
      </c>
      <c r="L669">
        <v>1</v>
      </c>
      <c r="M669">
        <f t="shared" si="133"/>
        <v>1</v>
      </c>
      <c r="N669">
        <v>8.9</v>
      </c>
      <c r="O669">
        <f t="shared" si="134"/>
        <v>8.9</v>
      </c>
      <c r="P669">
        <v>0</v>
      </c>
      <c r="Q669">
        <f t="shared" si="135"/>
        <v>0</v>
      </c>
      <c r="R669" t="s">
        <v>20</v>
      </c>
      <c r="S669" t="str">
        <f t="shared" si="136"/>
        <v>Written Off</v>
      </c>
      <c r="T669" t="s">
        <v>16</v>
      </c>
      <c r="U669" s="3">
        <f t="shared" si="137"/>
        <v>1.1928192564123907</v>
      </c>
      <c r="V669" t="str">
        <f t="shared" si="138"/>
        <v>High Stress</v>
      </c>
      <c r="W669" t="str">
        <f t="shared" si="139"/>
        <v>Good</v>
      </c>
      <c r="X669" s="5" t="str">
        <f t="shared" si="140"/>
        <v>Medium</v>
      </c>
      <c r="Y669" s="5" t="str">
        <f t="shared" si="141"/>
        <v>High</v>
      </c>
      <c r="Z669" s="5" t="str">
        <f>IF(B669=120,"NULL",IF(AND(V669="High Stress", W669="High Risk", Y669="Low"),"High Risk : Reject", IF(AND(V669="Healthy", W669="Good",Y669&lt;&gt;"Low"), "Low Risk : Approve", "Medium Risk : Review")))</f>
        <v>Medium Risk : Review</v>
      </c>
      <c r="AA669" s="5" t="str">
        <f t="shared" si="142"/>
        <v>Low</v>
      </c>
    </row>
    <row r="670" spans="1:27" x14ac:dyDescent="0.2">
      <c r="A670">
        <v>25497</v>
      </c>
      <c r="B670">
        <v>39</v>
      </c>
      <c r="C670">
        <f t="shared" si="130"/>
        <v>39</v>
      </c>
      <c r="D670" t="s">
        <v>27</v>
      </c>
      <c r="E670" t="str">
        <f t="shared" si="131"/>
        <v>Unemployed</v>
      </c>
      <c r="F670">
        <v>5364.69</v>
      </c>
      <c r="G670">
        <f>ABS(Table1[[#This Row],[Monthly_Income]])</f>
        <v>5364.69</v>
      </c>
      <c r="H670">
        <v>11725.07</v>
      </c>
      <c r="I670" s="5">
        <f t="shared" si="132"/>
        <v>11725.07</v>
      </c>
      <c r="J670">
        <v>60</v>
      </c>
      <c r="K670">
        <v>23.21</v>
      </c>
      <c r="L670">
        <v>0</v>
      </c>
      <c r="M670">
        <f t="shared" si="133"/>
        <v>0</v>
      </c>
      <c r="N670">
        <v>5.6</v>
      </c>
      <c r="O670">
        <f t="shared" si="134"/>
        <v>5.6</v>
      </c>
      <c r="P670">
        <v>15</v>
      </c>
      <c r="Q670">
        <f t="shared" si="135"/>
        <v>15</v>
      </c>
      <c r="R670" t="s">
        <v>24</v>
      </c>
      <c r="S670" t="str">
        <f t="shared" si="136"/>
        <v>Non-Performing</v>
      </c>
      <c r="T670" t="s">
        <v>14</v>
      </c>
      <c r="U670" s="3">
        <f t="shared" si="137"/>
        <v>3.6426677652079312E-2</v>
      </c>
      <c r="V670" t="str">
        <f t="shared" si="138"/>
        <v>Healthy</v>
      </c>
      <c r="W670" t="str">
        <f t="shared" si="139"/>
        <v>Good</v>
      </c>
      <c r="X670" s="5" t="str">
        <f t="shared" si="140"/>
        <v>Medium</v>
      </c>
      <c r="Y670" s="5" t="str">
        <f t="shared" si="141"/>
        <v>Low</v>
      </c>
      <c r="Z670" s="5" t="str">
        <f>IF(B670=120,"NULL",IF(AND(V670="High Stress", W670="High Risk", Y670="Low"),"High Risk : Reject", IF(AND(V670="Healthy", W670="Good",Y670&lt;&gt;"Low"), "Low Risk : Approve", "Medium Risk : Review")))</f>
        <v>Medium Risk : Review</v>
      </c>
      <c r="AA670" s="5" t="str">
        <f t="shared" si="142"/>
        <v>Medium</v>
      </c>
    </row>
    <row r="671" spans="1:27" x14ac:dyDescent="0.2">
      <c r="A671">
        <v>25579</v>
      </c>
      <c r="B671">
        <v>59</v>
      </c>
      <c r="C671">
        <f t="shared" si="130"/>
        <v>59</v>
      </c>
      <c r="D671" t="s">
        <v>17</v>
      </c>
      <c r="E671" t="str">
        <f t="shared" si="131"/>
        <v>Contract</v>
      </c>
      <c r="F671">
        <v>2923.56</v>
      </c>
      <c r="G671">
        <f>ABS(Table1[[#This Row],[Monthly_Income]])</f>
        <v>2923.56</v>
      </c>
      <c r="H671">
        <v>26745.51</v>
      </c>
      <c r="I671" s="5">
        <f t="shared" si="132"/>
        <v>26745.51</v>
      </c>
      <c r="J671">
        <v>48</v>
      </c>
      <c r="K671">
        <v>7.93</v>
      </c>
      <c r="L671">
        <v>2</v>
      </c>
      <c r="M671">
        <f t="shared" si="133"/>
        <v>2</v>
      </c>
      <c r="N671">
        <v>3.8</v>
      </c>
      <c r="O671">
        <f t="shared" si="134"/>
        <v>3.8</v>
      </c>
      <c r="P671">
        <v>15</v>
      </c>
      <c r="Q671">
        <f t="shared" si="135"/>
        <v>15</v>
      </c>
      <c r="R671" t="s">
        <v>24</v>
      </c>
      <c r="S671" t="str">
        <f t="shared" si="136"/>
        <v>Non-Performing</v>
      </c>
      <c r="T671" t="s">
        <v>25</v>
      </c>
      <c r="U671" s="3">
        <f t="shared" si="137"/>
        <v>0.19058891385844653</v>
      </c>
      <c r="V671" t="str">
        <f t="shared" si="138"/>
        <v>Healthy</v>
      </c>
      <c r="W671" t="str">
        <f t="shared" si="139"/>
        <v>Good</v>
      </c>
      <c r="X671" s="5" t="str">
        <f t="shared" si="140"/>
        <v>Medium</v>
      </c>
      <c r="Y671" s="5" t="str">
        <f t="shared" si="141"/>
        <v>Low</v>
      </c>
      <c r="Z671" s="5" t="str">
        <f>IF(B671=120,"NULL",IF(AND(V671="High Stress", W671="High Risk", Y671="Low"),"High Risk : Reject", IF(AND(V671="Healthy", W671="Good",Y671&lt;&gt;"Low"), "Low Risk : Approve", "Medium Risk : Review")))</f>
        <v>Medium Risk : Review</v>
      </c>
      <c r="AA671" s="5" t="str">
        <f t="shared" si="142"/>
        <v>Medium</v>
      </c>
    </row>
    <row r="672" spans="1:27" x14ac:dyDescent="0.2">
      <c r="A672">
        <v>25569</v>
      </c>
      <c r="B672">
        <v>46</v>
      </c>
      <c r="C672">
        <f t="shared" si="130"/>
        <v>46</v>
      </c>
      <c r="D672" t="s">
        <v>23</v>
      </c>
      <c r="E672" t="str">
        <f t="shared" si="131"/>
        <v>Self-Employed</v>
      </c>
      <c r="F672">
        <v>6506.02</v>
      </c>
      <c r="G672">
        <f>ABS(Table1[[#This Row],[Monthly_Income]])</f>
        <v>6506.02</v>
      </c>
      <c r="H672">
        <v>26062.77</v>
      </c>
      <c r="I672" s="5">
        <f t="shared" si="132"/>
        <v>26062.77</v>
      </c>
      <c r="J672">
        <v>48</v>
      </c>
      <c r="K672">
        <v>26.82</v>
      </c>
      <c r="L672">
        <v>1</v>
      </c>
      <c r="M672">
        <f t="shared" si="133"/>
        <v>1</v>
      </c>
      <c r="N672">
        <v>5.3</v>
      </c>
      <c r="O672">
        <f t="shared" si="134"/>
        <v>5.3</v>
      </c>
      <c r="P672">
        <v>0</v>
      </c>
      <c r="Q672">
        <f t="shared" si="135"/>
        <v>0</v>
      </c>
      <c r="R672" t="s">
        <v>20</v>
      </c>
      <c r="S672" t="str">
        <f t="shared" si="136"/>
        <v>Written Off</v>
      </c>
      <c r="T672" t="s">
        <v>22</v>
      </c>
      <c r="U672" s="3">
        <f t="shared" si="137"/>
        <v>8.3457225000845361E-2</v>
      </c>
      <c r="V672" t="str">
        <f t="shared" si="138"/>
        <v>Healthy</v>
      </c>
      <c r="W672" t="str">
        <f t="shared" si="139"/>
        <v>Good</v>
      </c>
      <c r="X672" s="5" t="str">
        <f t="shared" si="140"/>
        <v>Medium</v>
      </c>
      <c r="Y672" s="5" t="str">
        <f t="shared" si="141"/>
        <v>Medium</v>
      </c>
      <c r="Z672" s="5" t="str">
        <f>IF(B672=120,"NULL",IF(AND(V672="High Stress", W672="High Risk", Y672="Low"),"High Risk : Reject", IF(AND(V672="Healthy", W672="Good",Y672&lt;&gt;"Low"), "Low Risk : Approve", "Medium Risk : Review")))</f>
        <v>Low Risk : Approve</v>
      </c>
      <c r="AA672" s="5" t="str">
        <f t="shared" si="142"/>
        <v>Medium</v>
      </c>
    </row>
    <row r="673" spans="1:27" x14ac:dyDescent="0.2">
      <c r="A673">
        <v>20794</v>
      </c>
      <c r="B673">
        <v>31</v>
      </c>
      <c r="C673">
        <f t="shared" si="130"/>
        <v>31</v>
      </c>
      <c r="D673" t="s">
        <v>23</v>
      </c>
      <c r="E673" t="str">
        <f t="shared" si="131"/>
        <v>Self-Employed</v>
      </c>
      <c r="F673">
        <v>5056.54</v>
      </c>
      <c r="G673">
        <f>ABS(Table1[[#This Row],[Monthly_Income]])</f>
        <v>5056.54</v>
      </c>
      <c r="H673">
        <v>13590.66</v>
      </c>
      <c r="I673" s="5">
        <f t="shared" si="132"/>
        <v>13590.66</v>
      </c>
      <c r="J673">
        <v>60</v>
      </c>
      <c r="K673">
        <v>6.82</v>
      </c>
      <c r="L673">
        <v>0</v>
      </c>
      <c r="M673">
        <f t="shared" si="133"/>
        <v>0</v>
      </c>
      <c r="N673">
        <v>3.8</v>
      </c>
      <c r="O673">
        <f t="shared" si="134"/>
        <v>3.8</v>
      </c>
      <c r="P673">
        <v>15</v>
      </c>
      <c r="Q673">
        <f t="shared" si="135"/>
        <v>15</v>
      </c>
      <c r="R673" t="s">
        <v>18</v>
      </c>
      <c r="S673" t="str">
        <f t="shared" si="136"/>
        <v>Non-Performing</v>
      </c>
      <c r="T673" t="s">
        <v>25</v>
      </c>
      <c r="U673" s="3">
        <f t="shared" si="137"/>
        <v>4.4795650780968803E-2</v>
      </c>
      <c r="V673" t="str">
        <f t="shared" si="138"/>
        <v>Healthy</v>
      </c>
      <c r="W673" t="str">
        <f t="shared" si="139"/>
        <v>Good</v>
      </c>
      <c r="X673" s="5" t="str">
        <f t="shared" si="140"/>
        <v>Medium</v>
      </c>
      <c r="Y673" s="5" t="str">
        <f t="shared" si="141"/>
        <v>Medium</v>
      </c>
      <c r="Z673" s="5" t="str">
        <f>IF(B673=120,"NULL",IF(AND(V673="High Stress", W673="High Risk", Y673="Low"),"High Risk : Reject", IF(AND(V673="Healthy", W673="Good",Y673&lt;&gt;"Low"), "Low Risk : Approve", "Medium Risk : Review")))</f>
        <v>Low Risk : Approve</v>
      </c>
      <c r="AA673" s="5" t="str">
        <f t="shared" si="142"/>
        <v>Medium</v>
      </c>
    </row>
    <row r="674" spans="1:27" x14ac:dyDescent="0.2">
      <c r="A674">
        <v>25060</v>
      </c>
      <c r="B674">
        <v>40</v>
      </c>
      <c r="C674">
        <f t="shared" si="130"/>
        <v>40</v>
      </c>
      <c r="D674" t="s">
        <v>26</v>
      </c>
      <c r="E674" t="str">
        <f t="shared" si="131"/>
        <v>Salaried</v>
      </c>
      <c r="F674">
        <v>4461.42</v>
      </c>
      <c r="G674">
        <f>ABS(Table1[[#This Row],[Monthly_Income]])</f>
        <v>4461.42</v>
      </c>
      <c r="H674">
        <v>29736.62</v>
      </c>
      <c r="I674" s="5">
        <f t="shared" si="132"/>
        <v>29736.62</v>
      </c>
      <c r="J674">
        <v>24</v>
      </c>
      <c r="K674">
        <v>20.97</v>
      </c>
      <c r="L674">
        <v>3</v>
      </c>
      <c r="M674">
        <f t="shared" si="133"/>
        <v>3</v>
      </c>
      <c r="N674">
        <v>8.6</v>
      </c>
      <c r="O674">
        <f t="shared" si="134"/>
        <v>8.6</v>
      </c>
      <c r="P674">
        <v>0</v>
      </c>
      <c r="Q674">
        <f t="shared" si="135"/>
        <v>0</v>
      </c>
      <c r="R674" t="s">
        <v>24</v>
      </c>
      <c r="S674" t="str">
        <f t="shared" si="136"/>
        <v>Non-Performing</v>
      </c>
      <c r="T674" t="s">
        <v>14</v>
      </c>
      <c r="U674" s="3">
        <f t="shared" si="137"/>
        <v>0.27772006072804922</v>
      </c>
      <c r="V674" t="str">
        <f t="shared" si="138"/>
        <v>Healthy</v>
      </c>
      <c r="W674" t="str">
        <f t="shared" si="139"/>
        <v>Good</v>
      </c>
      <c r="X674" s="5" t="str">
        <f t="shared" si="140"/>
        <v>Medium</v>
      </c>
      <c r="Y674" s="5" t="str">
        <f t="shared" si="141"/>
        <v>High</v>
      </c>
      <c r="Z674" s="5" t="str">
        <f>IF(B674=120,"NULL",IF(AND(V674="High Stress", W674="High Risk", Y674="Low"),"High Risk : Reject", IF(AND(V674="Healthy", W674="Good",Y674&lt;&gt;"Low"), "Low Risk : Approve", "Medium Risk : Review")))</f>
        <v>Low Risk : Approve</v>
      </c>
      <c r="AA674" s="5" t="str">
        <f t="shared" si="142"/>
        <v>Medium</v>
      </c>
    </row>
    <row r="675" spans="1:27" x14ac:dyDescent="0.2">
      <c r="A675">
        <v>20006</v>
      </c>
      <c r="B675">
        <v>44</v>
      </c>
      <c r="C675">
        <f t="shared" si="130"/>
        <v>44</v>
      </c>
      <c r="D675" t="s">
        <v>17</v>
      </c>
      <c r="E675" t="str">
        <f t="shared" si="131"/>
        <v>Contract</v>
      </c>
      <c r="F675">
        <v>4121.55</v>
      </c>
      <c r="G675">
        <f>ABS(Table1[[#This Row],[Monthly_Income]])</f>
        <v>4121.55</v>
      </c>
      <c r="H675">
        <v>8987.86</v>
      </c>
      <c r="I675" s="5">
        <f t="shared" si="132"/>
        <v>8987.86</v>
      </c>
      <c r="J675">
        <v>6</v>
      </c>
      <c r="K675">
        <v>16.309999999999999</v>
      </c>
      <c r="L675">
        <v>1</v>
      </c>
      <c r="M675">
        <f t="shared" si="133"/>
        <v>1</v>
      </c>
      <c r="N675">
        <v>12.2</v>
      </c>
      <c r="O675">
        <f t="shared" si="134"/>
        <v>12.2</v>
      </c>
      <c r="P675">
        <v>0</v>
      </c>
      <c r="Q675">
        <f t="shared" si="135"/>
        <v>0</v>
      </c>
      <c r="R675" t="s">
        <v>15</v>
      </c>
      <c r="S675" t="str">
        <f t="shared" si="136"/>
        <v xml:space="preserve">Performing </v>
      </c>
      <c r="T675" t="s">
        <v>25</v>
      </c>
      <c r="U675" s="3">
        <f t="shared" si="137"/>
        <v>0.36344983481133714</v>
      </c>
      <c r="V675" t="str">
        <f t="shared" si="138"/>
        <v>Stretched</v>
      </c>
      <c r="W675" t="str">
        <f t="shared" si="139"/>
        <v>Good</v>
      </c>
      <c r="X675" s="5" t="str">
        <f t="shared" si="140"/>
        <v>Small</v>
      </c>
      <c r="Y675" s="5" t="str">
        <f t="shared" si="141"/>
        <v>Low</v>
      </c>
      <c r="Z675" s="5" t="str">
        <f>IF(B675=120,"NULL",IF(AND(V675="High Stress", W675="High Risk", Y675="Low"),"High Risk : Reject", IF(AND(V675="Healthy", W675="Good",Y675&lt;&gt;"Low"), "Low Risk : Approve", "Medium Risk : Review")))</f>
        <v>Medium Risk : Review</v>
      </c>
      <c r="AA675" s="5" t="str">
        <f t="shared" si="142"/>
        <v>Medium</v>
      </c>
    </row>
    <row r="676" spans="1:27" x14ac:dyDescent="0.2">
      <c r="A676">
        <v>22945</v>
      </c>
      <c r="B676">
        <v>27</v>
      </c>
      <c r="C676">
        <f t="shared" si="130"/>
        <v>27</v>
      </c>
      <c r="D676" t="s">
        <v>23</v>
      </c>
      <c r="E676" t="str">
        <f t="shared" si="131"/>
        <v>Self-Employed</v>
      </c>
      <c r="F676">
        <v>7132.37</v>
      </c>
      <c r="G676">
        <f>ABS(Table1[[#This Row],[Monthly_Income]])</f>
        <v>7132.37</v>
      </c>
      <c r="H676">
        <v>15709.42</v>
      </c>
      <c r="I676" s="5">
        <f t="shared" si="132"/>
        <v>15709.42</v>
      </c>
      <c r="J676">
        <v>48</v>
      </c>
      <c r="K676">
        <v>18.190000000000001</v>
      </c>
      <c r="L676">
        <v>2</v>
      </c>
      <c r="M676">
        <f t="shared" si="133"/>
        <v>2</v>
      </c>
      <c r="N676">
        <v>9.3000000000000007</v>
      </c>
      <c r="O676">
        <f t="shared" si="134"/>
        <v>9.3000000000000007</v>
      </c>
      <c r="P676">
        <v>90</v>
      </c>
      <c r="Q676">
        <f t="shared" si="135"/>
        <v>90</v>
      </c>
      <c r="R676" t="s">
        <v>24</v>
      </c>
      <c r="S676" t="str">
        <f t="shared" si="136"/>
        <v>Non-Performing</v>
      </c>
      <c r="T676" t="s">
        <v>16</v>
      </c>
      <c r="U676" s="3">
        <f t="shared" si="137"/>
        <v>4.5886512243943224E-2</v>
      </c>
      <c r="V676" t="str">
        <f t="shared" si="138"/>
        <v>Healthy</v>
      </c>
      <c r="W676" t="str">
        <f t="shared" si="139"/>
        <v>High Risk</v>
      </c>
      <c r="X676" s="5" t="str">
        <f t="shared" si="140"/>
        <v>Medium</v>
      </c>
      <c r="Y676" s="5" t="str">
        <f t="shared" si="141"/>
        <v>Medium</v>
      </c>
      <c r="Z676" s="5" t="str">
        <f>IF(B676=120,"NULL",IF(AND(V676="High Stress", W676="High Risk", Y676="Low"),"High Risk : Reject", IF(AND(V676="Healthy", W676="Good",Y676&lt;&gt;"Low"), "Low Risk : Approve", "Medium Risk : Review")))</f>
        <v>Medium Risk : Review</v>
      </c>
      <c r="AA676" s="5" t="str">
        <f t="shared" si="142"/>
        <v>Medium</v>
      </c>
    </row>
    <row r="677" spans="1:27" x14ac:dyDescent="0.2">
      <c r="A677">
        <v>25806</v>
      </c>
      <c r="B677">
        <v>37</v>
      </c>
      <c r="C677">
        <f t="shared" si="130"/>
        <v>37</v>
      </c>
      <c r="D677" t="s">
        <v>21</v>
      </c>
      <c r="E677" t="str">
        <f t="shared" si="131"/>
        <v>Salaried</v>
      </c>
      <c r="F677">
        <v>3139.27</v>
      </c>
      <c r="G677">
        <f>ABS(Table1[[#This Row],[Monthly_Income]])</f>
        <v>3139.27</v>
      </c>
      <c r="H677">
        <v>16823.57</v>
      </c>
      <c r="I677" s="5">
        <f t="shared" si="132"/>
        <v>16823.57</v>
      </c>
      <c r="J677">
        <v>36</v>
      </c>
      <c r="K677">
        <v>13.39</v>
      </c>
      <c r="L677">
        <v>0</v>
      </c>
      <c r="M677">
        <f t="shared" si="133"/>
        <v>0</v>
      </c>
      <c r="N677">
        <v>2.2999999999999998</v>
      </c>
      <c r="O677">
        <f t="shared" si="134"/>
        <v>2.2999999999999998</v>
      </c>
      <c r="P677">
        <v>0</v>
      </c>
      <c r="Q677">
        <f t="shared" si="135"/>
        <v>0</v>
      </c>
      <c r="R677" t="s">
        <v>13</v>
      </c>
      <c r="S677" t="str">
        <f t="shared" si="136"/>
        <v>Performing</v>
      </c>
      <c r="T677" t="s">
        <v>22</v>
      </c>
      <c r="U677" s="3">
        <f t="shared" si="137"/>
        <v>0.14886307609376984</v>
      </c>
      <c r="V677" t="str">
        <f t="shared" si="138"/>
        <v>Healthy</v>
      </c>
      <c r="W677" t="str">
        <f t="shared" si="139"/>
        <v>Good</v>
      </c>
      <c r="X677" s="5" t="str">
        <f t="shared" si="140"/>
        <v>Medium</v>
      </c>
      <c r="Y677" s="5" t="str">
        <f t="shared" si="141"/>
        <v>High</v>
      </c>
      <c r="Z677" s="5" t="str">
        <f>IF(B677=120,"NULL",IF(AND(V677="High Stress", W677="High Risk", Y677="Low"),"High Risk : Reject", IF(AND(V677="Healthy", W677="Good",Y677&lt;&gt;"Low"), "Low Risk : Approve", "Medium Risk : Review")))</f>
        <v>Low Risk : Approve</v>
      </c>
      <c r="AA677" s="5" t="str">
        <f t="shared" si="142"/>
        <v>Medium</v>
      </c>
    </row>
    <row r="678" spans="1:27" x14ac:dyDescent="0.2">
      <c r="A678">
        <v>20274</v>
      </c>
      <c r="B678">
        <v>29</v>
      </c>
      <c r="C678">
        <f t="shared" si="130"/>
        <v>29</v>
      </c>
      <c r="D678" t="s">
        <v>23</v>
      </c>
      <c r="E678" t="str">
        <f t="shared" si="131"/>
        <v>Self-Employed</v>
      </c>
      <c r="F678">
        <v>6788.66</v>
      </c>
      <c r="G678">
        <f>ABS(Table1[[#This Row],[Monthly_Income]])</f>
        <v>6788.66</v>
      </c>
      <c r="H678">
        <v>33421.93</v>
      </c>
      <c r="I678" s="5">
        <f t="shared" si="132"/>
        <v>33421.93</v>
      </c>
      <c r="J678">
        <v>48</v>
      </c>
      <c r="K678">
        <v>12.81</v>
      </c>
      <c r="L678">
        <v>3</v>
      </c>
      <c r="M678">
        <f t="shared" si="133"/>
        <v>3</v>
      </c>
      <c r="N678">
        <v>7.3</v>
      </c>
      <c r="O678">
        <f t="shared" si="134"/>
        <v>7.3</v>
      </c>
      <c r="P678">
        <v>15</v>
      </c>
      <c r="Q678">
        <f t="shared" si="135"/>
        <v>15</v>
      </c>
      <c r="R678" t="s">
        <v>13</v>
      </c>
      <c r="S678" t="str">
        <f t="shared" si="136"/>
        <v>Performing</v>
      </c>
      <c r="T678" t="s">
        <v>19</v>
      </c>
      <c r="U678" s="3">
        <f t="shared" si="137"/>
        <v>0.10256666386788164</v>
      </c>
      <c r="V678" t="str">
        <f t="shared" si="138"/>
        <v>Healthy</v>
      </c>
      <c r="W678" t="str">
        <f t="shared" si="139"/>
        <v>Good</v>
      </c>
      <c r="X678" s="5" t="str">
        <f t="shared" si="140"/>
        <v>High</v>
      </c>
      <c r="Y678" s="5" t="str">
        <f t="shared" si="141"/>
        <v>Medium</v>
      </c>
      <c r="Z678" s="5" t="str">
        <f>IF(B678=120,"NULL",IF(AND(V678="High Stress", W678="High Risk", Y678="Low"),"High Risk : Reject", IF(AND(V678="Healthy", W678="Good",Y678&lt;&gt;"Low"), "Low Risk : Approve", "Medium Risk : Review")))</f>
        <v>Low Risk : Approve</v>
      </c>
      <c r="AA678" s="5" t="str">
        <f t="shared" si="142"/>
        <v>Medium</v>
      </c>
    </row>
    <row r="679" spans="1:27" x14ac:dyDescent="0.2">
      <c r="A679">
        <v>25963</v>
      </c>
      <c r="B679">
        <v>34</v>
      </c>
      <c r="C679">
        <f t="shared" si="130"/>
        <v>34</v>
      </c>
      <c r="D679" t="s">
        <v>17</v>
      </c>
      <c r="E679" t="str">
        <f t="shared" si="131"/>
        <v>Contract</v>
      </c>
      <c r="F679">
        <v>6522</v>
      </c>
      <c r="G679">
        <f>ABS(Table1[[#This Row],[Monthly_Income]])</f>
        <v>6522</v>
      </c>
      <c r="H679">
        <v>26877.21</v>
      </c>
      <c r="I679" s="5">
        <f t="shared" si="132"/>
        <v>26877.21</v>
      </c>
      <c r="J679">
        <v>24</v>
      </c>
      <c r="K679">
        <v>22.03</v>
      </c>
      <c r="M679" t="str">
        <f t="shared" si="133"/>
        <v>NULL</v>
      </c>
      <c r="N679">
        <v>15.9</v>
      </c>
      <c r="O679">
        <f t="shared" si="134"/>
        <v>15.9</v>
      </c>
      <c r="Q679" t="str">
        <f t="shared" si="135"/>
        <v>NULL</v>
      </c>
      <c r="R679" t="s">
        <v>20</v>
      </c>
      <c r="S679" t="str">
        <f t="shared" si="136"/>
        <v>Written Off</v>
      </c>
      <c r="T679" t="s">
        <v>14</v>
      </c>
      <c r="U679" s="3">
        <f t="shared" si="137"/>
        <v>0.17170863998773381</v>
      </c>
      <c r="V679" t="str">
        <f t="shared" si="138"/>
        <v>Healthy</v>
      </c>
      <c r="W679" t="str">
        <f t="shared" si="139"/>
        <v>NULL</v>
      </c>
      <c r="X679" s="5" t="str">
        <f t="shared" si="140"/>
        <v>Medium</v>
      </c>
      <c r="Y679" s="5" t="str">
        <f t="shared" si="141"/>
        <v>Low</v>
      </c>
      <c r="Z679" s="5" t="str">
        <f>IF(B679=120,"NULL",IF(AND(V679="High Stress", W679="High Risk", Y679="Low"),"High Risk : Reject", IF(AND(V679="Healthy", W679="Good",Y679&lt;&gt;"Low"), "Low Risk : Approve", "Medium Risk : Review")))</f>
        <v>Medium Risk : Review</v>
      </c>
      <c r="AA679" s="5" t="str">
        <f t="shared" si="142"/>
        <v>Medium</v>
      </c>
    </row>
    <row r="680" spans="1:27" x14ac:dyDescent="0.2">
      <c r="A680">
        <v>25784</v>
      </c>
      <c r="B680">
        <v>28</v>
      </c>
      <c r="C680">
        <f t="shared" si="130"/>
        <v>28</v>
      </c>
      <c r="D680" t="s">
        <v>12</v>
      </c>
      <c r="E680" t="str">
        <f t="shared" si="131"/>
        <v>Self-Employed</v>
      </c>
      <c r="F680">
        <v>2425.48</v>
      </c>
      <c r="G680">
        <f>ABS(Table1[[#This Row],[Monthly_Income]])</f>
        <v>2425.48</v>
      </c>
      <c r="H680">
        <v>16304.23</v>
      </c>
      <c r="I680" s="5">
        <f t="shared" si="132"/>
        <v>16304.23</v>
      </c>
      <c r="J680">
        <v>36</v>
      </c>
      <c r="K680">
        <v>23.7</v>
      </c>
      <c r="L680">
        <v>4</v>
      </c>
      <c r="M680">
        <f t="shared" si="133"/>
        <v>4</v>
      </c>
      <c r="N680">
        <v>5.9</v>
      </c>
      <c r="O680">
        <f t="shared" si="134"/>
        <v>5.9</v>
      </c>
      <c r="Q680" t="str">
        <f t="shared" si="135"/>
        <v>NULL</v>
      </c>
      <c r="R680" t="s">
        <v>13</v>
      </c>
      <c r="S680" t="str">
        <f t="shared" si="136"/>
        <v>Performing</v>
      </c>
      <c r="T680" t="s">
        <v>16</v>
      </c>
      <c r="U680" s="3">
        <f t="shared" si="137"/>
        <v>0.18672397949180278</v>
      </c>
      <c r="V680" t="str">
        <f t="shared" si="138"/>
        <v>Healthy</v>
      </c>
      <c r="W680" t="str">
        <f t="shared" si="139"/>
        <v>NULL</v>
      </c>
      <c r="X680" s="5" t="str">
        <f t="shared" si="140"/>
        <v>Medium</v>
      </c>
      <c r="Y680" s="5" t="str">
        <f t="shared" si="141"/>
        <v>Medium</v>
      </c>
      <c r="Z680" s="5" t="str">
        <f>IF(B680=120,"NULL",IF(AND(V680="High Stress", W680="High Risk", Y680="Low"),"High Risk : Reject", IF(AND(V680="Healthy", W680="Good",Y680&lt;&gt;"Low"), "Low Risk : Approve", "Medium Risk : Review")))</f>
        <v>Medium Risk : Review</v>
      </c>
      <c r="AA680" s="5" t="str">
        <f t="shared" si="142"/>
        <v>Medium</v>
      </c>
    </row>
    <row r="681" spans="1:27" x14ac:dyDescent="0.2">
      <c r="A681">
        <v>24803</v>
      </c>
      <c r="B681">
        <v>61</v>
      </c>
      <c r="C681">
        <f t="shared" si="130"/>
        <v>61</v>
      </c>
      <c r="D681" t="s">
        <v>23</v>
      </c>
      <c r="E681" t="str">
        <f t="shared" si="131"/>
        <v>Self-Employed</v>
      </c>
      <c r="F681">
        <v>296.3</v>
      </c>
      <c r="G681">
        <f>ABS(Table1[[#This Row],[Monthly_Income]])</f>
        <v>296.3</v>
      </c>
      <c r="H681">
        <v>12214.97</v>
      </c>
      <c r="I681" s="5">
        <f t="shared" si="132"/>
        <v>12214.97</v>
      </c>
      <c r="J681">
        <v>12</v>
      </c>
      <c r="K681">
        <v>16.89</v>
      </c>
      <c r="L681">
        <v>2</v>
      </c>
      <c r="M681">
        <f t="shared" si="133"/>
        <v>2</v>
      </c>
      <c r="N681">
        <v>7.1</v>
      </c>
      <c r="O681">
        <f t="shared" si="134"/>
        <v>7.1</v>
      </c>
      <c r="P681">
        <v>90</v>
      </c>
      <c r="Q681">
        <f t="shared" si="135"/>
        <v>90</v>
      </c>
      <c r="R681" t="s">
        <v>24</v>
      </c>
      <c r="S681" t="str">
        <f t="shared" si="136"/>
        <v>Non-Performing</v>
      </c>
      <c r="T681" t="s">
        <v>16</v>
      </c>
      <c r="U681" s="3">
        <f t="shared" si="137"/>
        <v>3.4354173697828774</v>
      </c>
      <c r="V681" t="str">
        <f t="shared" si="138"/>
        <v>High Stress</v>
      </c>
      <c r="W681" t="str">
        <f t="shared" si="139"/>
        <v>High Risk</v>
      </c>
      <c r="X681" s="5" t="str">
        <f t="shared" si="140"/>
        <v>Medium</v>
      </c>
      <c r="Y681" s="5" t="str">
        <f t="shared" si="141"/>
        <v>Medium</v>
      </c>
      <c r="Z681" s="5" t="str">
        <f>IF(B681=120,"NULL",IF(AND(V681="High Stress", W681="High Risk", Y681="Low"),"High Risk : Reject", IF(AND(V681="Healthy", W681="Good",Y681&lt;&gt;"Low"), "Low Risk : Approve", "Medium Risk : Review")))</f>
        <v>Medium Risk : Review</v>
      </c>
      <c r="AA681" s="5" t="str">
        <f t="shared" si="142"/>
        <v>Low</v>
      </c>
    </row>
    <row r="682" spans="1:27" x14ac:dyDescent="0.2">
      <c r="A682">
        <v>25079</v>
      </c>
      <c r="B682">
        <v>38</v>
      </c>
      <c r="C682">
        <f t="shared" si="130"/>
        <v>38</v>
      </c>
      <c r="D682" t="s">
        <v>26</v>
      </c>
      <c r="E682" t="str">
        <f t="shared" si="131"/>
        <v>Salaried</v>
      </c>
      <c r="F682">
        <v>4746.32</v>
      </c>
      <c r="G682">
        <f>ABS(Table1[[#This Row],[Monthly_Income]])</f>
        <v>4746.32</v>
      </c>
      <c r="H682">
        <v>20119.18</v>
      </c>
      <c r="I682" s="5">
        <f t="shared" si="132"/>
        <v>20119.18</v>
      </c>
      <c r="J682">
        <v>6</v>
      </c>
      <c r="K682">
        <v>24.06</v>
      </c>
      <c r="L682">
        <v>1</v>
      </c>
      <c r="M682">
        <f t="shared" si="133"/>
        <v>1</v>
      </c>
      <c r="N682">
        <v>9.3000000000000007</v>
      </c>
      <c r="O682">
        <f t="shared" si="134"/>
        <v>9.3000000000000007</v>
      </c>
      <c r="Q682" t="str">
        <f t="shared" si="135"/>
        <v>NULL</v>
      </c>
      <c r="R682" t="s">
        <v>20</v>
      </c>
      <c r="S682" t="str">
        <f t="shared" si="136"/>
        <v>Written Off</v>
      </c>
      <c r="T682" t="s">
        <v>19</v>
      </c>
      <c r="U682" s="3">
        <f t="shared" si="137"/>
        <v>0.70648347913049836</v>
      </c>
      <c r="V682" t="str">
        <f t="shared" si="138"/>
        <v>High Stress</v>
      </c>
      <c r="W682" t="str">
        <f t="shared" si="139"/>
        <v>NULL</v>
      </c>
      <c r="X682" s="5" t="str">
        <f t="shared" si="140"/>
        <v>Medium</v>
      </c>
      <c r="Y682" s="5" t="str">
        <f t="shared" si="141"/>
        <v>High</v>
      </c>
      <c r="Z682" s="5" t="str">
        <f>IF(B682=120,"NULL",IF(AND(V682="High Stress", W682="High Risk", Y682="Low"),"High Risk : Reject", IF(AND(V682="Healthy", W682="Good",Y682&lt;&gt;"Low"), "Low Risk : Approve", "Medium Risk : Review")))</f>
        <v>Medium Risk : Review</v>
      </c>
      <c r="AA682" s="5" t="str">
        <f t="shared" si="142"/>
        <v>Medium</v>
      </c>
    </row>
    <row r="683" spans="1:27" x14ac:dyDescent="0.2">
      <c r="A683">
        <v>24941</v>
      </c>
      <c r="B683">
        <v>23</v>
      </c>
      <c r="C683">
        <f t="shared" si="130"/>
        <v>23</v>
      </c>
      <c r="D683" t="s">
        <v>26</v>
      </c>
      <c r="E683" t="str">
        <f t="shared" si="131"/>
        <v>Salaried</v>
      </c>
      <c r="F683">
        <v>7198.46</v>
      </c>
      <c r="G683">
        <f>ABS(Table1[[#This Row],[Monthly_Income]])</f>
        <v>7198.46</v>
      </c>
      <c r="H683">
        <v>20630.810000000001</v>
      </c>
      <c r="I683" s="5">
        <f t="shared" si="132"/>
        <v>20630.810000000001</v>
      </c>
      <c r="J683">
        <v>60</v>
      </c>
      <c r="K683">
        <v>10.57</v>
      </c>
      <c r="L683">
        <v>3</v>
      </c>
      <c r="M683">
        <f t="shared" si="133"/>
        <v>3</v>
      </c>
      <c r="N683">
        <v>8</v>
      </c>
      <c r="O683">
        <f t="shared" si="134"/>
        <v>8</v>
      </c>
      <c r="P683">
        <v>0</v>
      </c>
      <c r="Q683">
        <f t="shared" si="135"/>
        <v>0</v>
      </c>
      <c r="R683" t="s">
        <v>15</v>
      </c>
      <c r="S683" t="str">
        <f t="shared" si="136"/>
        <v xml:space="preserve">Performing </v>
      </c>
      <c r="T683" t="s">
        <v>22</v>
      </c>
      <c r="U683" s="3">
        <f t="shared" si="137"/>
        <v>4.7766721400595874E-2</v>
      </c>
      <c r="V683" t="str">
        <f t="shared" si="138"/>
        <v>Healthy</v>
      </c>
      <c r="W683" t="str">
        <f t="shared" si="139"/>
        <v>Good</v>
      </c>
      <c r="X683" s="5" t="str">
        <f t="shared" si="140"/>
        <v>Medium</v>
      </c>
      <c r="Y683" s="5" t="str">
        <f t="shared" si="141"/>
        <v>High</v>
      </c>
      <c r="Z683" s="5" t="str">
        <f>IF(B683=120,"NULL",IF(AND(V683="High Stress", W683="High Risk", Y683="Low"),"High Risk : Reject", IF(AND(V683="Healthy", W683="Good",Y683&lt;&gt;"Low"), "Low Risk : Approve", "Medium Risk : Review")))</f>
        <v>Low Risk : Approve</v>
      </c>
      <c r="AA683" s="5" t="str">
        <f t="shared" si="142"/>
        <v>Medium</v>
      </c>
    </row>
    <row r="684" spans="1:27" x14ac:dyDescent="0.2">
      <c r="A684">
        <v>23125</v>
      </c>
      <c r="B684">
        <v>21</v>
      </c>
      <c r="C684">
        <f t="shared" si="130"/>
        <v>21</v>
      </c>
      <c r="D684" t="s">
        <v>27</v>
      </c>
      <c r="E684" t="str">
        <f t="shared" si="131"/>
        <v>Unemployed</v>
      </c>
      <c r="F684">
        <v>8010.07</v>
      </c>
      <c r="G684">
        <f>ABS(Table1[[#This Row],[Monthly_Income]])</f>
        <v>8010.07</v>
      </c>
      <c r="H684">
        <v>-747.23</v>
      </c>
      <c r="I684" s="5">
        <f t="shared" si="132"/>
        <v>747.23</v>
      </c>
      <c r="J684">
        <v>24</v>
      </c>
      <c r="K684">
        <v>15.63</v>
      </c>
      <c r="L684">
        <v>3</v>
      </c>
      <c r="M684">
        <f t="shared" si="133"/>
        <v>3</v>
      </c>
      <c r="N684">
        <v>13.7</v>
      </c>
      <c r="O684">
        <f t="shared" si="134"/>
        <v>13.7</v>
      </c>
      <c r="P684">
        <v>0</v>
      </c>
      <c r="Q684">
        <f t="shared" si="135"/>
        <v>0</v>
      </c>
      <c r="R684" t="s">
        <v>13</v>
      </c>
      <c r="S684" t="str">
        <f t="shared" si="136"/>
        <v>Performing</v>
      </c>
      <c r="T684" t="s">
        <v>25</v>
      </c>
      <c r="U684" s="3">
        <f t="shared" si="137"/>
        <v>3.8869302432230101E-3</v>
      </c>
      <c r="V684" t="str">
        <f t="shared" si="138"/>
        <v>Healthy</v>
      </c>
      <c r="W684" t="str">
        <f t="shared" si="139"/>
        <v>Good</v>
      </c>
      <c r="X684" s="5" t="str">
        <f t="shared" si="140"/>
        <v>Small</v>
      </c>
      <c r="Y684" s="5" t="str">
        <f t="shared" si="141"/>
        <v>Low</v>
      </c>
      <c r="Z684" s="5" t="str">
        <f>IF(B684=120,"NULL",IF(AND(V684="High Stress", W684="High Risk", Y684="Low"),"High Risk : Reject", IF(AND(V684="Healthy", W684="Good",Y684&lt;&gt;"Low"), "Low Risk : Approve", "Medium Risk : Review")))</f>
        <v>Medium Risk : Review</v>
      </c>
      <c r="AA684" s="5" t="str">
        <f t="shared" si="142"/>
        <v>High</v>
      </c>
    </row>
    <row r="685" spans="1:27" x14ac:dyDescent="0.2">
      <c r="A685">
        <v>21736</v>
      </c>
      <c r="B685">
        <v>26</v>
      </c>
      <c r="C685">
        <f t="shared" si="130"/>
        <v>26</v>
      </c>
      <c r="D685" t="s">
        <v>17</v>
      </c>
      <c r="E685" t="str">
        <f t="shared" si="131"/>
        <v>Contract</v>
      </c>
      <c r="F685">
        <v>3542.04</v>
      </c>
      <c r="G685">
        <f>ABS(Table1[[#This Row],[Monthly_Income]])</f>
        <v>3542.04</v>
      </c>
      <c r="H685">
        <v>25809.35</v>
      </c>
      <c r="I685" s="5">
        <f t="shared" si="132"/>
        <v>25809.35</v>
      </c>
      <c r="J685">
        <v>6</v>
      </c>
      <c r="K685">
        <v>26.62</v>
      </c>
      <c r="L685">
        <v>2</v>
      </c>
      <c r="M685">
        <f t="shared" si="133"/>
        <v>2</v>
      </c>
      <c r="N685">
        <v>2</v>
      </c>
      <c r="O685">
        <f t="shared" si="134"/>
        <v>2</v>
      </c>
      <c r="P685">
        <v>30</v>
      </c>
      <c r="Q685">
        <f t="shared" si="135"/>
        <v>30</v>
      </c>
      <c r="R685" t="s">
        <v>13</v>
      </c>
      <c r="S685" t="str">
        <f t="shared" si="136"/>
        <v>Performing</v>
      </c>
      <c r="T685" t="s">
        <v>14</v>
      </c>
      <c r="U685" s="3">
        <f t="shared" si="137"/>
        <v>1.2144296318882151</v>
      </c>
      <c r="V685" t="str">
        <f t="shared" si="138"/>
        <v>High Stress</v>
      </c>
      <c r="W685" t="str">
        <f t="shared" si="139"/>
        <v>At Risk</v>
      </c>
      <c r="X685" s="5" t="str">
        <f t="shared" si="140"/>
        <v>Medium</v>
      </c>
      <c r="Y685" s="5" t="str">
        <f t="shared" si="141"/>
        <v>Low</v>
      </c>
      <c r="Z685" s="5" t="str">
        <f>IF(B685=120,"NULL",IF(AND(V685="High Stress", W685="High Risk", Y685="Low"),"High Risk : Reject", IF(AND(V685="Healthy", W685="Good",Y685&lt;&gt;"Low"), "Low Risk : Approve", "Medium Risk : Review")))</f>
        <v>Medium Risk : Review</v>
      </c>
      <c r="AA685" s="5" t="str">
        <f t="shared" si="142"/>
        <v>Medium</v>
      </c>
    </row>
    <row r="686" spans="1:27" x14ac:dyDescent="0.2">
      <c r="A686">
        <v>22525</v>
      </c>
      <c r="B686">
        <v>30</v>
      </c>
      <c r="C686">
        <f t="shared" si="130"/>
        <v>30</v>
      </c>
      <c r="D686" t="s">
        <v>26</v>
      </c>
      <c r="E686" t="str">
        <f t="shared" si="131"/>
        <v>Salaried</v>
      </c>
      <c r="F686">
        <v>3573.06</v>
      </c>
      <c r="G686">
        <f>ABS(Table1[[#This Row],[Monthly_Income]])</f>
        <v>3573.06</v>
      </c>
      <c r="H686">
        <v>21880.93</v>
      </c>
      <c r="I686" s="5">
        <f t="shared" si="132"/>
        <v>21880.93</v>
      </c>
      <c r="J686">
        <v>36</v>
      </c>
      <c r="K686">
        <v>22.82</v>
      </c>
      <c r="L686">
        <v>0</v>
      </c>
      <c r="M686">
        <f t="shared" si="133"/>
        <v>0</v>
      </c>
      <c r="N686">
        <v>9.4</v>
      </c>
      <c r="O686">
        <f t="shared" si="134"/>
        <v>9.4</v>
      </c>
      <c r="P686">
        <v>15</v>
      </c>
      <c r="Q686">
        <f t="shared" si="135"/>
        <v>15</v>
      </c>
      <c r="R686" t="s">
        <v>15</v>
      </c>
      <c r="S686" t="str">
        <f t="shared" si="136"/>
        <v xml:space="preserve">Performing </v>
      </c>
      <c r="T686" t="s">
        <v>14</v>
      </c>
      <c r="U686" s="3">
        <f t="shared" si="137"/>
        <v>0.17010730609368752</v>
      </c>
      <c r="V686" t="str">
        <f t="shared" si="138"/>
        <v>Healthy</v>
      </c>
      <c r="W686" t="str">
        <f t="shared" si="139"/>
        <v>Good</v>
      </c>
      <c r="X686" s="5" t="str">
        <f t="shared" si="140"/>
        <v>Medium</v>
      </c>
      <c r="Y686" s="5" t="str">
        <f t="shared" si="141"/>
        <v>High</v>
      </c>
      <c r="Z686" s="5" t="str">
        <f>IF(B686=120,"NULL",IF(AND(V686="High Stress", W686="High Risk", Y686="Low"),"High Risk : Reject", IF(AND(V686="Healthy", W686="Good",Y686&lt;&gt;"Low"), "Low Risk : Approve", "Medium Risk : Review")))</f>
        <v>Low Risk : Approve</v>
      </c>
      <c r="AA686" s="5" t="str">
        <f t="shared" si="142"/>
        <v>Medium</v>
      </c>
    </row>
    <row r="687" spans="1:27" x14ac:dyDescent="0.2">
      <c r="A687">
        <v>25734</v>
      </c>
      <c r="B687">
        <v>57</v>
      </c>
      <c r="C687">
        <f t="shared" si="130"/>
        <v>57</v>
      </c>
      <c r="D687" t="s">
        <v>23</v>
      </c>
      <c r="E687" t="str">
        <f t="shared" si="131"/>
        <v>Self-Employed</v>
      </c>
      <c r="F687">
        <v>4369.55</v>
      </c>
      <c r="G687">
        <f>ABS(Table1[[#This Row],[Monthly_Income]])</f>
        <v>4369.55</v>
      </c>
      <c r="H687">
        <v>34421.589999999997</v>
      </c>
      <c r="I687" s="5">
        <f t="shared" si="132"/>
        <v>34421.589999999997</v>
      </c>
      <c r="J687">
        <v>18</v>
      </c>
      <c r="K687">
        <v>13.39</v>
      </c>
      <c r="L687">
        <v>4</v>
      </c>
      <c r="M687">
        <f t="shared" si="133"/>
        <v>4</v>
      </c>
      <c r="N687">
        <v>3.9</v>
      </c>
      <c r="O687">
        <f t="shared" si="134"/>
        <v>3.9</v>
      </c>
      <c r="P687">
        <v>0</v>
      </c>
      <c r="Q687">
        <f t="shared" si="135"/>
        <v>0</v>
      </c>
      <c r="R687" t="s">
        <v>24</v>
      </c>
      <c r="S687" t="str">
        <f t="shared" si="136"/>
        <v>Non-Performing</v>
      </c>
      <c r="T687" t="s">
        <v>25</v>
      </c>
      <c r="U687" s="3">
        <f t="shared" si="137"/>
        <v>0.43764473585507779</v>
      </c>
      <c r="V687" t="str">
        <f t="shared" si="138"/>
        <v>Stretched</v>
      </c>
      <c r="W687" t="str">
        <f t="shared" si="139"/>
        <v>Good</v>
      </c>
      <c r="X687" s="5" t="str">
        <f t="shared" si="140"/>
        <v>High</v>
      </c>
      <c r="Y687" s="5" t="str">
        <f t="shared" si="141"/>
        <v>Medium</v>
      </c>
      <c r="Z687" s="5" t="str">
        <f>IF(B687=120,"NULL",IF(AND(V687="High Stress", W687="High Risk", Y687="Low"),"High Risk : Reject", IF(AND(V687="Healthy", W687="Good",Y687&lt;&gt;"Low"), "Low Risk : Approve", "Medium Risk : Review")))</f>
        <v>Medium Risk : Review</v>
      </c>
      <c r="AA687" s="5" t="str">
        <f t="shared" si="142"/>
        <v>Medium</v>
      </c>
    </row>
    <row r="688" spans="1:27" x14ac:dyDescent="0.2">
      <c r="A688">
        <v>25704</v>
      </c>
      <c r="B688">
        <v>36</v>
      </c>
      <c r="C688">
        <f t="shared" si="130"/>
        <v>36</v>
      </c>
      <c r="D688" t="s">
        <v>26</v>
      </c>
      <c r="E688" t="str">
        <f t="shared" si="131"/>
        <v>Salaried</v>
      </c>
      <c r="F688">
        <v>944.23</v>
      </c>
      <c r="G688">
        <f>ABS(Table1[[#This Row],[Monthly_Income]])</f>
        <v>944.23</v>
      </c>
      <c r="H688">
        <v>16500.580000000002</v>
      </c>
      <c r="I688" s="5">
        <f t="shared" si="132"/>
        <v>16500.580000000002</v>
      </c>
      <c r="J688">
        <v>48</v>
      </c>
      <c r="K688">
        <v>23.7</v>
      </c>
      <c r="L688">
        <v>1</v>
      </c>
      <c r="M688">
        <f t="shared" si="133"/>
        <v>1</v>
      </c>
      <c r="N688">
        <v>6.2</v>
      </c>
      <c r="O688">
        <f t="shared" si="134"/>
        <v>6.2</v>
      </c>
      <c r="P688">
        <v>15</v>
      </c>
      <c r="Q688">
        <f t="shared" si="135"/>
        <v>15</v>
      </c>
      <c r="R688" t="s">
        <v>20</v>
      </c>
      <c r="S688" t="str">
        <f t="shared" si="136"/>
        <v>Written Off</v>
      </c>
      <c r="T688" t="s">
        <v>16</v>
      </c>
      <c r="U688" s="3">
        <f t="shared" si="137"/>
        <v>0.3640660467612058</v>
      </c>
      <c r="V688" t="str">
        <f t="shared" si="138"/>
        <v>Stretched</v>
      </c>
      <c r="W688" t="str">
        <f t="shared" si="139"/>
        <v>Good</v>
      </c>
      <c r="X688" s="5" t="str">
        <f t="shared" si="140"/>
        <v>Medium</v>
      </c>
      <c r="Y688" s="5" t="str">
        <f t="shared" si="141"/>
        <v>High</v>
      </c>
      <c r="Z688" s="5" t="str">
        <f>IF(B688=120,"NULL",IF(AND(V688="High Stress", W688="High Risk", Y688="Low"),"High Risk : Reject", IF(AND(V688="Healthy", W688="Good",Y688&lt;&gt;"Low"), "Low Risk : Approve", "Medium Risk : Review")))</f>
        <v>Medium Risk : Review</v>
      </c>
      <c r="AA688" s="5" t="str">
        <f t="shared" si="142"/>
        <v>Low</v>
      </c>
    </row>
    <row r="689" spans="1:27" x14ac:dyDescent="0.2">
      <c r="A689">
        <v>25309</v>
      </c>
      <c r="B689">
        <v>54</v>
      </c>
      <c r="C689">
        <f t="shared" si="130"/>
        <v>54</v>
      </c>
      <c r="D689" t="s">
        <v>26</v>
      </c>
      <c r="E689" t="str">
        <f t="shared" si="131"/>
        <v>Salaried</v>
      </c>
      <c r="F689">
        <v>5097.2</v>
      </c>
      <c r="G689">
        <f>ABS(Table1[[#This Row],[Monthly_Income]])</f>
        <v>5097.2</v>
      </c>
      <c r="H689">
        <v>26973.89</v>
      </c>
      <c r="I689" s="5">
        <f t="shared" si="132"/>
        <v>26973.89</v>
      </c>
      <c r="J689">
        <v>6</v>
      </c>
      <c r="K689">
        <v>18.21</v>
      </c>
      <c r="L689">
        <v>0</v>
      </c>
      <c r="M689">
        <f t="shared" si="133"/>
        <v>0</v>
      </c>
      <c r="N689">
        <v>9.4</v>
      </c>
      <c r="O689">
        <f t="shared" si="134"/>
        <v>9.4</v>
      </c>
      <c r="P689">
        <v>30</v>
      </c>
      <c r="Q689">
        <f t="shared" si="135"/>
        <v>30</v>
      </c>
      <c r="R689" t="s">
        <v>13</v>
      </c>
      <c r="S689" t="str">
        <f t="shared" si="136"/>
        <v>Performing</v>
      </c>
      <c r="T689" t="s">
        <v>22</v>
      </c>
      <c r="U689" s="3">
        <f t="shared" si="137"/>
        <v>0.88198389965732826</v>
      </c>
      <c r="V689" t="str">
        <f t="shared" si="138"/>
        <v>High Stress</v>
      </c>
      <c r="W689" t="str">
        <f t="shared" si="139"/>
        <v>At Risk</v>
      </c>
      <c r="X689" s="5" t="str">
        <f t="shared" si="140"/>
        <v>Medium</v>
      </c>
      <c r="Y689" s="5" t="str">
        <f t="shared" si="141"/>
        <v>High</v>
      </c>
      <c r="Z689" s="5" t="str">
        <f>IF(B689=120,"NULL",IF(AND(V689="High Stress", W689="High Risk", Y689="Low"),"High Risk : Reject", IF(AND(V689="Healthy", W689="Good",Y689&lt;&gt;"Low"), "Low Risk : Approve", "Medium Risk : Review")))</f>
        <v>Medium Risk : Review</v>
      </c>
      <c r="AA689" s="5" t="str">
        <f t="shared" si="142"/>
        <v>Medium</v>
      </c>
    </row>
    <row r="690" spans="1:27" x14ac:dyDescent="0.2">
      <c r="A690">
        <v>22794</v>
      </c>
      <c r="B690">
        <v>75</v>
      </c>
      <c r="C690">
        <f t="shared" si="130"/>
        <v>75</v>
      </c>
      <c r="D690" t="s">
        <v>23</v>
      </c>
      <c r="E690" t="str">
        <f t="shared" si="131"/>
        <v>Self-Employed</v>
      </c>
      <c r="F690">
        <v>4286.24</v>
      </c>
      <c r="G690">
        <f>ABS(Table1[[#This Row],[Monthly_Income]])</f>
        <v>4286.24</v>
      </c>
      <c r="H690">
        <v>33263.21</v>
      </c>
      <c r="I690" s="5">
        <f t="shared" si="132"/>
        <v>33263.21</v>
      </c>
      <c r="J690">
        <v>24</v>
      </c>
      <c r="K690">
        <v>21.34</v>
      </c>
      <c r="L690">
        <v>1</v>
      </c>
      <c r="M690">
        <f t="shared" si="133"/>
        <v>1</v>
      </c>
      <c r="N690">
        <v>0.2</v>
      </c>
      <c r="O690">
        <f t="shared" si="134"/>
        <v>0.2</v>
      </c>
      <c r="Q690" t="str">
        <f t="shared" si="135"/>
        <v>NULL</v>
      </c>
      <c r="R690" t="s">
        <v>15</v>
      </c>
      <c r="S690" t="str">
        <f t="shared" si="136"/>
        <v xml:space="preserve">Performing </v>
      </c>
      <c r="T690" t="s">
        <v>14</v>
      </c>
      <c r="U690" s="3">
        <f t="shared" si="137"/>
        <v>0.32335265485211595</v>
      </c>
      <c r="V690" t="str">
        <f t="shared" si="138"/>
        <v>Stretched</v>
      </c>
      <c r="W690" t="str">
        <f t="shared" si="139"/>
        <v>NULL</v>
      </c>
      <c r="X690" s="5" t="str">
        <f t="shared" si="140"/>
        <v>High</v>
      </c>
      <c r="Y690" s="5" t="str">
        <f t="shared" si="141"/>
        <v>Medium</v>
      </c>
      <c r="Z690" s="5" t="str">
        <f>IF(B690=120,"NULL",IF(AND(V690="High Stress", W690="High Risk", Y690="Low"),"High Risk : Reject", IF(AND(V690="Healthy", W690="Good",Y690&lt;&gt;"Low"), "Low Risk : Approve", "Medium Risk : Review")))</f>
        <v>Medium Risk : Review</v>
      </c>
      <c r="AA690" s="5" t="str">
        <f t="shared" si="142"/>
        <v>Medium</v>
      </c>
    </row>
    <row r="691" spans="1:27" x14ac:dyDescent="0.2">
      <c r="A691">
        <v>22340</v>
      </c>
      <c r="B691">
        <v>120</v>
      </c>
      <c r="C691" t="str">
        <f t="shared" si="130"/>
        <v>NULL</v>
      </c>
      <c r="D691" t="s">
        <v>21</v>
      </c>
      <c r="E691" t="str">
        <f t="shared" si="131"/>
        <v>Salaried</v>
      </c>
      <c r="F691">
        <v>4385.8100000000004</v>
      </c>
      <c r="G691">
        <f>ABS(Table1[[#This Row],[Monthly_Income]])</f>
        <v>4385.8100000000004</v>
      </c>
      <c r="H691">
        <v>16187.89</v>
      </c>
      <c r="I691" s="5">
        <f t="shared" si="132"/>
        <v>16187.89</v>
      </c>
      <c r="J691">
        <v>60</v>
      </c>
      <c r="K691">
        <v>15.77</v>
      </c>
      <c r="L691">
        <v>4</v>
      </c>
      <c r="M691">
        <f t="shared" si="133"/>
        <v>4</v>
      </c>
      <c r="N691">
        <v>14.2</v>
      </c>
      <c r="O691">
        <f t="shared" si="134"/>
        <v>14.2</v>
      </c>
      <c r="P691">
        <v>0</v>
      </c>
      <c r="Q691">
        <f t="shared" si="135"/>
        <v>0</v>
      </c>
      <c r="R691" t="s">
        <v>13</v>
      </c>
      <c r="S691" t="str">
        <f t="shared" si="136"/>
        <v>Performing</v>
      </c>
      <c r="T691" t="s">
        <v>16</v>
      </c>
      <c r="U691" s="3">
        <f t="shared" si="137"/>
        <v>6.1516154750585778E-2</v>
      </c>
      <c r="V691" t="str">
        <f t="shared" si="138"/>
        <v>Healthy</v>
      </c>
      <c r="W691" t="str">
        <f t="shared" si="139"/>
        <v>Good</v>
      </c>
      <c r="X691" s="5" t="str">
        <f t="shared" si="140"/>
        <v>Medium</v>
      </c>
      <c r="Y691" s="5" t="str">
        <f t="shared" si="141"/>
        <v>High</v>
      </c>
      <c r="Z691" s="5" t="str">
        <f>IF(B691=120,"NULL",IF(AND(V691="High Stress", W691="High Risk", Y691="Low"),"High Risk : Reject", IF(AND(V691="Healthy", W691="Good",Y691&lt;&gt;"Low"), "Low Risk : Approve", "Medium Risk : Review")))</f>
        <v>NULL</v>
      </c>
      <c r="AA691" s="5" t="str">
        <f t="shared" si="142"/>
        <v>Medium</v>
      </c>
    </row>
    <row r="692" spans="1:27" x14ac:dyDescent="0.2">
      <c r="A692">
        <v>23242</v>
      </c>
      <c r="B692">
        <v>18</v>
      </c>
      <c r="C692">
        <f t="shared" si="130"/>
        <v>18</v>
      </c>
      <c r="D692" t="s">
        <v>26</v>
      </c>
      <c r="E692" t="str">
        <f t="shared" si="131"/>
        <v>Salaried</v>
      </c>
      <c r="F692">
        <v>1655.64</v>
      </c>
      <c r="G692">
        <f>ABS(Table1[[#This Row],[Monthly_Income]])</f>
        <v>1655.64</v>
      </c>
      <c r="H692">
        <v>20562.47</v>
      </c>
      <c r="I692" s="5">
        <f t="shared" si="132"/>
        <v>20562.47</v>
      </c>
      <c r="J692">
        <v>12</v>
      </c>
      <c r="K692">
        <v>20.22</v>
      </c>
      <c r="L692">
        <v>3</v>
      </c>
      <c r="M692">
        <f t="shared" si="133"/>
        <v>3</v>
      </c>
      <c r="N692">
        <v>7.5</v>
      </c>
      <c r="O692">
        <f t="shared" si="134"/>
        <v>7.5</v>
      </c>
      <c r="Q692" t="str">
        <f t="shared" si="135"/>
        <v>NULL</v>
      </c>
      <c r="R692" t="s">
        <v>15</v>
      </c>
      <c r="S692" t="str">
        <f t="shared" si="136"/>
        <v xml:space="preserve">Performing </v>
      </c>
      <c r="T692" t="s">
        <v>16</v>
      </c>
      <c r="U692" s="3">
        <f t="shared" si="137"/>
        <v>1.0349708672577775</v>
      </c>
      <c r="V692" t="str">
        <f t="shared" si="138"/>
        <v>High Stress</v>
      </c>
      <c r="W692" t="str">
        <f t="shared" si="139"/>
        <v>NULL</v>
      </c>
      <c r="X692" s="5" t="str">
        <f t="shared" si="140"/>
        <v>Medium</v>
      </c>
      <c r="Y692" s="5" t="str">
        <f t="shared" si="141"/>
        <v>High</v>
      </c>
      <c r="Z692" s="5" t="str">
        <f>IF(B692=120,"NULL",IF(AND(V692="High Stress", W692="High Risk", Y692="Low"),"High Risk : Reject", IF(AND(V692="Healthy", W692="Good",Y692&lt;&gt;"Low"), "Low Risk : Approve", "Medium Risk : Review")))</f>
        <v>Medium Risk : Review</v>
      </c>
      <c r="AA692" s="5" t="str">
        <f t="shared" si="142"/>
        <v>Low</v>
      </c>
    </row>
    <row r="693" spans="1:27" x14ac:dyDescent="0.2">
      <c r="A693">
        <v>20725</v>
      </c>
      <c r="B693">
        <v>18</v>
      </c>
      <c r="C693">
        <f t="shared" si="130"/>
        <v>18</v>
      </c>
      <c r="D693" t="s">
        <v>23</v>
      </c>
      <c r="E693" t="str">
        <f t="shared" si="131"/>
        <v>Self-Employed</v>
      </c>
      <c r="F693">
        <v>4708.43</v>
      </c>
      <c r="G693">
        <f>ABS(Table1[[#This Row],[Monthly_Income]])</f>
        <v>4708.43</v>
      </c>
      <c r="H693">
        <v>18480.919999999998</v>
      </c>
      <c r="I693" s="5">
        <f t="shared" si="132"/>
        <v>18480.919999999998</v>
      </c>
      <c r="J693">
        <v>24</v>
      </c>
      <c r="K693">
        <v>6.84</v>
      </c>
      <c r="L693">
        <v>0</v>
      </c>
      <c r="M693">
        <f t="shared" si="133"/>
        <v>0</v>
      </c>
      <c r="N693">
        <v>9.1999999999999993</v>
      </c>
      <c r="O693">
        <f t="shared" si="134"/>
        <v>9.1999999999999993</v>
      </c>
      <c r="Q693" t="str">
        <f t="shared" si="135"/>
        <v>NULL</v>
      </c>
      <c r="R693" t="s">
        <v>18</v>
      </c>
      <c r="S693" t="str">
        <f t="shared" si="136"/>
        <v>Non-Performing</v>
      </c>
      <c r="T693" t="s">
        <v>14</v>
      </c>
      <c r="U693" s="3">
        <f t="shared" si="137"/>
        <v>0.1635446068717881</v>
      </c>
      <c r="V693" t="str">
        <f t="shared" si="138"/>
        <v>Healthy</v>
      </c>
      <c r="W693" t="str">
        <f t="shared" si="139"/>
        <v>NULL</v>
      </c>
      <c r="X693" s="5" t="str">
        <f t="shared" si="140"/>
        <v>Medium</v>
      </c>
      <c r="Y693" s="5" t="str">
        <f t="shared" si="141"/>
        <v>Medium</v>
      </c>
      <c r="Z693" s="5" t="str">
        <f>IF(B693=120,"NULL",IF(AND(V693="High Stress", W693="High Risk", Y693="Low"),"High Risk : Reject", IF(AND(V693="Healthy", W693="Good",Y693&lt;&gt;"Low"), "Low Risk : Approve", "Medium Risk : Review")))</f>
        <v>Medium Risk : Review</v>
      </c>
      <c r="AA693" s="5" t="str">
        <f t="shared" si="142"/>
        <v>Medium</v>
      </c>
    </row>
    <row r="694" spans="1:27" x14ac:dyDescent="0.2">
      <c r="A694">
        <v>24027</v>
      </c>
      <c r="B694">
        <v>36</v>
      </c>
      <c r="C694">
        <f t="shared" si="130"/>
        <v>36</v>
      </c>
      <c r="D694" t="s">
        <v>26</v>
      </c>
      <c r="E694" t="str">
        <f t="shared" si="131"/>
        <v>Salaried</v>
      </c>
      <c r="F694">
        <v>3400.7</v>
      </c>
      <c r="G694">
        <f>ABS(Table1[[#This Row],[Monthly_Income]])</f>
        <v>3400.7</v>
      </c>
      <c r="H694">
        <v>6670.62</v>
      </c>
      <c r="I694" s="5">
        <f t="shared" si="132"/>
        <v>6670.62</v>
      </c>
      <c r="J694">
        <v>18</v>
      </c>
      <c r="K694">
        <v>13.98</v>
      </c>
      <c r="L694">
        <v>4</v>
      </c>
      <c r="M694">
        <f t="shared" si="133"/>
        <v>4</v>
      </c>
      <c r="N694">
        <v>0.1</v>
      </c>
      <c r="O694">
        <f t="shared" si="134"/>
        <v>0.1</v>
      </c>
      <c r="Q694" t="str">
        <f t="shared" si="135"/>
        <v>NULL</v>
      </c>
      <c r="R694" t="s">
        <v>20</v>
      </c>
      <c r="S694" t="str">
        <f t="shared" si="136"/>
        <v>Written Off</v>
      </c>
      <c r="T694" t="s">
        <v>25</v>
      </c>
      <c r="U694" s="3">
        <f t="shared" si="137"/>
        <v>0.1089746228717617</v>
      </c>
      <c r="V694" t="str">
        <f t="shared" si="138"/>
        <v>Healthy</v>
      </c>
      <c r="W694" t="str">
        <f t="shared" si="139"/>
        <v>NULL</v>
      </c>
      <c r="X694" s="5" t="str">
        <f t="shared" si="140"/>
        <v>Small</v>
      </c>
      <c r="Y694" s="5" t="str">
        <f t="shared" si="141"/>
        <v>High</v>
      </c>
      <c r="Z694" s="5" t="str">
        <f>IF(B694=120,"NULL",IF(AND(V694="High Stress", W694="High Risk", Y694="Low"),"High Risk : Reject", IF(AND(V694="Healthy", W694="Good",Y694&lt;&gt;"Low"), "Low Risk : Approve", "Medium Risk : Review")))</f>
        <v>Medium Risk : Review</v>
      </c>
      <c r="AA694" s="5" t="str">
        <f t="shared" si="142"/>
        <v>Medium</v>
      </c>
    </row>
    <row r="695" spans="1:27" x14ac:dyDescent="0.2">
      <c r="A695">
        <v>25940</v>
      </c>
      <c r="B695">
        <v>39</v>
      </c>
      <c r="C695">
        <f t="shared" si="130"/>
        <v>39</v>
      </c>
      <c r="D695" t="s">
        <v>17</v>
      </c>
      <c r="E695" t="str">
        <f t="shared" si="131"/>
        <v>Contract</v>
      </c>
      <c r="F695">
        <v>6383.46</v>
      </c>
      <c r="G695">
        <f>ABS(Table1[[#This Row],[Monthly_Income]])</f>
        <v>6383.46</v>
      </c>
      <c r="H695">
        <v>12307.91</v>
      </c>
      <c r="I695" s="5">
        <f t="shared" si="132"/>
        <v>12307.91</v>
      </c>
      <c r="J695">
        <v>18</v>
      </c>
      <c r="K695">
        <v>22.29</v>
      </c>
      <c r="L695">
        <v>2</v>
      </c>
      <c r="M695">
        <f t="shared" si="133"/>
        <v>2</v>
      </c>
      <c r="N695">
        <v>7.2</v>
      </c>
      <c r="O695">
        <f t="shared" si="134"/>
        <v>7.2</v>
      </c>
      <c r="P695">
        <v>0</v>
      </c>
      <c r="Q695">
        <f t="shared" si="135"/>
        <v>0</v>
      </c>
      <c r="R695" t="s">
        <v>18</v>
      </c>
      <c r="S695" t="str">
        <f t="shared" si="136"/>
        <v>Non-Performing</v>
      </c>
      <c r="T695" t="s">
        <v>19</v>
      </c>
      <c r="U695" s="3">
        <f t="shared" si="137"/>
        <v>0.10711632528092567</v>
      </c>
      <c r="V695" t="str">
        <f t="shared" si="138"/>
        <v>Healthy</v>
      </c>
      <c r="W695" t="str">
        <f t="shared" si="139"/>
        <v>Good</v>
      </c>
      <c r="X695" s="5" t="str">
        <f t="shared" si="140"/>
        <v>Medium</v>
      </c>
      <c r="Y695" s="5" t="str">
        <f t="shared" si="141"/>
        <v>Low</v>
      </c>
      <c r="Z695" s="5" t="str">
        <f>IF(B695=120,"NULL",IF(AND(V695="High Stress", W695="High Risk", Y695="Low"),"High Risk : Reject", IF(AND(V695="Healthy", W695="Good",Y695&lt;&gt;"Low"), "Low Risk : Approve", "Medium Risk : Review")))</f>
        <v>Medium Risk : Review</v>
      </c>
      <c r="AA695" s="5" t="str">
        <f t="shared" si="142"/>
        <v>Medium</v>
      </c>
    </row>
    <row r="696" spans="1:27" x14ac:dyDescent="0.2">
      <c r="A696">
        <v>25382</v>
      </c>
      <c r="B696">
        <v>21</v>
      </c>
      <c r="C696">
        <f t="shared" si="130"/>
        <v>21</v>
      </c>
      <c r="D696" t="s">
        <v>21</v>
      </c>
      <c r="E696" t="str">
        <f t="shared" si="131"/>
        <v>Salaried</v>
      </c>
      <c r="F696">
        <v>6200.98</v>
      </c>
      <c r="G696">
        <f>ABS(Table1[[#This Row],[Monthly_Income]])</f>
        <v>6200.98</v>
      </c>
      <c r="H696">
        <v>28074.6</v>
      </c>
      <c r="I696" s="5">
        <f t="shared" si="132"/>
        <v>28074.6</v>
      </c>
      <c r="J696">
        <v>36</v>
      </c>
      <c r="K696">
        <v>17.600000000000001</v>
      </c>
      <c r="L696">
        <v>2</v>
      </c>
      <c r="M696">
        <f t="shared" si="133"/>
        <v>2</v>
      </c>
      <c r="N696">
        <v>11</v>
      </c>
      <c r="O696">
        <f t="shared" si="134"/>
        <v>11</v>
      </c>
      <c r="P696">
        <v>0</v>
      </c>
      <c r="Q696">
        <f t="shared" si="135"/>
        <v>0</v>
      </c>
      <c r="R696" t="s">
        <v>20</v>
      </c>
      <c r="S696" t="str">
        <f t="shared" si="136"/>
        <v>Written Off</v>
      </c>
      <c r="T696" t="s">
        <v>16</v>
      </c>
      <c r="U696" s="3">
        <f t="shared" si="137"/>
        <v>0.12576237949485405</v>
      </c>
      <c r="V696" t="str">
        <f t="shared" si="138"/>
        <v>Healthy</v>
      </c>
      <c r="W696" t="str">
        <f t="shared" si="139"/>
        <v>Good</v>
      </c>
      <c r="X696" s="5" t="str">
        <f t="shared" si="140"/>
        <v>Medium</v>
      </c>
      <c r="Y696" s="5" t="str">
        <f t="shared" si="141"/>
        <v>High</v>
      </c>
      <c r="Z696" s="5" t="str">
        <f>IF(B696=120,"NULL",IF(AND(V696="High Stress", W696="High Risk", Y696="Low"),"High Risk : Reject", IF(AND(V696="Healthy", W696="Good",Y696&lt;&gt;"Low"), "Low Risk : Approve", "Medium Risk : Review")))</f>
        <v>Low Risk : Approve</v>
      </c>
      <c r="AA696" s="5" t="str">
        <f t="shared" si="142"/>
        <v>Medium</v>
      </c>
    </row>
    <row r="697" spans="1:27" x14ac:dyDescent="0.2">
      <c r="A697">
        <v>23965</v>
      </c>
      <c r="B697">
        <v>28</v>
      </c>
      <c r="C697">
        <f t="shared" si="130"/>
        <v>28</v>
      </c>
      <c r="D697" t="s">
        <v>17</v>
      </c>
      <c r="E697" t="str">
        <f t="shared" si="131"/>
        <v>Contract</v>
      </c>
      <c r="F697">
        <v>3330.99</v>
      </c>
      <c r="G697">
        <f>ABS(Table1[[#This Row],[Monthly_Income]])</f>
        <v>3330.99</v>
      </c>
      <c r="H697">
        <v>33795.68</v>
      </c>
      <c r="I697" s="5">
        <f t="shared" si="132"/>
        <v>33795.68</v>
      </c>
      <c r="J697">
        <v>48</v>
      </c>
      <c r="K697">
        <v>16.63</v>
      </c>
      <c r="L697">
        <v>2</v>
      </c>
      <c r="M697">
        <f t="shared" si="133"/>
        <v>2</v>
      </c>
      <c r="N697">
        <v>11.4</v>
      </c>
      <c r="O697">
        <f t="shared" si="134"/>
        <v>11.4</v>
      </c>
      <c r="P697">
        <v>120</v>
      </c>
      <c r="Q697">
        <f t="shared" si="135"/>
        <v>120</v>
      </c>
      <c r="R697" t="s">
        <v>20</v>
      </c>
      <c r="S697" t="str">
        <f t="shared" si="136"/>
        <v>Written Off</v>
      </c>
      <c r="T697" t="s">
        <v>14</v>
      </c>
      <c r="U697" s="3">
        <f t="shared" si="137"/>
        <v>0.21137159423074423</v>
      </c>
      <c r="V697" t="str">
        <f t="shared" si="138"/>
        <v>Healthy</v>
      </c>
      <c r="W697" t="str">
        <f t="shared" si="139"/>
        <v>High Risk</v>
      </c>
      <c r="X697" s="5" t="str">
        <f t="shared" si="140"/>
        <v>High</v>
      </c>
      <c r="Y697" s="5" t="str">
        <f t="shared" si="141"/>
        <v>Low</v>
      </c>
      <c r="Z697" s="5" t="str">
        <f>IF(B697=120,"NULL",IF(AND(V697="High Stress", W697="High Risk", Y697="Low"),"High Risk : Reject", IF(AND(V697="Healthy", W697="Good",Y697&lt;&gt;"Low"), "Low Risk : Approve", "Medium Risk : Review")))</f>
        <v>Medium Risk : Review</v>
      </c>
      <c r="AA697" s="5" t="str">
        <f t="shared" si="142"/>
        <v>Medium</v>
      </c>
    </row>
    <row r="698" spans="1:27" x14ac:dyDescent="0.2">
      <c r="A698">
        <v>22816</v>
      </c>
      <c r="B698">
        <v>36</v>
      </c>
      <c r="C698">
        <f t="shared" si="130"/>
        <v>36</v>
      </c>
      <c r="D698" t="s">
        <v>27</v>
      </c>
      <c r="E698" t="str">
        <f t="shared" si="131"/>
        <v>Unemployed</v>
      </c>
      <c r="F698">
        <v>5688</v>
      </c>
      <c r="G698">
        <f>ABS(Table1[[#This Row],[Monthly_Income]])</f>
        <v>5688</v>
      </c>
      <c r="H698">
        <v>16253.4</v>
      </c>
      <c r="I698" s="5">
        <f t="shared" si="132"/>
        <v>16253.4</v>
      </c>
      <c r="J698">
        <v>60</v>
      </c>
      <c r="K698">
        <v>10.76</v>
      </c>
      <c r="M698" t="str">
        <f t="shared" si="133"/>
        <v>NULL</v>
      </c>
      <c r="N698">
        <v>7</v>
      </c>
      <c r="O698">
        <f t="shared" si="134"/>
        <v>7</v>
      </c>
      <c r="Q698" t="str">
        <f t="shared" si="135"/>
        <v>NULL</v>
      </c>
      <c r="R698" t="s">
        <v>24</v>
      </c>
      <c r="S698" t="str">
        <f t="shared" si="136"/>
        <v>Non-Performing</v>
      </c>
      <c r="T698" t="s">
        <v>14</v>
      </c>
      <c r="U698" s="3">
        <f t="shared" si="137"/>
        <v>4.7624824191279884E-2</v>
      </c>
      <c r="V698" t="str">
        <f t="shared" si="138"/>
        <v>Healthy</v>
      </c>
      <c r="W698" t="str">
        <f t="shared" si="139"/>
        <v>NULL</v>
      </c>
      <c r="X698" s="5" t="str">
        <f t="shared" si="140"/>
        <v>Medium</v>
      </c>
      <c r="Y698" s="5" t="str">
        <f t="shared" si="141"/>
        <v>Low</v>
      </c>
      <c r="Z698" s="5" t="str">
        <f>IF(B698=120,"NULL",IF(AND(V698="High Stress", W698="High Risk", Y698="Low"),"High Risk : Reject", IF(AND(V698="Healthy", W698="Good",Y698&lt;&gt;"Low"), "Low Risk : Approve", "Medium Risk : Review")))</f>
        <v>Medium Risk : Review</v>
      </c>
      <c r="AA698" s="5" t="str">
        <f t="shared" si="142"/>
        <v>Medium</v>
      </c>
    </row>
    <row r="699" spans="1:27" x14ac:dyDescent="0.2">
      <c r="A699">
        <v>24688</v>
      </c>
      <c r="B699">
        <v>23</v>
      </c>
      <c r="C699">
        <f t="shared" si="130"/>
        <v>23</v>
      </c>
      <c r="D699" t="s">
        <v>12</v>
      </c>
      <c r="E699" t="str">
        <f t="shared" si="131"/>
        <v>Self-Employed</v>
      </c>
      <c r="F699">
        <v>6424.31</v>
      </c>
      <c r="G699">
        <f>ABS(Table1[[#This Row],[Monthly_Income]])</f>
        <v>6424.31</v>
      </c>
      <c r="H699">
        <v>27291.03</v>
      </c>
      <c r="I699" s="5">
        <f t="shared" si="132"/>
        <v>27291.03</v>
      </c>
      <c r="J699">
        <v>18</v>
      </c>
      <c r="K699">
        <v>15.32</v>
      </c>
      <c r="L699">
        <v>0</v>
      </c>
      <c r="M699">
        <f t="shared" si="133"/>
        <v>0</v>
      </c>
      <c r="N699">
        <v>6.9</v>
      </c>
      <c r="O699">
        <f t="shared" si="134"/>
        <v>6.9</v>
      </c>
      <c r="P699">
        <v>60</v>
      </c>
      <c r="Q699">
        <f t="shared" si="135"/>
        <v>60</v>
      </c>
      <c r="R699" t="s">
        <v>18</v>
      </c>
      <c r="S699" t="str">
        <f t="shared" si="136"/>
        <v>Non-Performing</v>
      </c>
      <c r="T699" t="s">
        <v>14</v>
      </c>
      <c r="U699" s="3">
        <f t="shared" si="137"/>
        <v>0.2360048524017884</v>
      </c>
      <c r="V699" t="str">
        <f t="shared" si="138"/>
        <v>Healthy</v>
      </c>
      <c r="W699" t="str">
        <f t="shared" si="139"/>
        <v>High Risk</v>
      </c>
      <c r="X699" s="5" t="str">
        <f t="shared" si="140"/>
        <v>Medium</v>
      </c>
      <c r="Y699" s="5" t="str">
        <f t="shared" si="141"/>
        <v>Medium</v>
      </c>
      <c r="Z699" s="5" t="str">
        <f>IF(B699=120,"NULL",IF(AND(V699="High Stress", W699="High Risk", Y699="Low"),"High Risk : Reject", IF(AND(V699="Healthy", W699="Good",Y699&lt;&gt;"Low"), "Low Risk : Approve", "Medium Risk : Review")))</f>
        <v>Medium Risk : Review</v>
      </c>
      <c r="AA699" s="5" t="str">
        <f t="shared" si="142"/>
        <v>Medium</v>
      </c>
    </row>
    <row r="700" spans="1:27" x14ac:dyDescent="0.2">
      <c r="A700">
        <v>22345</v>
      </c>
      <c r="B700">
        <v>62</v>
      </c>
      <c r="C700">
        <f t="shared" si="130"/>
        <v>62</v>
      </c>
      <c r="D700" t="s">
        <v>17</v>
      </c>
      <c r="E700" t="str">
        <f t="shared" si="131"/>
        <v>Contract</v>
      </c>
      <c r="F700">
        <v>4612.8900000000003</v>
      </c>
      <c r="G700">
        <f>ABS(Table1[[#This Row],[Monthly_Income]])</f>
        <v>4612.8900000000003</v>
      </c>
      <c r="H700">
        <v>22866.89</v>
      </c>
      <c r="I700" s="5">
        <f t="shared" si="132"/>
        <v>22866.89</v>
      </c>
      <c r="J700">
        <v>6</v>
      </c>
      <c r="K700">
        <v>22.52</v>
      </c>
      <c r="L700">
        <v>2</v>
      </c>
      <c r="M700">
        <f t="shared" si="133"/>
        <v>2</v>
      </c>
      <c r="N700">
        <v>8.9</v>
      </c>
      <c r="O700">
        <f t="shared" si="134"/>
        <v>8.9</v>
      </c>
      <c r="P700">
        <v>60</v>
      </c>
      <c r="Q700">
        <f t="shared" si="135"/>
        <v>60</v>
      </c>
      <c r="R700" t="s">
        <v>15</v>
      </c>
      <c r="S700" t="str">
        <f t="shared" si="136"/>
        <v xml:space="preserve">Performing </v>
      </c>
      <c r="T700" t="s">
        <v>16</v>
      </c>
      <c r="U700" s="3">
        <f t="shared" si="137"/>
        <v>0.82619536414987849</v>
      </c>
      <c r="V700" t="str">
        <f t="shared" si="138"/>
        <v>High Stress</v>
      </c>
      <c r="W700" t="str">
        <f t="shared" si="139"/>
        <v>High Risk</v>
      </c>
      <c r="X700" s="5" t="str">
        <f t="shared" si="140"/>
        <v>Medium</v>
      </c>
      <c r="Y700" s="5" t="str">
        <f t="shared" si="141"/>
        <v>Low</v>
      </c>
      <c r="Z700" s="5" t="str">
        <f>IF(B700=120,"NULL",IF(AND(V700="High Stress", W700="High Risk", Y700="Low"),"High Risk : Reject", IF(AND(V700="Healthy", W700="Good",Y700&lt;&gt;"Low"), "Low Risk : Approve", "Medium Risk : Review")))</f>
        <v>High Risk : Reject</v>
      </c>
      <c r="AA700" s="5" t="str">
        <f t="shared" si="142"/>
        <v>Medium</v>
      </c>
    </row>
    <row r="701" spans="1:27" x14ac:dyDescent="0.2">
      <c r="A701">
        <v>23333</v>
      </c>
      <c r="B701">
        <v>22</v>
      </c>
      <c r="C701">
        <f t="shared" si="130"/>
        <v>22</v>
      </c>
      <c r="D701" t="s">
        <v>17</v>
      </c>
      <c r="E701" t="str">
        <f t="shared" si="131"/>
        <v>Contract</v>
      </c>
      <c r="F701">
        <v>6867.49</v>
      </c>
      <c r="G701">
        <f>ABS(Table1[[#This Row],[Monthly_Income]])</f>
        <v>6867.49</v>
      </c>
      <c r="H701">
        <v>19448.650000000001</v>
      </c>
      <c r="I701" s="5">
        <f t="shared" si="132"/>
        <v>19448.650000000001</v>
      </c>
      <c r="J701">
        <v>36</v>
      </c>
      <c r="K701">
        <v>14.2</v>
      </c>
      <c r="L701">
        <v>4</v>
      </c>
      <c r="M701">
        <f t="shared" si="133"/>
        <v>4</v>
      </c>
      <c r="N701">
        <v>9.1</v>
      </c>
      <c r="O701">
        <f t="shared" si="134"/>
        <v>9.1</v>
      </c>
      <c r="P701">
        <v>120</v>
      </c>
      <c r="Q701">
        <f t="shared" si="135"/>
        <v>120</v>
      </c>
      <c r="R701" t="s">
        <v>13</v>
      </c>
      <c r="S701" t="str">
        <f t="shared" si="136"/>
        <v>Performing</v>
      </c>
      <c r="T701" t="s">
        <v>16</v>
      </c>
      <c r="U701" s="3">
        <f t="shared" si="137"/>
        <v>7.8666336285568364E-2</v>
      </c>
      <c r="V701" t="str">
        <f t="shared" si="138"/>
        <v>Healthy</v>
      </c>
      <c r="W701" t="str">
        <f t="shared" si="139"/>
        <v>High Risk</v>
      </c>
      <c r="X701" s="5" t="str">
        <f t="shared" si="140"/>
        <v>Medium</v>
      </c>
      <c r="Y701" s="5" t="str">
        <f t="shared" si="141"/>
        <v>Low</v>
      </c>
      <c r="Z701" s="5" t="str">
        <f>IF(B701=120,"NULL",IF(AND(V701="High Stress", W701="High Risk", Y701="Low"),"High Risk : Reject", IF(AND(V701="Healthy", W701="Good",Y701&lt;&gt;"Low"), "Low Risk : Approve", "Medium Risk : Review")))</f>
        <v>Medium Risk : Review</v>
      </c>
      <c r="AA701" s="5" t="str">
        <f t="shared" si="142"/>
        <v>Medium</v>
      </c>
    </row>
    <row r="702" spans="1:27" x14ac:dyDescent="0.2">
      <c r="A702">
        <v>23484</v>
      </c>
      <c r="B702">
        <v>41</v>
      </c>
      <c r="C702">
        <f t="shared" si="130"/>
        <v>41</v>
      </c>
      <c r="D702" t="s">
        <v>12</v>
      </c>
      <c r="E702" t="str">
        <f t="shared" si="131"/>
        <v>Self-Employed</v>
      </c>
      <c r="F702">
        <v>4489.25</v>
      </c>
      <c r="G702">
        <f>ABS(Table1[[#This Row],[Monthly_Income]])</f>
        <v>4489.25</v>
      </c>
      <c r="H702">
        <v>17503.96</v>
      </c>
      <c r="I702" s="5">
        <f t="shared" si="132"/>
        <v>17503.96</v>
      </c>
      <c r="J702">
        <v>12</v>
      </c>
      <c r="K702">
        <v>20.88</v>
      </c>
      <c r="L702">
        <v>3</v>
      </c>
      <c r="M702">
        <f t="shared" si="133"/>
        <v>3</v>
      </c>
      <c r="N702">
        <v>14.5</v>
      </c>
      <c r="O702">
        <f t="shared" si="134"/>
        <v>14.5</v>
      </c>
      <c r="P702">
        <v>120</v>
      </c>
      <c r="Q702">
        <f t="shared" si="135"/>
        <v>120</v>
      </c>
      <c r="R702" t="s">
        <v>13</v>
      </c>
      <c r="S702" t="str">
        <f t="shared" si="136"/>
        <v>Performing</v>
      </c>
      <c r="T702" t="s">
        <v>16</v>
      </c>
      <c r="U702" s="3">
        <f t="shared" si="137"/>
        <v>0.32492361381819529</v>
      </c>
      <c r="V702" t="str">
        <f t="shared" si="138"/>
        <v>Stretched</v>
      </c>
      <c r="W702" t="str">
        <f t="shared" si="139"/>
        <v>High Risk</v>
      </c>
      <c r="X702" s="5" t="str">
        <f t="shared" si="140"/>
        <v>Medium</v>
      </c>
      <c r="Y702" s="5" t="str">
        <f t="shared" si="141"/>
        <v>Medium</v>
      </c>
      <c r="Z702" s="5" t="str">
        <f>IF(B702=120,"NULL",IF(AND(V702="High Stress", W702="High Risk", Y702="Low"),"High Risk : Reject", IF(AND(V702="Healthy", W702="Good",Y702&lt;&gt;"Low"), "Low Risk : Approve", "Medium Risk : Review")))</f>
        <v>Medium Risk : Review</v>
      </c>
      <c r="AA702" s="5" t="str">
        <f t="shared" si="142"/>
        <v>Medium</v>
      </c>
    </row>
    <row r="703" spans="1:27" x14ac:dyDescent="0.2">
      <c r="A703">
        <v>24617</v>
      </c>
      <c r="B703">
        <v>35</v>
      </c>
      <c r="C703">
        <f t="shared" si="130"/>
        <v>35</v>
      </c>
      <c r="D703" t="s">
        <v>17</v>
      </c>
      <c r="E703" t="str">
        <f t="shared" si="131"/>
        <v>Contract</v>
      </c>
      <c r="F703">
        <v>-349.13</v>
      </c>
      <c r="G703">
        <f>ABS(Table1[[#This Row],[Monthly_Income]])</f>
        <v>349.13</v>
      </c>
      <c r="H703">
        <v>11897.1</v>
      </c>
      <c r="I703" s="5">
        <f t="shared" si="132"/>
        <v>11897.1</v>
      </c>
      <c r="J703">
        <v>36</v>
      </c>
      <c r="K703">
        <v>20.23</v>
      </c>
      <c r="L703">
        <v>4</v>
      </c>
      <c r="M703">
        <f t="shared" si="133"/>
        <v>4</v>
      </c>
      <c r="N703">
        <v>6.2</v>
      </c>
      <c r="O703">
        <f t="shared" si="134"/>
        <v>6.2</v>
      </c>
      <c r="P703">
        <v>60</v>
      </c>
      <c r="Q703">
        <f t="shared" si="135"/>
        <v>60</v>
      </c>
      <c r="R703" t="s">
        <v>24</v>
      </c>
      <c r="S703" t="str">
        <f t="shared" si="136"/>
        <v>Non-Performing</v>
      </c>
      <c r="T703" t="s">
        <v>19</v>
      </c>
      <c r="U703" s="3">
        <f t="shared" si="137"/>
        <v>0.94656718127917971</v>
      </c>
      <c r="V703" t="str">
        <f t="shared" si="138"/>
        <v>High Stress</v>
      </c>
      <c r="W703" t="str">
        <f t="shared" si="139"/>
        <v>High Risk</v>
      </c>
      <c r="X703" s="5" t="str">
        <f t="shared" si="140"/>
        <v>Medium</v>
      </c>
      <c r="Y703" s="5" t="str">
        <f t="shared" si="141"/>
        <v>Low</v>
      </c>
      <c r="Z703" s="5" t="str">
        <f>IF(B703=120,"NULL",IF(AND(V703="High Stress", W703="High Risk", Y703="Low"),"High Risk : Reject", IF(AND(V703="Healthy", W703="Good",Y703&lt;&gt;"Low"), "Low Risk : Approve", "Medium Risk : Review")))</f>
        <v>High Risk : Reject</v>
      </c>
      <c r="AA703" s="5" t="str">
        <f t="shared" si="142"/>
        <v>Low</v>
      </c>
    </row>
    <row r="704" spans="1:27" x14ac:dyDescent="0.2">
      <c r="A704">
        <v>22581</v>
      </c>
      <c r="B704">
        <v>59</v>
      </c>
      <c r="C704">
        <f t="shared" si="130"/>
        <v>59</v>
      </c>
      <c r="D704" t="s">
        <v>17</v>
      </c>
      <c r="E704" t="str">
        <f t="shared" si="131"/>
        <v>Contract</v>
      </c>
      <c r="F704">
        <v>7341.52</v>
      </c>
      <c r="G704">
        <f>ABS(Table1[[#This Row],[Monthly_Income]])</f>
        <v>7341.52</v>
      </c>
      <c r="H704">
        <v>10745.4</v>
      </c>
      <c r="I704" s="5">
        <f t="shared" si="132"/>
        <v>10745.4</v>
      </c>
      <c r="J704">
        <v>6</v>
      </c>
      <c r="K704">
        <v>24.16</v>
      </c>
      <c r="M704" t="str">
        <f t="shared" si="133"/>
        <v>NULL</v>
      </c>
      <c r="N704">
        <v>2.6</v>
      </c>
      <c r="O704">
        <f t="shared" si="134"/>
        <v>2.6</v>
      </c>
      <c r="P704">
        <v>60</v>
      </c>
      <c r="Q704">
        <f t="shared" si="135"/>
        <v>60</v>
      </c>
      <c r="R704" t="s">
        <v>24</v>
      </c>
      <c r="S704" t="str">
        <f t="shared" si="136"/>
        <v>Non-Performing</v>
      </c>
      <c r="T704" t="s">
        <v>25</v>
      </c>
      <c r="U704" s="3">
        <f t="shared" si="137"/>
        <v>0.24394130915668688</v>
      </c>
      <c r="V704" t="str">
        <f t="shared" si="138"/>
        <v>Healthy</v>
      </c>
      <c r="W704" t="str">
        <f t="shared" si="139"/>
        <v>High Risk</v>
      </c>
      <c r="X704" s="5" t="str">
        <f t="shared" si="140"/>
        <v>Medium</v>
      </c>
      <c r="Y704" s="5" t="str">
        <f t="shared" si="141"/>
        <v>Low</v>
      </c>
      <c r="Z704" s="5" t="str">
        <f>IF(B704=120,"NULL",IF(AND(V704="High Stress", W704="High Risk", Y704="Low"),"High Risk : Reject", IF(AND(V704="Healthy", W704="Good",Y704&lt;&gt;"Low"), "Low Risk : Approve", "Medium Risk : Review")))</f>
        <v>Medium Risk : Review</v>
      </c>
      <c r="AA704" s="5" t="str">
        <f t="shared" si="142"/>
        <v>Medium</v>
      </c>
    </row>
    <row r="705" spans="1:27" x14ac:dyDescent="0.2">
      <c r="A705">
        <v>22735</v>
      </c>
      <c r="B705">
        <v>34</v>
      </c>
      <c r="C705">
        <f t="shared" si="130"/>
        <v>34</v>
      </c>
      <c r="D705" t="s">
        <v>26</v>
      </c>
      <c r="E705" t="str">
        <f t="shared" si="131"/>
        <v>Salaried</v>
      </c>
      <c r="F705">
        <v>2132.7800000000002</v>
      </c>
      <c r="G705">
        <f>ABS(Table1[[#This Row],[Monthly_Income]])</f>
        <v>2132.7800000000002</v>
      </c>
      <c r="H705">
        <v>6494.86</v>
      </c>
      <c r="I705" s="5">
        <f t="shared" si="132"/>
        <v>6494.86</v>
      </c>
      <c r="J705">
        <v>36</v>
      </c>
      <c r="K705">
        <v>14.22</v>
      </c>
      <c r="L705">
        <v>2</v>
      </c>
      <c r="M705">
        <f t="shared" si="133"/>
        <v>2</v>
      </c>
      <c r="N705">
        <v>12.3</v>
      </c>
      <c r="O705">
        <f t="shared" si="134"/>
        <v>12.3</v>
      </c>
      <c r="P705">
        <v>60</v>
      </c>
      <c r="Q705">
        <f t="shared" si="135"/>
        <v>60</v>
      </c>
      <c r="R705" t="s">
        <v>13</v>
      </c>
      <c r="S705" t="str">
        <f t="shared" si="136"/>
        <v>Performing</v>
      </c>
      <c r="T705" t="s">
        <v>16</v>
      </c>
      <c r="U705" s="3">
        <f t="shared" si="137"/>
        <v>8.4590430226173241E-2</v>
      </c>
      <c r="V705" t="str">
        <f t="shared" si="138"/>
        <v>Healthy</v>
      </c>
      <c r="W705" t="str">
        <f t="shared" si="139"/>
        <v>High Risk</v>
      </c>
      <c r="X705" s="5" t="str">
        <f t="shared" si="140"/>
        <v>Small</v>
      </c>
      <c r="Y705" s="5" t="str">
        <f t="shared" si="141"/>
        <v>High</v>
      </c>
      <c r="Z705" s="5" t="str">
        <f>IF(B705=120,"NULL",IF(AND(V705="High Stress", W705="High Risk", Y705="Low"),"High Risk : Reject", IF(AND(V705="Healthy", W705="Good",Y705&lt;&gt;"Low"), "Low Risk : Approve", "Medium Risk : Review")))</f>
        <v>Medium Risk : Review</v>
      </c>
      <c r="AA705" s="5" t="str">
        <f t="shared" si="142"/>
        <v>Medium</v>
      </c>
    </row>
    <row r="706" spans="1:27" x14ac:dyDescent="0.2">
      <c r="A706">
        <v>24588</v>
      </c>
      <c r="B706">
        <v>52</v>
      </c>
      <c r="C706">
        <f t="shared" ref="C706:C769" si="143">IF(B706=120,"NULL",B706)</f>
        <v>52</v>
      </c>
      <c r="D706" t="s">
        <v>26</v>
      </c>
      <c r="E706" t="str">
        <f t="shared" ref="E706:E769" si="144">TRIM(IF(D706="Self employed","Self-Employed",D706))</f>
        <v>Salaried</v>
      </c>
      <c r="F706">
        <v>6420.68</v>
      </c>
      <c r="G706">
        <f>ABS(Table1[[#This Row],[Monthly_Income]])</f>
        <v>6420.68</v>
      </c>
      <c r="H706">
        <v>3042.35</v>
      </c>
      <c r="I706" s="5">
        <f t="shared" ref="I706:I769" si="145">IF(H706="","NULL",ABS(H706))</f>
        <v>3042.35</v>
      </c>
      <c r="J706">
        <v>18</v>
      </c>
      <c r="K706">
        <v>17.059999999999999</v>
      </c>
      <c r="M706" t="str">
        <f t="shared" ref="M706:M769" si="146">IF(L706="","NULL",L706)</f>
        <v>NULL</v>
      </c>
      <c r="N706">
        <v>5.5</v>
      </c>
      <c r="O706">
        <f t="shared" ref="O706:O769" si="147">IF(N706="","NULL",ABS(N706))</f>
        <v>5.5</v>
      </c>
      <c r="P706">
        <v>0</v>
      </c>
      <c r="Q706">
        <f t="shared" ref="Q706:Q769" si="148">IF(P706="","NULL",P706)</f>
        <v>0</v>
      </c>
      <c r="R706" t="s">
        <v>13</v>
      </c>
      <c r="S706" t="str">
        <f t="shared" ref="S706:S769" si="149">IF(R706="Non performing","Non-Performing",R706)</f>
        <v>Performing</v>
      </c>
      <c r="T706" t="s">
        <v>25</v>
      </c>
      <c r="U706" s="3">
        <f t="shared" ref="U706:U769" si="150">IFERROR(I706/(G706*J706),"NULL")</f>
        <v>2.6324228032614059E-2</v>
      </c>
      <c r="V706" t="str">
        <f t="shared" ref="V706:V769" si="151">IF(U706="NULL","NULL",IF(U706&lt;=0.3,"Healthy",IF(U706&lt;=0.45,"Stretched","High Stress")))</f>
        <v>Healthy</v>
      </c>
      <c r="W706" t="str">
        <f t="shared" ref="W706:W769" si="152">IF(Q706="NULL","NULL",IF(Q706&lt;30,"Good",IF(Q706&lt;60,"At Risk","High Risk")))</f>
        <v>Good</v>
      </c>
      <c r="X706" s="5" t="str">
        <f t="shared" ref="X706:X769" si="153">IF(I706&lt;10000,"Small",IF(I706&lt;=30000,"Medium","High"))</f>
        <v>Small</v>
      </c>
      <c r="Y706" s="5" t="str">
        <f t="shared" ref="Y706:Y769" si="154">IF(E706="Salaried","High",IF(E706="Self-Employed","Medium","Low"))</f>
        <v>High</v>
      </c>
      <c r="Z706" s="5" t="str">
        <f>IF(B706=120,"NULL",IF(AND(V706="High Stress", W706="High Risk", Y706="Low"),"High Risk : Reject", IF(AND(V706="Healthy", W706="Good",Y706&lt;&gt;"Low"), "Low Risk : Approve", "Medium Risk : Review")))</f>
        <v>Low Risk : Approve</v>
      </c>
      <c r="AA706" s="5" t="str">
        <f t="shared" ref="AA706:AA769" si="155">IF(G706="NULL","NULL",IF(G706&gt;8000,"High",IF(G706&gt;2000,"Medium","Low")))</f>
        <v>Medium</v>
      </c>
    </row>
    <row r="707" spans="1:27" x14ac:dyDescent="0.2">
      <c r="A707">
        <v>24174</v>
      </c>
      <c r="B707">
        <v>50</v>
      </c>
      <c r="C707">
        <f t="shared" si="143"/>
        <v>50</v>
      </c>
      <c r="D707" t="s">
        <v>27</v>
      </c>
      <c r="E707" t="str">
        <f t="shared" si="144"/>
        <v>Unemployed</v>
      </c>
      <c r="F707">
        <v>4422.91</v>
      </c>
      <c r="G707">
        <f>ABS(Table1[[#This Row],[Monthly_Income]])</f>
        <v>4422.91</v>
      </c>
      <c r="H707">
        <v>40021.35</v>
      </c>
      <c r="I707" s="5">
        <f t="shared" si="145"/>
        <v>40021.35</v>
      </c>
      <c r="J707">
        <v>24</v>
      </c>
      <c r="K707">
        <v>16.36</v>
      </c>
      <c r="L707">
        <v>0</v>
      </c>
      <c r="M707">
        <f t="shared" si="146"/>
        <v>0</v>
      </c>
      <c r="N707">
        <v>12.8</v>
      </c>
      <c r="O707">
        <f t="shared" si="147"/>
        <v>12.8</v>
      </c>
      <c r="P707">
        <v>120</v>
      </c>
      <c r="Q707">
        <f t="shared" si="148"/>
        <v>120</v>
      </c>
      <c r="R707" t="s">
        <v>13</v>
      </c>
      <c r="S707" t="str">
        <f t="shared" si="149"/>
        <v>Performing</v>
      </c>
      <c r="T707" t="s">
        <v>16</v>
      </c>
      <c r="U707" s="3">
        <f t="shared" si="150"/>
        <v>0.37702694606039916</v>
      </c>
      <c r="V707" t="str">
        <f t="shared" si="151"/>
        <v>Stretched</v>
      </c>
      <c r="W707" t="str">
        <f t="shared" si="152"/>
        <v>High Risk</v>
      </c>
      <c r="X707" s="5" t="str">
        <f t="shared" si="153"/>
        <v>High</v>
      </c>
      <c r="Y707" s="5" t="str">
        <f t="shared" si="154"/>
        <v>Low</v>
      </c>
      <c r="Z707" s="5" t="str">
        <f>IF(B707=120,"NULL",IF(AND(V707="High Stress", W707="High Risk", Y707="Low"),"High Risk : Reject", IF(AND(V707="Healthy", W707="Good",Y707&lt;&gt;"Low"), "Low Risk : Approve", "Medium Risk : Review")))</f>
        <v>Medium Risk : Review</v>
      </c>
      <c r="AA707" s="5" t="str">
        <f t="shared" si="155"/>
        <v>Medium</v>
      </c>
    </row>
    <row r="708" spans="1:27" x14ac:dyDescent="0.2">
      <c r="A708">
        <v>20777</v>
      </c>
      <c r="B708">
        <v>47</v>
      </c>
      <c r="C708">
        <f t="shared" si="143"/>
        <v>47</v>
      </c>
      <c r="D708" t="s">
        <v>23</v>
      </c>
      <c r="E708" t="str">
        <f t="shared" si="144"/>
        <v>Self-Employed</v>
      </c>
      <c r="F708">
        <v>7507.36</v>
      </c>
      <c r="G708">
        <f>ABS(Table1[[#This Row],[Monthly_Income]])</f>
        <v>7507.36</v>
      </c>
      <c r="H708">
        <v>23903.46</v>
      </c>
      <c r="I708" s="5">
        <f t="shared" si="145"/>
        <v>23903.46</v>
      </c>
      <c r="J708">
        <v>48</v>
      </c>
      <c r="K708">
        <v>14.62</v>
      </c>
      <c r="L708">
        <v>4</v>
      </c>
      <c r="M708">
        <f t="shared" si="146"/>
        <v>4</v>
      </c>
      <c r="N708">
        <v>8.6</v>
      </c>
      <c r="O708">
        <f t="shared" si="147"/>
        <v>8.6</v>
      </c>
      <c r="P708">
        <v>90</v>
      </c>
      <c r="Q708">
        <f t="shared" si="148"/>
        <v>90</v>
      </c>
      <c r="R708" t="s">
        <v>13</v>
      </c>
      <c r="S708" t="str">
        <f t="shared" si="149"/>
        <v>Performing</v>
      </c>
      <c r="T708" t="s">
        <v>22</v>
      </c>
      <c r="U708" s="3">
        <f t="shared" si="150"/>
        <v>6.6333404818737882E-2</v>
      </c>
      <c r="V708" t="str">
        <f t="shared" si="151"/>
        <v>Healthy</v>
      </c>
      <c r="W708" t="str">
        <f t="shared" si="152"/>
        <v>High Risk</v>
      </c>
      <c r="X708" s="5" t="str">
        <f t="shared" si="153"/>
        <v>Medium</v>
      </c>
      <c r="Y708" s="5" t="str">
        <f t="shared" si="154"/>
        <v>Medium</v>
      </c>
      <c r="Z708" s="5" t="str">
        <f>IF(B708=120,"NULL",IF(AND(V708="High Stress", W708="High Risk", Y708="Low"),"High Risk : Reject", IF(AND(V708="Healthy", W708="Good",Y708&lt;&gt;"Low"), "Low Risk : Approve", "Medium Risk : Review")))</f>
        <v>Medium Risk : Review</v>
      </c>
      <c r="AA708" s="5" t="str">
        <f t="shared" si="155"/>
        <v>Medium</v>
      </c>
    </row>
    <row r="709" spans="1:27" x14ac:dyDescent="0.2">
      <c r="A709">
        <v>23212</v>
      </c>
      <c r="B709">
        <v>64</v>
      </c>
      <c r="C709">
        <f t="shared" si="143"/>
        <v>64</v>
      </c>
      <c r="D709" t="s">
        <v>27</v>
      </c>
      <c r="E709" t="str">
        <f t="shared" si="144"/>
        <v>Unemployed</v>
      </c>
      <c r="F709">
        <v>7402.09</v>
      </c>
      <c r="G709">
        <f>ABS(Table1[[#This Row],[Monthly_Income]])</f>
        <v>7402.09</v>
      </c>
      <c r="H709">
        <v>25601.86</v>
      </c>
      <c r="I709" s="5">
        <f t="shared" si="145"/>
        <v>25601.86</v>
      </c>
      <c r="J709">
        <v>12</v>
      </c>
      <c r="K709">
        <v>21.78</v>
      </c>
      <c r="L709">
        <v>2</v>
      </c>
      <c r="M709">
        <f t="shared" si="146"/>
        <v>2</v>
      </c>
      <c r="N709">
        <v>6.2</v>
      </c>
      <c r="O709">
        <f t="shared" si="147"/>
        <v>6.2</v>
      </c>
      <c r="P709">
        <v>15</v>
      </c>
      <c r="Q709">
        <f t="shared" si="148"/>
        <v>15</v>
      </c>
      <c r="R709" t="s">
        <v>20</v>
      </c>
      <c r="S709" t="str">
        <f t="shared" si="149"/>
        <v>Written Off</v>
      </c>
      <c r="T709" t="s">
        <v>14</v>
      </c>
      <c r="U709" s="3">
        <f t="shared" si="150"/>
        <v>0.28822782934729696</v>
      </c>
      <c r="V709" t="str">
        <f t="shared" si="151"/>
        <v>Healthy</v>
      </c>
      <c r="W709" t="str">
        <f t="shared" si="152"/>
        <v>Good</v>
      </c>
      <c r="X709" s="5" t="str">
        <f t="shared" si="153"/>
        <v>Medium</v>
      </c>
      <c r="Y709" s="5" t="str">
        <f t="shared" si="154"/>
        <v>Low</v>
      </c>
      <c r="Z709" s="5" t="str">
        <f>IF(B709=120,"NULL",IF(AND(V709="High Stress", W709="High Risk", Y709="Low"),"High Risk : Reject", IF(AND(V709="Healthy", W709="Good",Y709&lt;&gt;"Low"), "Low Risk : Approve", "Medium Risk : Review")))</f>
        <v>Medium Risk : Review</v>
      </c>
      <c r="AA709" s="5" t="str">
        <f t="shared" si="155"/>
        <v>Medium</v>
      </c>
    </row>
    <row r="710" spans="1:27" x14ac:dyDescent="0.2">
      <c r="A710">
        <v>20065</v>
      </c>
      <c r="B710">
        <v>75</v>
      </c>
      <c r="C710">
        <f t="shared" si="143"/>
        <v>75</v>
      </c>
      <c r="D710" t="s">
        <v>17</v>
      </c>
      <c r="E710" t="str">
        <f t="shared" si="144"/>
        <v>Contract</v>
      </c>
      <c r="F710">
        <v>3744.8</v>
      </c>
      <c r="G710">
        <f>ABS(Table1[[#This Row],[Monthly_Income]])</f>
        <v>3744.8</v>
      </c>
      <c r="H710">
        <v>31376.31</v>
      </c>
      <c r="I710" s="5">
        <f t="shared" si="145"/>
        <v>31376.31</v>
      </c>
      <c r="J710">
        <v>18</v>
      </c>
      <c r="K710">
        <v>18.27</v>
      </c>
      <c r="L710">
        <v>2</v>
      </c>
      <c r="M710">
        <f t="shared" si="146"/>
        <v>2</v>
      </c>
      <c r="N710">
        <v>4.0999999999999996</v>
      </c>
      <c r="O710">
        <f t="shared" si="147"/>
        <v>4.0999999999999996</v>
      </c>
      <c r="P710">
        <v>0</v>
      </c>
      <c r="Q710">
        <f t="shared" si="148"/>
        <v>0</v>
      </c>
      <c r="R710" t="s">
        <v>24</v>
      </c>
      <c r="S710" t="str">
        <f t="shared" si="149"/>
        <v>Non-Performing</v>
      </c>
      <c r="T710" t="s">
        <v>25</v>
      </c>
      <c r="U710" s="3">
        <f t="shared" si="150"/>
        <v>0.46547968738873458</v>
      </c>
      <c r="V710" t="str">
        <f t="shared" si="151"/>
        <v>High Stress</v>
      </c>
      <c r="W710" t="str">
        <f t="shared" si="152"/>
        <v>Good</v>
      </c>
      <c r="X710" s="5" t="str">
        <f t="shared" si="153"/>
        <v>High</v>
      </c>
      <c r="Y710" s="5" t="str">
        <f t="shared" si="154"/>
        <v>Low</v>
      </c>
      <c r="Z710" s="5" t="str">
        <f>IF(B710=120,"NULL",IF(AND(V710="High Stress", W710="High Risk", Y710="Low"),"High Risk : Reject", IF(AND(V710="Healthy", W710="Good",Y710&lt;&gt;"Low"), "Low Risk : Approve", "Medium Risk : Review")))</f>
        <v>Medium Risk : Review</v>
      </c>
      <c r="AA710" s="5" t="str">
        <f t="shared" si="155"/>
        <v>Medium</v>
      </c>
    </row>
    <row r="711" spans="1:27" x14ac:dyDescent="0.2">
      <c r="A711">
        <v>24107</v>
      </c>
      <c r="B711">
        <v>24</v>
      </c>
      <c r="C711">
        <f t="shared" si="143"/>
        <v>24</v>
      </c>
      <c r="D711" t="s">
        <v>21</v>
      </c>
      <c r="E711" t="str">
        <f t="shared" si="144"/>
        <v>Salaried</v>
      </c>
      <c r="F711">
        <v>4917.1499999999996</v>
      </c>
      <c r="G711">
        <f>ABS(Table1[[#This Row],[Monthly_Income]])</f>
        <v>4917.1499999999996</v>
      </c>
      <c r="H711">
        <v>5426.41</v>
      </c>
      <c r="I711" s="5">
        <f t="shared" si="145"/>
        <v>5426.41</v>
      </c>
      <c r="J711">
        <v>60</v>
      </c>
      <c r="K711">
        <v>27.41</v>
      </c>
      <c r="L711">
        <v>4</v>
      </c>
      <c r="M711">
        <f t="shared" si="146"/>
        <v>4</v>
      </c>
      <c r="N711">
        <v>6.4</v>
      </c>
      <c r="O711">
        <f t="shared" si="147"/>
        <v>6.4</v>
      </c>
      <c r="P711">
        <v>15</v>
      </c>
      <c r="Q711">
        <f t="shared" si="148"/>
        <v>15</v>
      </c>
      <c r="R711" t="s">
        <v>24</v>
      </c>
      <c r="S711" t="str">
        <f t="shared" si="149"/>
        <v>Non-Performing</v>
      </c>
      <c r="T711" t="s">
        <v>16</v>
      </c>
      <c r="U711" s="3">
        <f t="shared" si="150"/>
        <v>1.8392802063525959E-2</v>
      </c>
      <c r="V711" t="str">
        <f t="shared" si="151"/>
        <v>Healthy</v>
      </c>
      <c r="W711" t="str">
        <f t="shared" si="152"/>
        <v>Good</v>
      </c>
      <c r="X711" s="5" t="str">
        <f t="shared" si="153"/>
        <v>Small</v>
      </c>
      <c r="Y711" s="5" t="str">
        <f t="shared" si="154"/>
        <v>High</v>
      </c>
      <c r="Z711" s="5" t="str">
        <f>IF(B711=120,"NULL",IF(AND(V711="High Stress", W711="High Risk", Y711="Low"),"High Risk : Reject", IF(AND(V711="Healthy", W711="Good",Y711&lt;&gt;"Low"), "Low Risk : Approve", "Medium Risk : Review")))</f>
        <v>Low Risk : Approve</v>
      </c>
      <c r="AA711" s="5" t="str">
        <f t="shared" si="155"/>
        <v>Medium</v>
      </c>
    </row>
    <row r="712" spans="1:27" x14ac:dyDescent="0.2">
      <c r="A712">
        <v>24970</v>
      </c>
      <c r="B712">
        <v>28</v>
      </c>
      <c r="C712">
        <f t="shared" si="143"/>
        <v>28</v>
      </c>
      <c r="D712" t="s">
        <v>26</v>
      </c>
      <c r="E712" t="str">
        <f t="shared" si="144"/>
        <v>Salaried</v>
      </c>
      <c r="F712">
        <v>3333.14</v>
      </c>
      <c r="G712">
        <f>ABS(Table1[[#This Row],[Monthly_Income]])</f>
        <v>3333.14</v>
      </c>
      <c r="H712">
        <v>11304.53</v>
      </c>
      <c r="I712" s="5">
        <f t="shared" si="145"/>
        <v>11304.53</v>
      </c>
      <c r="J712">
        <v>12</v>
      </c>
      <c r="K712">
        <v>19.53</v>
      </c>
      <c r="L712">
        <v>0</v>
      </c>
      <c r="M712">
        <f t="shared" si="146"/>
        <v>0</v>
      </c>
      <c r="N712">
        <v>14.1</v>
      </c>
      <c r="O712">
        <f t="shared" si="147"/>
        <v>14.1</v>
      </c>
      <c r="P712">
        <v>60</v>
      </c>
      <c r="Q712">
        <f t="shared" si="148"/>
        <v>60</v>
      </c>
      <c r="R712" t="s">
        <v>13</v>
      </c>
      <c r="S712" t="str">
        <f t="shared" si="149"/>
        <v>Performing</v>
      </c>
      <c r="T712" t="s">
        <v>14</v>
      </c>
      <c r="U712" s="3">
        <f t="shared" si="150"/>
        <v>0.28262964251926614</v>
      </c>
      <c r="V712" t="str">
        <f t="shared" si="151"/>
        <v>Healthy</v>
      </c>
      <c r="W712" t="str">
        <f t="shared" si="152"/>
        <v>High Risk</v>
      </c>
      <c r="X712" s="5" t="str">
        <f t="shared" si="153"/>
        <v>Medium</v>
      </c>
      <c r="Y712" s="5" t="str">
        <f t="shared" si="154"/>
        <v>High</v>
      </c>
      <c r="Z712" s="5" t="str">
        <f>IF(B712=120,"NULL",IF(AND(V712="High Stress", W712="High Risk", Y712="Low"),"High Risk : Reject", IF(AND(V712="Healthy", W712="Good",Y712&lt;&gt;"Low"), "Low Risk : Approve", "Medium Risk : Review")))</f>
        <v>Medium Risk : Review</v>
      </c>
      <c r="AA712" s="5" t="str">
        <f t="shared" si="155"/>
        <v>Medium</v>
      </c>
    </row>
    <row r="713" spans="1:27" x14ac:dyDescent="0.2">
      <c r="A713">
        <v>22930</v>
      </c>
      <c r="B713">
        <v>34</v>
      </c>
      <c r="C713">
        <f t="shared" si="143"/>
        <v>34</v>
      </c>
      <c r="D713" t="s">
        <v>27</v>
      </c>
      <c r="E713" t="str">
        <f t="shared" si="144"/>
        <v>Unemployed</v>
      </c>
      <c r="F713">
        <v>6884.5</v>
      </c>
      <c r="G713">
        <f>ABS(Table1[[#This Row],[Monthly_Income]])</f>
        <v>6884.5</v>
      </c>
      <c r="H713">
        <v>8222.2000000000007</v>
      </c>
      <c r="I713" s="5">
        <f t="shared" si="145"/>
        <v>8222.2000000000007</v>
      </c>
      <c r="J713">
        <v>24</v>
      </c>
      <c r="K713">
        <v>27.75</v>
      </c>
      <c r="L713">
        <v>3</v>
      </c>
      <c r="M713">
        <f t="shared" si="146"/>
        <v>3</v>
      </c>
      <c r="N713">
        <v>9.8000000000000007</v>
      </c>
      <c r="O713">
        <f t="shared" si="147"/>
        <v>9.8000000000000007</v>
      </c>
      <c r="P713">
        <v>90</v>
      </c>
      <c r="Q713">
        <f t="shared" si="148"/>
        <v>90</v>
      </c>
      <c r="R713" t="s">
        <v>13</v>
      </c>
      <c r="S713" t="str">
        <f t="shared" si="149"/>
        <v>Performing</v>
      </c>
      <c r="T713" t="s">
        <v>19</v>
      </c>
      <c r="U713" s="3">
        <f t="shared" si="150"/>
        <v>4.9762752075919341E-2</v>
      </c>
      <c r="V713" t="str">
        <f t="shared" si="151"/>
        <v>Healthy</v>
      </c>
      <c r="W713" t="str">
        <f t="shared" si="152"/>
        <v>High Risk</v>
      </c>
      <c r="X713" s="5" t="str">
        <f t="shared" si="153"/>
        <v>Small</v>
      </c>
      <c r="Y713" s="5" t="str">
        <f t="shared" si="154"/>
        <v>Low</v>
      </c>
      <c r="Z713" s="5" t="str">
        <f>IF(B713=120,"NULL",IF(AND(V713="High Stress", W713="High Risk", Y713="Low"),"High Risk : Reject", IF(AND(V713="Healthy", W713="Good",Y713&lt;&gt;"Low"), "Low Risk : Approve", "Medium Risk : Review")))</f>
        <v>Medium Risk : Review</v>
      </c>
      <c r="AA713" s="5" t="str">
        <f t="shared" si="155"/>
        <v>Medium</v>
      </c>
    </row>
    <row r="714" spans="1:27" x14ac:dyDescent="0.2">
      <c r="A714">
        <v>22466</v>
      </c>
      <c r="B714">
        <v>39</v>
      </c>
      <c r="C714">
        <f t="shared" si="143"/>
        <v>39</v>
      </c>
      <c r="D714" t="s">
        <v>12</v>
      </c>
      <c r="E714" t="str">
        <f t="shared" si="144"/>
        <v>Self-Employed</v>
      </c>
      <c r="F714">
        <v>2465.29</v>
      </c>
      <c r="G714">
        <f>ABS(Table1[[#This Row],[Monthly_Income]])</f>
        <v>2465.29</v>
      </c>
      <c r="H714">
        <v>19597.63</v>
      </c>
      <c r="I714" s="5">
        <f t="shared" si="145"/>
        <v>19597.63</v>
      </c>
      <c r="J714">
        <v>18</v>
      </c>
      <c r="K714">
        <v>55</v>
      </c>
      <c r="L714">
        <v>3</v>
      </c>
      <c r="M714">
        <f t="shared" si="146"/>
        <v>3</v>
      </c>
      <c r="N714">
        <v>2.7</v>
      </c>
      <c r="O714">
        <f t="shared" si="147"/>
        <v>2.7</v>
      </c>
      <c r="P714">
        <v>120</v>
      </c>
      <c r="Q714">
        <f t="shared" si="148"/>
        <v>120</v>
      </c>
      <c r="R714" t="s">
        <v>15</v>
      </c>
      <c r="S714" t="str">
        <f t="shared" si="149"/>
        <v xml:space="preserve">Performing </v>
      </c>
      <c r="T714" t="s">
        <v>22</v>
      </c>
      <c r="U714" s="3">
        <f t="shared" si="150"/>
        <v>0.44163454288226628</v>
      </c>
      <c r="V714" t="str">
        <f t="shared" si="151"/>
        <v>Stretched</v>
      </c>
      <c r="W714" t="str">
        <f t="shared" si="152"/>
        <v>High Risk</v>
      </c>
      <c r="X714" s="5" t="str">
        <f t="shared" si="153"/>
        <v>Medium</v>
      </c>
      <c r="Y714" s="5" t="str">
        <f t="shared" si="154"/>
        <v>Medium</v>
      </c>
      <c r="Z714" s="5" t="str">
        <f>IF(B714=120,"NULL",IF(AND(V714="High Stress", W714="High Risk", Y714="Low"),"High Risk : Reject", IF(AND(V714="Healthy", W714="Good",Y714&lt;&gt;"Low"), "Low Risk : Approve", "Medium Risk : Review")))</f>
        <v>Medium Risk : Review</v>
      </c>
      <c r="AA714" s="5" t="str">
        <f t="shared" si="155"/>
        <v>Medium</v>
      </c>
    </row>
    <row r="715" spans="1:27" x14ac:dyDescent="0.2">
      <c r="A715">
        <v>23868</v>
      </c>
      <c r="B715">
        <v>43</v>
      </c>
      <c r="C715">
        <f t="shared" si="143"/>
        <v>43</v>
      </c>
      <c r="D715" t="s">
        <v>26</v>
      </c>
      <c r="E715" t="str">
        <f t="shared" si="144"/>
        <v>Salaried</v>
      </c>
      <c r="F715">
        <v>4733.8999999999996</v>
      </c>
      <c r="G715">
        <f>ABS(Table1[[#This Row],[Monthly_Income]])</f>
        <v>4733.8999999999996</v>
      </c>
      <c r="H715">
        <v>21147.59</v>
      </c>
      <c r="I715" s="5">
        <f t="shared" si="145"/>
        <v>21147.59</v>
      </c>
      <c r="J715">
        <v>6</v>
      </c>
      <c r="K715">
        <v>18.399999999999999</v>
      </c>
      <c r="L715">
        <v>3</v>
      </c>
      <c r="M715">
        <f t="shared" si="146"/>
        <v>3</v>
      </c>
      <c r="N715">
        <v>7.8</v>
      </c>
      <c r="O715">
        <f t="shared" si="147"/>
        <v>7.8</v>
      </c>
      <c r="P715">
        <v>0</v>
      </c>
      <c r="Q715">
        <f t="shared" si="148"/>
        <v>0</v>
      </c>
      <c r="R715" t="s">
        <v>18</v>
      </c>
      <c r="S715" t="str">
        <f t="shared" si="149"/>
        <v>Non-Performing</v>
      </c>
      <c r="T715" t="s">
        <v>25</v>
      </c>
      <c r="U715" s="3">
        <f t="shared" si="150"/>
        <v>0.74454431511720431</v>
      </c>
      <c r="V715" t="str">
        <f t="shared" si="151"/>
        <v>High Stress</v>
      </c>
      <c r="W715" t="str">
        <f t="shared" si="152"/>
        <v>Good</v>
      </c>
      <c r="X715" s="5" t="str">
        <f t="shared" si="153"/>
        <v>Medium</v>
      </c>
      <c r="Y715" s="5" t="str">
        <f t="shared" si="154"/>
        <v>High</v>
      </c>
      <c r="Z715" s="5" t="str">
        <f>IF(B715=120,"NULL",IF(AND(V715="High Stress", W715="High Risk", Y715="Low"),"High Risk : Reject", IF(AND(V715="Healthy", W715="Good",Y715&lt;&gt;"Low"), "Low Risk : Approve", "Medium Risk : Review")))</f>
        <v>Medium Risk : Review</v>
      </c>
      <c r="AA715" s="5" t="str">
        <f t="shared" si="155"/>
        <v>Medium</v>
      </c>
    </row>
    <row r="716" spans="1:27" x14ac:dyDescent="0.2">
      <c r="A716">
        <v>24128</v>
      </c>
      <c r="B716">
        <v>55</v>
      </c>
      <c r="C716">
        <f t="shared" si="143"/>
        <v>55</v>
      </c>
      <c r="D716" t="s">
        <v>17</v>
      </c>
      <c r="E716" t="str">
        <f t="shared" si="144"/>
        <v>Contract</v>
      </c>
      <c r="F716">
        <v>4476.25</v>
      </c>
      <c r="G716">
        <f>ABS(Table1[[#This Row],[Monthly_Income]])</f>
        <v>4476.25</v>
      </c>
      <c r="H716">
        <v>2382.75</v>
      </c>
      <c r="I716" s="5">
        <f t="shared" si="145"/>
        <v>2382.75</v>
      </c>
      <c r="J716">
        <v>6</v>
      </c>
      <c r="K716">
        <v>22.89</v>
      </c>
      <c r="L716">
        <v>4</v>
      </c>
      <c r="M716">
        <f t="shared" si="146"/>
        <v>4</v>
      </c>
      <c r="N716">
        <v>14.6</v>
      </c>
      <c r="O716">
        <f t="shared" si="147"/>
        <v>14.6</v>
      </c>
      <c r="P716">
        <v>0</v>
      </c>
      <c r="Q716">
        <f t="shared" si="148"/>
        <v>0</v>
      </c>
      <c r="R716" t="s">
        <v>13</v>
      </c>
      <c r="S716" t="str">
        <f t="shared" si="149"/>
        <v>Performing</v>
      </c>
      <c r="T716" t="s">
        <v>14</v>
      </c>
      <c r="U716" s="3">
        <f t="shared" si="150"/>
        <v>8.8718235129851997E-2</v>
      </c>
      <c r="V716" t="str">
        <f t="shared" si="151"/>
        <v>Healthy</v>
      </c>
      <c r="W716" t="str">
        <f t="shared" si="152"/>
        <v>Good</v>
      </c>
      <c r="X716" s="5" t="str">
        <f t="shared" si="153"/>
        <v>Small</v>
      </c>
      <c r="Y716" s="5" t="str">
        <f t="shared" si="154"/>
        <v>Low</v>
      </c>
      <c r="Z716" s="5" t="str">
        <f>IF(B716=120,"NULL",IF(AND(V716="High Stress", W716="High Risk", Y716="Low"),"High Risk : Reject", IF(AND(V716="Healthy", W716="Good",Y716&lt;&gt;"Low"), "Low Risk : Approve", "Medium Risk : Review")))</f>
        <v>Medium Risk : Review</v>
      </c>
      <c r="AA716" s="5" t="str">
        <f t="shared" si="155"/>
        <v>Medium</v>
      </c>
    </row>
    <row r="717" spans="1:27" x14ac:dyDescent="0.2">
      <c r="A717">
        <v>25004</v>
      </c>
      <c r="B717">
        <v>59</v>
      </c>
      <c r="C717">
        <f t="shared" si="143"/>
        <v>59</v>
      </c>
      <c r="D717" t="s">
        <v>12</v>
      </c>
      <c r="E717" t="str">
        <f t="shared" si="144"/>
        <v>Self-Employed</v>
      </c>
      <c r="F717">
        <v>4300.3100000000004</v>
      </c>
      <c r="G717">
        <f>ABS(Table1[[#This Row],[Monthly_Income]])</f>
        <v>4300.3100000000004</v>
      </c>
      <c r="H717">
        <v>19225.98</v>
      </c>
      <c r="I717" s="5">
        <f t="shared" si="145"/>
        <v>19225.98</v>
      </c>
      <c r="J717">
        <v>48</v>
      </c>
      <c r="K717">
        <v>21.94</v>
      </c>
      <c r="M717" t="str">
        <f t="shared" si="146"/>
        <v>NULL</v>
      </c>
      <c r="N717">
        <v>10.8</v>
      </c>
      <c r="O717">
        <f t="shared" si="147"/>
        <v>10.8</v>
      </c>
      <c r="P717">
        <v>0</v>
      </c>
      <c r="Q717">
        <f t="shared" si="148"/>
        <v>0</v>
      </c>
      <c r="R717" t="s">
        <v>15</v>
      </c>
      <c r="S717" t="str">
        <f t="shared" si="149"/>
        <v xml:space="preserve">Performing </v>
      </c>
      <c r="T717" t="s">
        <v>19</v>
      </c>
      <c r="U717" s="3">
        <f t="shared" si="150"/>
        <v>9.3142412988831039E-2</v>
      </c>
      <c r="V717" t="str">
        <f t="shared" si="151"/>
        <v>Healthy</v>
      </c>
      <c r="W717" t="str">
        <f t="shared" si="152"/>
        <v>Good</v>
      </c>
      <c r="X717" s="5" t="str">
        <f t="shared" si="153"/>
        <v>Medium</v>
      </c>
      <c r="Y717" s="5" t="str">
        <f t="shared" si="154"/>
        <v>Medium</v>
      </c>
      <c r="Z717" s="5" t="str">
        <f>IF(B717=120,"NULL",IF(AND(V717="High Stress", W717="High Risk", Y717="Low"),"High Risk : Reject", IF(AND(V717="Healthy", W717="Good",Y717&lt;&gt;"Low"), "Low Risk : Approve", "Medium Risk : Review")))</f>
        <v>Low Risk : Approve</v>
      </c>
      <c r="AA717" s="5" t="str">
        <f t="shared" si="155"/>
        <v>Medium</v>
      </c>
    </row>
    <row r="718" spans="1:27" x14ac:dyDescent="0.2">
      <c r="A718">
        <v>23104</v>
      </c>
      <c r="B718">
        <v>26</v>
      </c>
      <c r="C718">
        <f t="shared" si="143"/>
        <v>26</v>
      </c>
      <c r="D718" t="s">
        <v>26</v>
      </c>
      <c r="E718" t="str">
        <f t="shared" si="144"/>
        <v>Salaried</v>
      </c>
      <c r="F718">
        <v>7879.9</v>
      </c>
      <c r="G718">
        <f>ABS(Table1[[#This Row],[Monthly_Income]])</f>
        <v>7879.9</v>
      </c>
      <c r="H718">
        <v>30611.42</v>
      </c>
      <c r="I718" s="5">
        <f t="shared" si="145"/>
        <v>30611.42</v>
      </c>
      <c r="J718">
        <v>48</v>
      </c>
      <c r="K718">
        <v>15.63</v>
      </c>
      <c r="L718">
        <v>4</v>
      </c>
      <c r="M718">
        <f t="shared" si="146"/>
        <v>4</v>
      </c>
      <c r="N718">
        <v>6.3</v>
      </c>
      <c r="O718">
        <f t="shared" si="147"/>
        <v>6.3</v>
      </c>
      <c r="P718">
        <v>0</v>
      </c>
      <c r="Q718">
        <f t="shared" si="148"/>
        <v>0</v>
      </c>
      <c r="R718" t="s">
        <v>13</v>
      </c>
      <c r="S718" t="str">
        <f t="shared" si="149"/>
        <v>Performing</v>
      </c>
      <c r="T718" t="s">
        <v>16</v>
      </c>
      <c r="U718" s="3">
        <f t="shared" si="150"/>
        <v>8.0932234757632296E-2</v>
      </c>
      <c r="V718" t="str">
        <f t="shared" si="151"/>
        <v>Healthy</v>
      </c>
      <c r="W718" t="str">
        <f t="shared" si="152"/>
        <v>Good</v>
      </c>
      <c r="X718" s="5" t="str">
        <f t="shared" si="153"/>
        <v>High</v>
      </c>
      <c r="Y718" s="5" t="str">
        <f t="shared" si="154"/>
        <v>High</v>
      </c>
      <c r="Z718" s="5" t="str">
        <f>IF(B718=120,"NULL",IF(AND(V718="High Stress", W718="High Risk", Y718="Low"),"High Risk : Reject", IF(AND(V718="Healthy", W718="Good",Y718&lt;&gt;"Low"), "Low Risk : Approve", "Medium Risk : Review")))</f>
        <v>Low Risk : Approve</v>
      </c>
      <c r="AA718" s="5" t="str">
        <f t="shared" si="155"/>
        <v>Medium</v>
      </c>
    </row>
    <row r="719" spans="1:27" x14ac:dyDescent="0.2">
      <c r="A719">
        <v>25093</v>
      </c>
      <c r="B719">
        <v>41</v>
      </c>
      <c r="C719">
        <f t="shared" si="143"/>
        <v>41</v>
      </c>
      <c r="D719" t="s">
        <v>27</v>
      </c>
      <c r="E719" t="str">
        <f t="shared" si="144"/>
        <v>Unemployed</v>
      </c>
      <c r="F719">
        <v>2871.05</v>
      </c>
      <c r="G719">
        <f>ABS(Table1[[#This Row],[Monthly_Income]])</f>
        <v>2871.05</v>
      </c>
      <c r="H719">
        <v>16580.23</v>
      </c>
      <c r="I719" s="5">
        <f t="shared" si="145"/>
        <v>16580.23</v>
      </c>
      <c r="J719">
        <v>48</v>
      </c>
      <c r="K719">
        <v>18.989999999999998</v>
      </c>
      <c r="L719">
        <v>3</v>
      </c>
      <c r="M719">
        <f t="shared" si="146"/>
        <v>3</v>
      </c>
      <c r="N719">
        <v>8.4</v>
      </c>
      <c r="O719">
        <f t="shared" si="147"/>
        <v>8.4</v>
      </c>
      <c r="P719">
        <v>0</v>
      </c>
      <c r="Q719">
        <f t="shared" si="148"/>
        <v>0</v>
      </c>
      <c r="R719" t="s">
        <v>24</v>
      </c>
      <c r="S719" t="str">
        <f t="shared" si="149"/>
        <v>Non-Performing</v>
      </c>
      <c r="T719" t="s">
        <v>14</v>
      </c>
      <c r="U719" s="3">
        <f t="shared" si="150"/>
        <v>0.12031189228098893</v>
      </c>
      <c r="V719" t="str">
        <f t="shared" si="151"/>
        <v>Healthy</v>
      </c>
      <c r="W719" t="str">
        <f t="shared" si="152"/>
        <v>Good</v>
      </c>
      <c r="X719" s="5" t="str">
        <f t="shared" si="153"/>
        <v>Medium</v>
      </c>
      <c r="Y719" s="5" t="str">
        <f t="shared" si="154"/>
        <v>Low</v>
      </c>
      <c r="Z719" s="5" t="str">
        <f>IF(B719=120,"NULL",IF(AND(V719="High Stress", W719="High Risk", Y719="Low"),"High Risk : Reject", IF(AND(V719="Healthy", W719="Good",Y719&lt;&gt;"Low"), "Low Risk : Approve", "Medium Risk : Review")))</f>
        <v>Medium Risk : Review</v>
      </c>
      <c r="AA719" s="5" t="str">
        <f t="shared" si="155"/>
        <v>Medium</v>
      </c>
    </row>
    <row r="720" spans="1:27" x14ac:dyDescent="0.2">
      <c r="A720">
        <v>22850</v>
      </c>
      <c r="B720">
        <v>60</v>
      </c>
      <c r="C720">
        <f t="shared" si="143"/>
        <v>60</v>
      </c>
      <c r="D720" t="s">
        <v>17</v>
      </c>
      <c r="E720" t="str">
        <f t="shared" si="144"/>
        <v>Contract</v>
      </c>
      <c r="F720">
        <v>4487.79</v>
      </c>
      <c r="G720">
        <f>ABS(Table1[[#This Row],[Monthly_Income]])</f>
        <v>4487.79</v>
      </c>
      <c r="H720"/>
      <c r="I720" s="5" t="str">
        <f t="shared" si="145"/>
        <v>NULL</v>
      </c>
      <c r="J720">
        <v>12</v>
      </c>
      <c r="K720">
        <v>27.74</v>
      </c>
      <c r="L720">
        <v>4</v>
      </c>
      <c r="M720">
        <f t="shared" si="146"/>
        <v>4</v>
      </c>
      <c r="N720">
        <v>8.6999999999999993</v>
      </c>
      <c r="O720">
        <f t="shared" si="147"/>
        <v>8.6999999999999993</v>
      </c>
      <c r="P720">
        <v>30</v>
      </c>
      <c r="Q720">
        <f t="shared" si="148"/>
        <v>30</v>
      </c>
      <c r="R720" t="s">
        <v>24</v>
      </c>
      <c r="S720" t="str">
        <f t="shared" si="149"/>
        <v>Non-Performing</v>
      </c>
      <c r="T720" t="s">
        <v>19</v>
      </c>
      <c r="U720" s="3" t="str">
        <f t="shared" si="150"/>
        <v>NULL</v>
      </c>
      <c r="V720" t="str">
        <f t="shared" si="151"/>
        <v>NULL</v>
      </c>
      <c r="W720" t="str">
        <f t="shared" si="152"/>
        <v>At Risk</v>
      </c>
      <c r="X720" s="5" t="str">
        <f t="shared" si="153"/>
        <v>High</v>
      </c>
      <c r="Y720" s="5" t="str">
        <f t="shared" si="154"/>
        <v>Low</v>
      </c>
      <c r="Z720" s="5" t="str">
        <f>IF(B720=120,"NULL",IF(AND(V720="High Stress", W720="High Risk", Y720="Low"),"High Risk : Reject", IF(AND(V720="Healthy", W720="Good",Y720&lt;&gt;"Low"), "Low Risk : Approve", "Medium Risk : Review")))</f>
        <v>Medium Risk : Review</v>
      </c>
      <c r="AA720" s="5" t="str">
        <f t="shared" si="155"/>
        <v>Medium</v>
      </c>
    </row>
    <row r="721" spans="1:27" x14ac:dyDescent="0.2">
      <c r="A721">
        <v>22314</v>
      </c>
      <c r="B721">
        <v>24</v>
      </c>
      <c r="C721">
        <f t="shared" si="143"/>
        <v>24</v>
      </c>
      <c r="D721" t="s">
        <v>21</v>
      </c>
      <c r="E721" t="str">
        <f t="shared" si="144"/>
        <v>Salaried</v>
      </c>
      <c r="F721">
        <v>4442.5600000000004</v>
      </c>
      <c r="G721">
        <f>ABS(Table1[[#This Row],[Monthly_Income]])</f>
        <v>4442.5600000000004</v>
      </c>
      <c r="H721">
        <v>14768.43</v>
      </c>
      <c r="I721" s="5">
        <f t="shared" si="145"/>
        <v>14768.43</v>
      </c>
      <c r="J721">
        <v>6</v>
      </c>
      <c r="K721">
        <v>28.64</v>
      </c>
      <c r="L721">
        <v>0</v>
      </c>
      <c r="M721">
        <f t="shared" si="146"/>
        <v>0</v>
      </c>
      <c r="N721">
        <v>7.1</v>
      </c>
      <c r="O721">
        <f t="shared" si="147"/>
        <v>7.1</v>
      </c>
      <c r="P721">
        <v>15</v>
      </c>
      <c r="Q721">
        <f t="shared" si="148"/>
        <v>15</v>
      </c>
      <c r="R721" t="s">
        <v>13</v>
      </c>
      <c r="S721" t="str">
        <f t="shared" si="149"/>
        <v>Performing</v>
      </c>
      <c r="T721" t="s">
        <v>19</v>
      </c>
      <c r="U721" s="3">
        <f t="shared" si="150"/>
        <v>0.55405104264208027</v>
      </c>
      <c r="V721" t="str">
        <f t="shared" si="151"/>
        <v>High Stress</v>
      </c>
      <c r="W721" t="str">
        <f t="shared" si="152"/>
        <v>Good</v>
      </c>
      <c r="X721" s="5" t="str">
        <f t="shared" si="153"/>
        <v>Medium</v>
      </c>
      <c r="Y721" s="5" t="str">
        <f t="shared" si="154"/>
        <v>High</v>
      </c>
      <c r="Z721" s="5" t="str">
        <f>IF(B721=120,"NULL",IF(AND(V721="High Stress", W721="High Risk", Y721="Low"),"High Risk : Reject", IF(AND(V721="Healthy", W721="Good",Y721&lt;&gt;"Low"), "Low Risk : Approve", "Medium Risk : Review")))</f>
        <v>Medium Risk : Review</v>
      </c>
      <c r="AA721" s="5" t="str">
        <f t="shared" si="155"/>
        <v>Medium</v>
      </c>
    </row>
    <row r="722" spans="1:27" x14ac:dyDescent="0.2">
      <c r="A722">
        <v>24163</v>
      </c>
      <c r="B722">
        <v>34</v>
      </c>
      <c r="C722">
        <f t="shared" si="143"/>
        <v>34</v>
      </c>
      <c r="D722" t="s">
        <v>12</v>
      </c>
      <c r="E722" t="str">
        <f t="shared" si="144"/>
        <v>Self-Employed</v>
      </c>
      <c r="F722">
        <v>4437.07</v>
      </c>
      <c r="G722">
        <f>ABS(Table1[[#This Row],[Monthly_Income]])</f>
        <v>4437.07</v>
      </c>
      <c r="H722">
        <v>18128.98</v>
      </c>
      <c r="I722" s="5">
        <f t="shared" si="145"/>
        <v>18128.98</v>
      </c>
      <c r="J722">
        <v>24</v>
      </c>
      <c r="K722">
        <v>20.88</v>
      </c>
      <c r="L722">
        <v>4</v>
      </c>
      <c r="M722">
        <f t="shared" si="146"/>
        <v>4</v>
      </c>
      <c r="N722">
        <v>0.9</v>
      </c>
      <c r="O722">
        <f t="shared" si="147"/>
        <v>0.9</v>
      </c>
      <c r="P722">
        <v>0</v>
      </c>
      <c r="Q722">
        <f t="shared" si="148"/>
        <v>0</v>
      </c>
      <c r="R722" t="s">
        <v>24</v>
      </c>
      <c r="S722" t="str">
        <f t="shared" si="149"/>
        <v>Non-Performing</v>
      </c>
      <c r="T722" t="s">
        <v>16</v>
      </c>
      <c r="U722" s="3">
        <f t="shared" si="150"/>
        <v>0.1702416609759744</v>
      </c>
      <c r="V722" t="str">
        <f t="shared" si="151"/>
        <v>Healthy</v>
      </c>
      <c r="W722" t="str">
        <f t="shared" si="152"/>
        <v>Good</v>
      </c>
      <c r="X722" s="5" t="str">
        <f t="shared" si="153"/>
        <v>Medium</v>
      </c>
      <c r="Y722" s="5" t="str">
        <f t="shared" si="154"/>
        <v>Medium</v>
      </c>
      <c r="Z722" s="5" t="str">
        <f>IF(B722=120,"NULL",IF(AND(V722="High Stress", W722="High Risk", Y722="Low"),"High Risk : Reject", IF(AND(V722="Healthy", W722="Good",Y722&lt;&gt;"Low"), "Low Risk : Approve", "Medium Risk : Review")))</f>
        <v>Low Risk : Approve</v>
      </c>
      <c r="AA722" s="5" t="str">
        <f t="shared" si="155"/>
        <v>Medium</v>
      </c>
    </row>
    <row r="723" spans="1:27" x14ac:dyDescent="0.2">
      <c r="A723">
        <v>22252</v>
      </c>
      <c r="B723">
        <v>35</v>
      </c>
      <c r="C723">
        <f t="shared" si="143"/>
        <v>35</v>
      </c>
      <c r="D723" t="s">
        <v>27</v>
      </c>
      <c r="E723" t="str">
        <f t="shared" si="144"/>
        <v>Unemployed</v>
      </c>
      <c r="F723">
        <v>-1500</v>
      </c>
      <c r="G723">
        <f>ABS(Table1[[#This Row],[Monthly_Income]])</f>
        <v>1500</v>
      </c>
      <c r="H723">
        <v>20165.39</v>
      </c>
      <c r="I723" s="5">
        <f t="shared" si="145"/>
        <v>20165.39</v>
      </c>
      <c r="J723">
        <v>6</v>
      </c>
      <c r="K723">
        <v>23.12</v>
      </c>
      <c r="L723">
        <v>0</v>
      </c>
      <c r="M723">
        <f t="shared" si="146"/>
        <v>0</v>
      </c>
      <c r="N723">
        <v>1.6</v>
      </c>
      <c r="O723">
        <f t="shared" si="147"/>
        <v>1.6</v>
      </c>
      <c r="Q723" t="str">
        <f t="shared" si="148"/>
        <v>NULL</v>
      </c>
      <c r="R723" t="s">
        <v>18</v>
      </c>
      <c r="S723" t="str">
        <f t="shared" si="149"/>
        <v>Non-Performing</v>
      </c>
      <c r="T723" t="s">
        <v>19</v>
      </c>
      <c r="U723" s="3">
        <f t="shared" si="150"/>
        <v>2.240598888888889</v>
      </c>
      <c r="V723" t="str">
        <f t="shared" si="151"/>
        <v>High Stress</v>
      </c>
      <c r="W723" t="str">
        <f t="shared" si="152"/>
        <v>NULL</v>
      </c>
      <c r="X723" s="5" t="str">
        <f t="shared" si="153"/>
        <v>Medium</v>
      </c>
      <c r="Y723" s="5" t="str">
        <f t="shared" si="154"/>
        <v>Low</v>
      </c>
      <c r="Z723" s="5" t="str">
        <f>IF(B723=120,"NULL",IF(AND(V723="High Stress", W723="High Risk", Y723="Low"),"High Risk : Reject", IF(AND(V723="Healthy", W723="Good",Y723&lt;&gt;"Low"), "Low Risk : Approve", "Medium Risk : Review")))</f>
        <v>Medium Risk : Review</v>
      </c>
      <c r="AA723" s="5" t="str">
        <f t="shared" si="155"/>
        <v>Low</v>
      </c>
    </row>
    <row r="724" spans="1:27" x14ac:dyDescent="0.2">
      <c r="A724">
        <v>25242</v>
      </c>
      <c r="B724">
        <v>40</v>
      </c>
      <c r="C724">
        <f t="shared" si="143"/>
        <v>40</v>
      </c>
      <c r="D724" t="s">
        <v>17</v>
      </c>
      <c r="E724" t="str">
        <f t="shared" si="144"/>
        <v>Contract</v>
      </c>
      <c r="F724">
        <v>7372.23</v>
      </c>
      <c r="G724">
        <f>ABS(Table1[[#This Row],[Monthly_Income]])</f>
        <v>7372.23</v>
      </c>
      <c r="H724">
        <v>29107.13</v>
      </c>
      <c r="I724" s="5">
        <f t="shared" si="145"/>
        <v>29107.13</v>
      </c>
      <c r="J724">
        <v>18</v>
      </c>
      <c r="K724">
        <v>19.22</v>
      </c>
      <c r="L724">
        <v>0</v>
      </c>
      <c r="M724">
        <f t="shared" si="146"/>
        <v>0</v>
      </c>
      <c r="N724">
        <v>15.7</v>
      </c>
      <c r="O724">
        <f t="shared" si="147"/>
        <v>15.7</v>
      </c>
      <c r="P724">
        <v>60</v>
      </c>
      <c r="Q724">
        <f t="shared" si="148"/>
        <v>60</v>
      </c>
      <c r="R724" t="s">
        <v>18</v>
      </c>
      <c r="S724" t="str">
        <f t="shared" si="149"/>
        <v>Non-Performing</v>
      </c>
      <c r="T724" t="s">
        <v>19</v>
      </c>
      <c r="U724" s="3">
        <f t="shared" si="150"/>
        <v>0.21934513407446296</v>
      </c>
      <c r="V724" t="str">
        <f t="shared" si="151"/>
        <v>Healthy</v>
      </c>
      <c r="W724" t="str">
        <f t="shared" si="152"/>
        <v>High Risk</v>
      </c>
      <c r="X724" s="5" t="str">
        <f t="shared" si="153"/>
        <v>Medium</v>
      </c>
      <c r="Y724" s="5" t="str">
        <f t="shared" si="154"/>
        <v>Low</v>
      </c>
      <c r="Z724" s="5" t="str">
        <f>IF(B724=120,"NULL",IF(AND(V724="High Stress", W724="High Risk", Y724="Low"),"High Risk : Reject", IF(AND(V724="Healthy", W724="Good",Y724&lt;&gt;"Low"), "Low Risk : Approve", "Medium Risk : Review")))</f>
        <v>Medium Risk : Review</v>
      </c>
      <c r="AA724" s="5" t="str">
        <f t="shared" si="155"/>
        <v>Medium</v>
      </c>
    </row>
    <row r="725" spans="1:27" x14ac:dyDescent="0.2">
      <c r="A725">
        <v>23394</v>
      </c>
      <c r="B725">
        <v>60</v>
      </c>
      <c r="C725">
        <f t="shared" si="143"/>
        <v>60</v>
      </c>
      <c r="D725" t="s">
        <v>27</v>
      </c>
      <c r="E725" t="str">
        <f t="shared" si="144"/>
        <v>Unemployed</v>
      </c>
      <c r="F725">
        <v>2621.23</v>
      </c>
      <c r="G725">
        <f>ABS(Table1[[#This Row],[Monthly_Income]])</f>
        <v>2621.23</v>
      </c>
      <c r="H725">
        <v>14198.69</v>
      </c>
      <c r="I725" s="5">
        <f t="shared" si="145"/>
        <v>14198.69</v>
      </c>
      <c r="J725">
        <v>18</v>
      </c>
      <c r="K725">
        <v>27.14</v>
      </c>
      <c r="M725" t="str">
        <f t="shared" si="146"/>
        <v>NULL</v>
      </c>
      <c r="N725">
        <v>3.5</v>
      </c>
      <c r="O725">
        <f t="shared" si="147"/>
        <v>3.5</v>
      </c>
      <c r="P725">
        <v>90</v>
      </c>
      <c r="Q725">
        <f t="shared" si="148"/>
        <v>90</v>
      </c>
      <c r="R725" t="s">
        <v>24</v>
      </c>
      <c r="S725" t="str">
        <f t="shared" si="149"/>
        <v>Non-Performing</v>
      </c>
      <c r="T725" t="s">
        <v>25</v>
      </c>
      <c r="U725" s="3">
        <f t="shared" si="150"/>
        <v>0.30093357359373696</v>
      </c>
      <c r="V725" t="str">
        <f t="shared" si="151"/>
        <v>Stretched</v>
      </c>
      <c r="W725" t="str">
        <f t="shared" si="152"/>
        <v>High Risk</v>
      </c>
      <c r="X725" s="5" t="str">
        <f t="shared" si="153"/>
        <v>Medium</v>
      </c>
      <c r="Y725" s="5" t="str">
        <f t="shared" si="154"/>
        <v>Low</v>
      </c>
      <c r="Z725" s="5" t="str">
        <f>IF(B725=120,"NULL",IF(AND(V725="High Stress", W725="High Risk", Y725="Low"),"High Risk : Reject", IF(AND(V725="Healthy", W725="Good",Y725&lt;&gt;"Low"), "Low Risk : Approve", "Medium Risk : Review")))</f>
        <v>Medium Risk : Review</v>
      </c>
      <c r="AA725" s="5" t="str">
        <f t="shared" si="155"/>
        <v>Medium</v>
      </c>
    </row>
    <row r="726" spans="1:27" x14ac:dyDescent="0.2">
      <c r="A726">
        <v>20483</v>
      </c>
      <c r="B726">
        <v>64</v>
      </c>
      <c r="C726">
        <f t="shared" si="143"/>
        <v>64</v>
      </c>
      <c r="D726" t="s">
        <v>12</v>
      </c>
      <c r="E726" t="str">
        <f t="shared" si="144"/>
        <v>Self-Employed</v>
      </c>
      <c r="F726">
        <v>6226.78</v>
      </c>
      <c r="G726">
        <f>ABS(Table1[[#This Row],[Monthly_Income]])</f>
        <v>6226.78</v>
      </c>
      <c r="H726">
        <v>24877.43</v>
      </c>
      <c r="I726" s="5">
        <f t="shared" si="145"/>
        <v>24877.43</v>
      </c>
      <c r="J726">
        <v>24</v>
      </c>
      <c r="K726">
        <v>20.65</v>
      </c>
      <c r="L726">
        <v>2</v>
      </c>
      <c r="M726">
        <f t="shared" si="146"/>
        <v>2</v>
      </c>
      <c r="N726">
        <v>7.6</v>
      </c>
      <c r="O726">
        <f t="shared" si="147"/>
        <v>7.6</v>
      </c>
      <c r="P726">
        <v>0</v>
      </c>
      <c r="Q726">
        <f t="shared" si="148"/>
        <v>0</v>
      </c>
      <c r="R726" t="s">
        <v>15</v>
      </c>
      <c r="S726" t="str">
        <f t="shared" si="149"/>
        <v xml:space="preserve">Performing </v>
      </c>
      <c r="T726" t="s">
        <v>22</v>
      </c>
      <c r="U726" s="3">
        <f t="shared" si="150"/>
        <v>0.16646799522920888</v>
      </c>
      <c r="V726" t="str">
        <f t="shared" si="151"/>
        <v>Healthy</v>
      </c>
      <c r="W726" t="str">
        <f t="shared" si="152"/>
        <v>Good</v>
      </c>
      <c r="X726" s="5" t="str">
        <f t="shared" si="153"/>
        <v>Medium</v>
      </c>
      <c r="Y726" s="5" t="str">
        <f t="shared" si="154"/>
        <v>Medium</v>
      </c>
      <c r="Z726" s="5" t="str">
        <f>IF(B726=120,"NULL",IF(AND(V726="High Stress", W726="High Risk", Y726="Low"),"High Risk : Reject", IF(AND(V726="Healthy", W726="Good",Y726&lt;&gt;"Low"), "Low Risk : Approve", "Medium Risk : Review")))</f>
        <v>Low Risk : Approve</v>
      </c>
      <c r="AA726" s="5" t="str">
        <f t="shared" si="155"/>
        <v>Medium</v>
      </c>
    </row>
    <row r="727" spans="1:27" x14ac:dyDescent="0.2">
      <c r="A727">
        <v>24800</v>
      </c>
      <c r="B727">
        <v>75</v>
      </c>
      <c r="C727">
        <f t="shared" si="143"/>
        <v>75</v>
      </c>
      <c r="D727" t="s">
        <v>21</v>
      </c>
      <c r="E727" t="str">
        <f t="shared" si="144"/>
        <v>Salaried</v>
      </c>
      <c r="F727">
        <v>6546.23</v>
      </c>
      <c r="G727">
        <f>ABS(Table1[[#This Row],[Monthly_Income]])</f>
        <v>6546.23</v>
      </c>
      <c r="H727">
        <v>18286.8</v>
      </c>
      <c r="I727" s="5">
        <f t="shared" si="145"/>
        <v>18286.8</v>
      </c>
      <c r="J727">
        <v>18</v>
      </c>
      <c r="K727">
        <v>28.08</v>
      </c>
      <c r="L727">
        <v>1</v>
      </c>
      <c r="M727">
        <f t="shared" si="146"/>
        <v>1</v>
      </c>
      <c r="N727">
        <v>6.3</v>
      </c>
      <c r="O727">
        <f t="shared" si="147"/>
        <v>6.3</v>
      </c>
      <c r="P727">
        <v>15</v>
      </c>
      <c r="Q727">
        <f t="shared" si="148"/>
        <v>15</v>
      </c>
      <c r="R727" t="s">
        <v>20</v>
      </c>
      <c r="S727" t="str">
        <f t="shared" si="149"/>
        <v>Written Off</v>
      </c>
      <c r="T727" t="s">
        <v>14</v>
      </c>
      <c r="U727" s="3">
        <f t="shared" si="150"/>
        <v>0.1551936509003401</v>
      </c>
      <c r="V727" t="str">
        <f t="shared" si="151"/>
        <v>Healthy</v>
      </c>
      <c r="W727" t="str">
        <f t="shared" si="152"/>
        <v>Good</v>
      </c>
      <c r="X727" s="5" t="str">
        <f t="shared" si="153"/>
        <v>Medium</v>
      </c>
      <c r="Y727" s="5" t="str">
        <f t="shared" si="154"/>
        <v>High</v>
      </c>
      <c r="Z727" s="5" t="str">
        <f>IF(B727=120,"NULL",IF(AND(V727="High Stress", W727="High Risk", Y727="Low"),"High Risk : Reject", IF(AND(V727="Healthy", W727="Good",Y727&lt;&gt;"Low"), "Low Risk : Approve", "Medium Risk : Review")))</f>
        <v>Low Risk : Approve</v>
      </c>
      <c r="AA727" s="5" t="str">
        <f t="shared" si="155"/>
        <v>Medium</v>
      </c>
    </row>
    <row r="728" spans="1:27" x14ac:dyDescent="0.2">
      <c r="A728">
        <v>25202</v>
      </c>
      <c r="B728">
        <v>59</v>
      </c>
      <c r="C728">
        <f t="shared" si="143"/>
        <v>59</v>
      </c>
      <c r="D728" t="s">
        <v>12</v>
      </c>
      <c r="E728" t="str">
        <f t="shared" si="144"/>
        <v>Self-Employed</v>
      </c>
      <c r="F728">
        <v>7933.06</v>
      </c>
      <c r="G728">
        <f>ABS(Table1[[#This Row],[Monthly_Income]])</f>
        <v>7933.06</v>
      </c>
      <c r="H728">
        <v>14358.75</v>
      </c>
      <c r="I728" s="5">
        <f t="shared" si="145"/>
        <v>14358.75</v>
      </c>
      <c r="J728">
        <v>18</v>
      </c>
      <c r="K728">
        <v>24.18</v>
      </c>
      <c r="L728">
        <v>1</v>
      </c>
      <c r="M728">
        <f t="shared" si="146"/>
        <v>1</v>
      </c>
      <c r="N728">
        <v>1.9</v>
      </c>
      <c r="O728">
        <f t="shared" si="147"/>
        <v>1.9</v>
      </c>
      <c r="P728">
        <v>120</v>
      </c>
      <c r="Q728">
        <f t="shared" si="148"/>
        <v>120</v>
      </c>
      <c r="R728" t="s">
        <v>13</v>
      </c>
      <c r="S728" t="str">
        <f t="shared" si="149"/>
        <v>Performing</v>
      </c>
      <c r="T728" t="s">
        <v>14</v>
      </c>
      <c r="U728" s="3">
        <f t="shared" si="150"/>
        <v>0.10055493508599875</v>
      </c>
      <c r="V728" t="str">
        <f t="shared" si="151"/>
        <v>Healthy</v>
      </c>
      <c r="W728" t="str">
        <f t="shared" si="152"/>
        <v>High Risk</v>
      </c>
      <c r="X728" s="5" t="str">
        <f t="shared" si="153"/>
        <v>Medium</v>
      </c>
      <c r="Y728" s="5" t="str">
        <f t="shared" si="154"/>
        <v>Medium</v>
      </c>
      <c r="Z728" s="5" t="str">
        <f>IF(B728=120,"NULL",IF(AND(V728="High Stress", W728="High Risk", Y728="Low"),"High Risk : Reject", IF(AND(V728="Healthy", W728="Good",Y728&lt;&gt;"Low"), "Low Risk : Approve", "Medium Risk : Review")))</f>
        <v>Medium Risk : Review</v>
      </c>
      <c r="AA728" s="5" t="str">
        <f t="shared" si="155"/>
        <v>Medium</v>
      </c>
    </row>
    <row r="729" spans="1:27" x14ac:dyDescent="0.2">
      <c r="A729">
        <v>24230</v>
      </c>
      <c r="B729">
        <v>50</v>
      </c>
      <c r="C729">
        <f t="shared" si="143"/>
        <v>50</v>
      </c>
      <c r="D729" t="s">
        <v>12</v>
      </c>
      <c r="E729" t="str">
        <f t="shared" si="144"/>
        <v>Self-Employed</v>
      </c>
      <c r="F729">
        <v>6550.17</v>
      </c>
      <c r="G729">
        <f>ABS(Table1[[#This Row],[Monthly_Income]])</f>
        <v>6550.17</v>
      </c>
      <c r="H729">
        <v>13333.49</v>
      </c>
      <c r="I729" s="5">
        <f t="shared" si="145"/>
        <v>13333.49</v>
      </c>
      <c r="J729">
        <v>18</v>
      </c>
      <c r="K729">
        <v>17.39</v>
      </c>
      <c r="M729" t="str">
        <f t="shared" si="146"/>
        <v>NULL</v>
      </c>
      <c r="N729">
        <v>10.8</v>
      </c>
      <c r="O729">
        <f t="shared" si="147"/>
        <v>10.8</v>
      </c>
      <c r="Q729" t="str">
        <f t="shared" si="148"/>
        <v>NULL</v>
      </c>
      <c r="R729" t="s">
        <v>20</v>
      </c>
      <c r="S729" t="str">
        <f t="shared" si="149"/>
        <v>Written Off</v>
      </c>
      <c r="T729" t="s">
        <v>14</v>
      </c>
      <c r="U729" s="3">
        <f t="shared" si="150"/>
        <v>0.11308858311226189</v>
      </c>
      <c r="V729" t="str">
        <f t="shared" si="151"/>
        <v>Healthy</v>
      </c>
      <c r="W729" t="str">
        <f t="shared" si="152"/>
        <v>NULL</v>
      </c>
      <c r="X729" s="5" t="str">
        <f t="shared" si="153"/>
        <v>Medium</v>
      </c>
      <c r="Y729" s="5" t="str">
        <f t="shared" si="154"/>
        <v>Medium</v>
      </c>
      <c r="Z729" s="5" t="str">
        <f>IF(B729=120,"NULL",IF(AND(V729="High Stress", W729="High Risk", Y729="Low"),"High Risk : Reject", IF(AND(V729="Healthy", W729="Good",Y729&lt;&gt;"Low"), "Low Risk : Approve", "Medium Risk : Review")))</f>
        <v>Medium Risk : Review</v>
      </c>
      <c r="AA729" s="5" t="str">
        <f t="shared" si="155"/>
        <v>Medium</v>
      </c>
    </row>
    <row r="730" spans="1:27" x14ac:dyDescent="0.2">
      <c r="A730">
        <v>23696</v>
      </c>
      <c r="B730">
        <v>37</v>
      </c>
      <c r="C730">
        <f t="shared" si="143"/>
        <v>37</v>
      </c>
      <c r="D730" t="s">
        <v>17</v>
      </c>
      <c r="E730" t="str">
        <f t="shared" si="144"/>
        <v>Contract</v>
      </c>
      <c r="F730">
        <v>1136.78</v>
      </c>
      <c r="G730">
        <f>ABS(Table1[[#This Row],[Monthly_Income]])</f>
        <v>1136.78</v>
      </c>
      <c r="H730">
        <v>39268.92</v>
      </c>
      <c r="I730" s="5">
        <f t="shared" si="145"/>
        <v>39268.92</v>
      </c>
      <c r="J730">
        <v>60</v>
      </c>
      <c r="K730">
        <v>11.26</v>
      </c>
      <c r="L730">
        <v>2</v>
      </c>
      <c r="M730">
        <f t="shared" si="146"/>
        <v>2</v>
      </c>
      <c r="N730">
        <v>4.8</v>
      </c>
      <c r="O730">
        <f t="shared" si="147"/>
        <v>4.8</v>
      </c>
      <c r="P730">
        <v>0</v>
      </c>
      <c r="Q730">
        <f t="shared" si="148"/>
        <v>0</v>
      </c>
      <c r="R730" t="s">
        <v>13</v>
      </c>
      <c r="S730" t="str">
        <f t="shared" si="149"/>
        <v>Performing</v>
      </c>
      <c r="T730" t="s">
        <v>25</v>
      </c>
      <c r="U730" s="3">
        <f t="shared" si="150"/>
        <v>0.5757332113513608</v>
      </c>
      <c r="V730" t="str">
        <f t="shared" si="151"/>
        <v>High Stress</v>
      </c>
      <c r="W730" t="str">
        <f t="shared" si="152"/>
        <v>Good</v>
      </c>
      <c r="X730" s="5" t="str">
        <f t="shared" si="153"/>
        <v>High</v>
      </c>
      <c r="Y730" s="5" t="str">
        <f t="shared" si="154"/>
        <v>Low</v>
      </c>
      <c r="Z730" s="5" t="str">
        <f>IF(B730=120,"NULL",IF(AND(V730="High Stress", W730="High Risk", Y730="Low"),"High Risk : Reject", IF(AND(V730="Healthy", W730="Good",Y730&lt;&gt;"Low"), "Low Risk : Approve", "Medium Risk : Review")))</f>
        <v>Medium Risk : Review</v>
      </c>
      <c r="AA730" s="5" t="str">
        <f t="shared" si="155"/>
        <v>Low</v>
      </c>
    </row>
    <row r="731" spans="1:27" x14ac:dyDescent="0.2">
      <c r="A731">
        <v>25799</v>
      </c>
      <c r="B731">
        <v>28</v>
      </c>
      <c r="C731">
        <f t="shared" si="143"/>
        <v>28</v>
      </c>
      <c r="D731" t="s">
        <v>26</v>
      </c>
      <c r="E731" t="str">
        <f t="shared" si="144"/>
        <v>Salaried</v>
      </c>
      <c r="F731">
        <v>5731.42</v>
      </c>
      <c r="G731">
        <f>ABS(Table1[[#This Row],[Monthly_Income]])</f>
        <v>5731.42</v>
      </c>
      <c r="H731">
        <v>13303.12</v>
      </c>
      <c r="I731" s="5">
        <f t="shared" si="145"/>
        <v>13303.12</v>
      </c>
      <c r="J731">
        <v>18</v>
      </c>
      <c r="K731">
        <v>30.83</v>
      </c>
      <c r="L731">
        <v>3</v>
      </c>
      <c r="M731">
        <f t="shared" si="146"/>
        <v>3</v>
      </c>
      <c r="N731">
        <v>2.5</v>
      </c>
      <c r="O731">
        <f t="shared" si="147"/>
        <v>2.5</v>
      </c>
      <c r="P731">
        <v>120</v>
      </c>
      <c r="Q731">
        <f t="shared" si="148"/>
        <v>120</v>
      </c>
      <c r="R731" t="s">
        <v>18</v>
      </c>
      <c r="S731" t="str">
        <f t="shared" si="149"/>
        <v>Non-Performing</v>
      </c>
      <c r="T731" t="s">
        <v>25</v>
      </c>
      <c r="U731" s="3">
        <f t="shared" si="150"/>
        <v>0.12894923460891408</v>
      </c>
      <c r="V731" t="str">
        <f t="shared" si="151"/>
        <v>Healthy</v>
      </c>
      <c r="W731" t="str">
        <f t="shared" si="152"/>
        <v>High Risk</v>
      </c>
      <c r="X731" s="5" t="str">
        <f t="shared" si="153"/>
        <v>Medium</v>
      </c>
      <c r="Y731" s="5" t="str">
        <f t="shared" si="154"/>
        <v>High</v>
      </c>
      <c r="Z731" s="5" t="str">
        <f>IF(B731=120,"NULL",IF(AND(V731="High Stress", W731="High Risk", Y731="Low"),"High Risk : Reject", IF(AND(V731="Healthy", W731="Good",Y731&lt;&gt;"Low"), "Low Risk : Approve", "Medium Risk : Review")))</f>
        <v>Medium Risk : Review</v>
      </c>
      <c r="AA731" s="5" t="str">
        <f t="shared" si="155"/>
        <v>Medium</v>
      </c>
    </row>
    <row r="732" spans="1:27" x14ac:dyDescent="0.2">
      <c r="A732">
        <v>21888</v>
      </c>
      <c r="B732">
        <v>55</v>
      </c>
      <c r="C732">
        <f t="shared" si="143"/>
        <v>55</v>
      </c>
      <c r="D732" t="s">
        <v>12</v>
      </c>
      <c r="E732" t="str">
        <f t="shared" si="144"/>
        <v>Self-Employed</v>
      </c>
      <c r="F732">
        <v>6825.11</v>
      </c>
      <c r="G732">
        <f>ABS(Table1[[#This Row],[Monthly_Income]])</f>
        <v>6825.11</v>
      </c>
      <c r="H732">
        <v>27607.439999999999</v>
      </c>
      <c r="I732" s="5">
        <f t="shared" si="145"/>
        <v>27607.439999999999</v>
      </c>
      <c r="J732">
        <v>60</v>
      </c>
      <c r="K732">
        <v>23.78</v>
      </c>
      <c r="L732">
        <v>2</v>
      </c>
      <c r="M732">
        <f t="shared" si="146"/>
        <v>2</v>
      </c>
      <c r="N732">
        <v>11.9</v>
      </c>
      <c r="O732">
        <f t="shared" si="147"/>
        <v>11.9</v>
      </c>
      <c r="P732">
        <v>90</v>
      </c>
      <c r="Q732">
        <f t="shared" si="148"/>
        <v>90</v>
      </c>
      <c r="R732" t="s">
        <v>13</v>
      </c>
      <c r="S732" t="str">
        <f t="shared" si="149"/>
        <v>Performing</v>
      </c>
      <c r="T732" t="s">
        <v>25</v>
      </c>
      <c r="U732" s="3">
        <f t="shared" si="150"/>
        <v>6.7416349333563858E-2</v>
      </c>
      <c r="V732" t="str">
        <f t="shared" si="151"/>
        <v>Healthy</v>
      </c>
      <c r="W732" t="str">
        <f t="shared" si="152"/>
        <v>High Risk</v>
      </c>
      <c r="X732" s="5" t="str">
        <f t="shared" si="153"/>
        <v>Medium</v>
      </c>
      <c r="Y732" s="5" t="str">
        <f t="shared" si="154"/>
        <v>Medium</v>
      </c>
      <c r="Z732" s="5" t="str">
        <f>IF(B732=120,"NULL",IF(AND(V732="High Stress", W732="High Risk", Y732="Low"),"High Risk : Reject", IF(AND(V732="Healthy", W732="Good",Y732&lt;&gt;"Low"), "Low Risk : Approve", "Medium Risk : Review")))</f>
        <v>Medium Risk : Review</v>
      </c>
      <c r="AA732" s="5" t="str">
        <f t="shared" si="155"/>
        <v>Medium</v>
      </c>
    </row>
    <row r="733" spans="1:27" x14ac:dyDescent="0.2">
      <c r="A733">
        <v>20051</v>
      </c>
      <c r="B733">
        <v>36</v>
      </c>
      <c r="C733">
        <f t="shared" si="143"/>
        <v>36</v>
      </c>
      <c r="D733" t="s">
        <v>26</v>
      </c>
      <c r="E733" t="str">
        <f t="shared" si="144"/>
        <v>Salaried</v>
      </c>
      <c r="F733">
        <v>-1500</v>
      </c>
      <c r="G733">
        <f>ABS(Table1[[#This Row],[Monthly_Income]])</f>
        <v>1500</v>
      </c>
      <c r="H733">
        <v>16058.5</v>
      </c>
      <c r="I733" s="5">
        <f t="shared" si="145"/>
        <v>16058.5</v>
      </c>
      <c r="J733">
        <v>12</v>
      </c>
      <c r="K733">
        <v>22.07</v>
      </c>
      <c r="L733">
        <v>1</v>
      </c>
      <c r="M733">
        <f t="shared" si="146"/>
        <v>1</v>
      </c>
      <c r="N733">
        <v>10</v>
      </c>
      <c r="O733">
        <f t="shared" si="147"/>
        <v>10</v>
      </c>
      <c r="P733">
        <v>0</v>
      </c>
      <c r="Q733">
        <f t="shared" si="148"/>
        <v>0</v>
      </c>
      <c r="R733" t="s">
        <v>13</v>
      </c>
      <c r="S733" t="str">
        <f t="shared" si="149"/>
        <v>Performing</v>
      </c>
      <c r="T733" t="s">
        <v>25</v>
      </c>
      <c r="U733" s="3">
        <f t="shared" si="150"/>
        <v>0.89213888888888893</v>
      </c>
      <c r="V733" t="str">
        <f t="shared" si="151"/>
        <v>High Stress</v>
      </c>
      <c r="W733" t="str">
        <f t="shared" si="152"/>
        <v>Good</v>
      </c>
      <c r="X733" s="5" t="str">
        <f t="shared" si="153"/>
        <v>Medium</v>
      </c>
      <c r="Y733" s="5" t="str">
        <f t="shared" si="154"/>
        <v>High</v>
      </c>
      <c r="Z733" s="5" t="str">
        <f>IF(B733=120,"NULL",IF(AND(V733="High Stress", W733="High Risk", Y733="Low"),"High Risk : Reject", IF(AND(V733="Healthy", W733="Good",Y733&lt;&gt;"Low"), "Low Risk : Approve", "Medium Risk : Review")))</f>
        <v>Medium Risk : Review</v>
      </c>
      <c r="AA733" s="5" t="str">
        <f t="shared" si="155"/>
        <v>Low</v>
      </c>
    </row>
    <row r="734" spans="1:27" x14ac:dyDescent="0.2">
      <c r="A734">
        <v>23575</v>
      </c>
      <c r="B734">
        <v>53</v>
      </c>
      <c r="C734">
        <f t="shared" si="143"/>
        <v>53</v>
      </c>
      <c r="D734" t="s">
        <v>23</v>
      </c>
      <c r="E734" t="str">
        <f t="shared" si="144"/>
        <v>Self-Employed</v>
      </c>
      <c r="F734">
        <v>6724.09</v>
      </c>
      <c r="G734">
        <f>ABS(Table1[[#This Row],[Monthly_Income]])</f>
        <v>6724.09</v>
      </c>
      <c r="H734">
        <v>13445.32</v>
      </c>
      <c r="I734" s="5">
        <f t="shared" si="145"/>
        <v>13445.32</v>
      </c>
      <c r="J734">
        <v>12</v>
      </c>
      <c r="K734">
        <v>22.6</v>
      </c>
      <c r="L734">
        <v>2</v>
      </c>
      <c r="M734">
        <f t="shared" si="146"/>
        <v>2</v>
      </c>
      <c r="N734">
        <v>1.5</v>
      </c>
      <c r="O734">
        <f t="shared" si="147"/>
        <v>1.5</v>
      </c>
      <c r="P734">
        <v>0</v>
      </c>
      <c r="Q734">
        <f t="shared" si="148"/>
        <v>0</v>
      </c>
      <c r="R734" t="s">
        <v>15</v>
      </c>
      <c r="S734" t="str">
        <f t="shared" si="149"/>
        <v xml:space="preserve">Performing </v>
      </c>
      <c r="T734" t="s">
        <v>19</v>
      </c>
      <c r="U734" s="3">
        <f t="shared" si="150"/>
        <v>0.16663122196956515</v>
      </c>
      <c r="V734" t="str">
        <f t="shared" si="151"/>
        <v>Healthy</v>
      </c>
      <c r="W734" t="str">
        <f t="shared" si="152"/>
        <v>Good</v>
      </c>
      <c r="X734" s="5" t="str">
        <f t="shared" si="153"/>
        <v>Medium</v>
      </c>
      <c r="Y734" s="5" t="str">
        <f t="shared" si="154"/>
        <v>Medium</v>
      </c>
      <c r="Z734" s="5" t="str">
        <f>IF(B734=120,"NULL",IF(AND(V734="High Stress", W734="High Risk", Y734="Low"),"High Risk : Reject", IF(AND(V734="Healthy", W734="Good",Y734&lt;&gt;"Low"), "Low Risk : Approve", "Medium Risk : Review")))</f>
        <v>Low Risk : Approve</v>
      </c>
      <c r="AA734" s="5" t="str">
        <f t="shared" si="155"/>
        <v>Medium</v>
      </c>
    </row>
    <row r="735" spans="1:27" x14ac:dyDescent="0.2">
      <c r="A735">
        <v>23794</v>
      </c>
      <c r="B735">
        <v>62</v>
      </c>
      <c r="C735">
        <f t="shared" si="143"/>
        <v>62</v>
      </c>
      <c r="D735" t="s">
        <v>17</v>
      </c>
      <c r="E735" t="str">
        <f t="shared" si="144"/>
        <v>Contract</v>
      </c>
      <c r="F735">
        <v>4557.1099999999997</v>
      </c>
      <c r="G735">
        <f>ABS(Table1[[#This Row],[Monthly_Income]])</f>
        <v>4557.1099999999997</v>
      </c>
      <c r="H735">
        <v>10942.37</v>
      </c>
      <c r="I735" s="5">
        <f t="shared" si="145"/>
        <v>10942.37</v>
      </c>
      <c r="J735">
        <v>12</v>
      </c>
      <c r="K735">
        <v>26.42</v>
      </c>
      <c r="M735" t="str">
        <f t="shared" si="146"/>
        <v>NULL</v>
      </c>
      <c r="N735">
        <v>8.9</v>
      </c>
      <c r="O735">
        <f t="shared" si="147"/>
        <v>8.9</v>
      </c>
      <c r="P735">
        <v>120</v>
      </c>
      <c r="Q735">
        <f t="shared" si="148"/>
        <v>120</v>
      </c>
      <c r="R735" t="s">
        <v>24</v>
      </c>
      <c r="S735" t="str">
        <f t="shared" si="149"/>
        <v>Non-Performing</v>
      </c>
      <c r="T735" t="s">
        <v>14</v>
      </c>
      <c r="U735" s="3">
        <f t="shared" si="150"/>
        <v>0.20009702786780809</v>
      </c>
      <c r="V735" t="str">
        <f t="shared" si="151"/>
        <v>Healthy</v>
      </c>
      <c r="W735" t="str">
        <f t="shared" si="152"/>
        <v>High Risk</v>
      </c>
      <c r="X735" s="5" t="str">
        <f t="shared" si="153"/>
        <v>Medium</v>
      </c>
      <c r="Y735" s="5" t="str">
        <f t="shared" si="154"/>
        <v>Low</v>
      </c>
      <c r="Z735" s="5" t="str">
        <f>IF(B735=120,"NULL",IF(AND(V735="High Stress", W735="High Risk", Y735="Low"),"High Risk : Reject", IF(AND(V735="Healthy", W735="Good",Y735&lt;&gt;"Low"), "Low Risk : Approve", "Medium Risk : Review")))</f>
        <v>Medium Risk : Review</v>
      </c>
      <c r="AA735" s="5" t="str">
        <f t="shared" si="155"/>
        <v>Medium</v>
      </c>
    </row>
    <row r="736" spans="1:27" x14ac:dyDescent="0.2">
      <c r="A736">
        <v>23543</v>
      </c>
      <c r="B736">
        <v>41</v>
      </c>
      <c r="C736">
        <f t="shared" si="143"/>
        <v>41</v>
      </c>
      <c r="D736" t="s">
        <v>21</v>
      </c>
      <c r="E736" t="str">
        <f t="shared" si="144"/>
        <v>Salaried</v>
      </c>
      <c r="F736">
        <v>6560.08</v>
      </c>
      <c r="G736">
        <f>ABS(Table1[[#This Row],[Monthly_Income]])</f>
        <v>6560.08</v>
      </c>
      <c r="H736">
        <v>26945.03</v>
      </c>
      <c r="I736" s="5">
        <f t="shared" si="145"/>
        <v>26945.03</v>
      </c>
      <c r="J736">
        <v>48</v>
      </c>
      <c r="K736">
        <v>16.72</v>
      </c>
      <c r="L736">
        <v>4</v>
      </c>
      <c r="M736">
        <f t="shared" si="146"/>
        <v>4</v>
      </c>
      <c r="N736">
        <v>3.3</v>
      </c>
      <c r="O736">
        <f t="shared" si="147"/>
        <v>3.3</v>
      </c>
      <c r="P736">
        <v>30</v>
      </c>
      <c r="Q736">
        <f t="shared" si="148"/>
        <v>30</v>
      </c>
      <c r="R736" t="s">
        <v>20</v>
      </c>
      <c r="S736" t="str">
        <f t="shared" si="149"/>
        <v>Written Off</v>
      </c>
      <c r="T736" t="s">
        <v>16</v>
      </c>
      <c r="U736" s="3">
        <f t="shared" si="150"/>
        <v>8.5571333225611071E-2</v>
      </c>
      <c r="V736" t="str">
        <f t="shared" si="151"/>
        <v>Healthy</v>
      </c>
      <c r="W736" t="str">
        <f t="shared" si="152"/>
        <v>At Risk</v>
      </c>
      <c r="X736" s="5" t="str">
        <f t="shared" si="153"/>
        <v>Medium</v>
      </c>
      <c r="Y736" s="5" t="str">
        <f t="shared" si="154"/>
        <v>High</v>
      </c>
      <c r="Z736" s="5" t="str">
        <f>IF(B736=120,"NULL",IF(AND(V736="High Stress", W736="High Risk", Y736="Low"),"High Risk : Reject", IF(AND(V736="Healthy", W736="Good",Y736&lt;&gt;"Low"), "Low Risk : Approve", "Medium Risk : Review")))</f>
        <v>Medium Risk : Review</v>
      </c>
      <c r="AA736" s="5" t="str">
        <f t="shared" si="155"/>
        <v>Medium</v>
      </c>
    </row>
    <row r="737" spans="1:27" x14ac:dyDescent="0.2">
      <c r="A737">
        <v>21425</v>
      </c>
      <c r="B737">
        <v>32</v>
      </c>
      <c r="C737">
        <f t="shared" si="143"/>
        <v>32</v>
      </c>
      <c r="D737" t="s">
        <v>21</v>
      </c>
      <c r="E737" t="str">
        <f t="shared" si="144"/>
        <v>Salaried</v>
      </c>
      <c r="F737">
        <v>8169.4</v>
      </c>
      <c r="G737">
        <f>ABS(Table1[[#This Row],[Monthly_Income]])</f>
        <v>8169.4</v>
      </c>
      <c r="H737">
        <v>16025.72</v>
      </c>
      <c r="I737" s="5">
        <f t="shared" si="145"/>
        <v>16025.72</v>
      </c>
      <c r="J737">
        <v>36</v>
      </c>
      <c r="K737">
        <v>23.97</v>
      </c>
      <c r="L737">
        <v>1</v>
      </c>
      <c r="M737">
        <f t="shared" si="146"/>
        <v>1</v>
      </c>
      <c r="N737">
        <v>8</v>
      </c>
      <c r="O737">
        <f t="shared" si="147"/>
        <v>8</v>
      </c>
      <c r="Q737" t="str">
        <f t="shared" si="148"/>
        <v>NULL</v>
      </c>
      <c r="R737" t="s">
        <v>18</v>
      </c>
      <c r="S737" t="str">
        <f t="shared" si="149"/>
        <v>Non-Performing</v>
      </c>
      <c r="T737" t="s">
        <v>14</v>
      </c>
      <c r="U737" s="3">
        <f t="shared" si="150"/>
        <v>5.4491013891949096E-2</v>
      </c>
      <c r="V737" t="str">
        <f t="shared" si="151"/>
        <v>Healthy</v>
      </c>
      <c r="W737" t="str">
        <f t="shared" si="152"/>
        <v>NULL</v>
      </c>
      <c r="X737" s="5" t="str">
        <f t="shared" si="153"/>
        <v>Medium</v>
      </c>
      <c r="Y737" s="5" t="str">
        <f t="shared" si="154"/>
        <v>High</v>
      </c>
      <c r="Z737" s="5" t="str">
        <f>IF(B737=120,"NULL",IF(AND(V737="High Stress", W737="High Risk", Y737="Low"),"High Risk : Reject", IF(AND(V737="Healthy", W737="Good",Y737&lt;&gt;"Low"), "Low Risk : Approve", "Medium Risk : Review")))</f>
        <v>Medium Risk : Review</v>
      </c>
      <c r="AA737" s="5" t="str">
        <f t="shared" si="155"/>
        <v>High</v>
      </c>
    </row>
    <row r="738" spans="1:27" x14ac:dyDescent="0.2">
      <c r="A738">
        <v>24977</v>
      </c>
      <c r="B738">
        <v>60</v>
      </c>
      <c r="C738">
        <f t="shared" si="143"/>
        <v>60</v>
      </c>
      <c r="D738" t="s">
        <v>17</v>
      </c>
      <c r="E738" t="str">
        <f t="shared" si="144"/>
        <v>Contract</v>
      </c>
      <c r="F738">
        <v>3703.9</v>
      </c>
      <c r="G738">
        <f>ABS(Table1[[#This Row],[Monthly_Income]])</f>
        <v>3703.9</v>
      </c>
      <c r="H738">
        <v>10291.64</v>
      </c>
      <c r="I738" s="5">
        <f t="shared" si="145"/>
        <v>10291.64</v>
      </c>
      <c r="J738">
        <v>6</v>
      </c>
      <c r="K738">
        <v>21.14</v>
      </c>
      <c r="L738">
        <v>3</v>
      </c>
      <c r="M738">
        <f t="shared" si="146"/>
        <v>3</v>
      </c>
      <c r="N738">
        <v>5.5</v>
      </c>
      <c r="O738">
        <f t="shared" si="147"/>
        <v>5.5</v>
      </c>
      <c r="Q738" t="str">
        <f t="shared" si="148"/>
        <v>NULL</v>
      </c>
      <c r="R738" t="s">
        <v>13</v>
      </c>
      <c r="S738" t="str">
        <f t="shared" si="149"/>
        <v>Performing</v>
      </c>
      <c r="T738" t="s">
        <v>22</v>
      </c>
      <c r="U738" s="3">
        <f t="shared" si="150"/>
        <v>0.46309925573944577</v>
      </c>
      <c r="V738" t="str">
        <f t="shared" si="151"/>
        <v>High Stress</v>
      </c>
      <c r="W738" t="str">
        <f t="shared" si="152"/>
        <v>NULL</v>
      </c>
      <c r="X738" s="5" t="str">
        <f t="shared" si="153"/>
        <v>Medium</v>
      </c>
      <c r="Y738" s="5" t="str">
        <f t="shared" si="154"/>
        <v>Low</v>
      </c>
      <c r="Z738" s="5" t="str">
        <f>IF(B738=120,"NULL",IF(AND(V738="High Stress", W738="High Risk", Y738="Low"),"High Risk : Reject", IF(AND(V738="Healthy", W738="Good",Y738&lt;&gt;"Low"), "Low Risk : Approve", "Medium Risk : Review")))</f>
        <v>Medium Risk : Review</v>
      </c>
      <c r="AA738" s="5" t="str">
        <f t="shared" si="155"/>
        <v>Medium</v>
      </c>
    </row>
    <row r="739" spans="1:27" x14ac:dyDescent="0.2">
      <c r="A739">
        <v>22822</v>
      </c>
      <c r="B739">
        <v>53</v>
      </c>
      <c r="C739">
        <f t="shared" si="143"/>
        <v>53</v>
      </c>
      <c r="D739" t="s">
        <v>27</v>
      </c>
      <c r="E739" t="str">
        <f t="shared" si="144"/>
        <v>Unemployed</v>
      </c>
      <c r="F739">
        <v>5099.7700000000004</v>
      </c>
      <c r="G739">
        <f>ABS(Table1[[#This Row],[Monthly_Income]])</f>
        <v>5099.7700000000004</v>
      </c>
      <c r="H739">
        <v>22203.01</v>
      </c>
      <c r="I739" s="5">
        <f t="shared" si="145"/>
        <v>22203.01</v>
      </c>
      <c r="J739">
        <v>24</v>
      </c>
      <c r="K739">
        <v>16.760000000000002</v>
      </c>
      <c r="L739">
        <v>3</v>
      </c>
      <c r="M739">
        <f t="shared" si="146"/>
        <v>3</v>
      </c>
      <c r="N739">
        <v>8.8000000000000007</v>
      </c>
      <c r="O739">
        <f t="shared" si="147"/>
        <v>8.8000000000000007</v>
      </c>
      <c r="P739">
        <v>90</v>
      </c>
      <c r="Q739">
        <f t="shared" si="148"/>
        <v>90</v>
      </c>
      <c r="R739" t="s">
        <v>18</v>
      </c>
      <c r="S739" t="str">
        <f t="shared" si="149"/>
        <v>Non-Performing</v>
      </c>
      <c r="T739" t="s">
        <v>22</v>
      </c>
      <c r="U739" s="3">
        <f t="shared" si="150"/>
        <v>0.18140532154718086</v>
      </c>
      <c r="V739" t="str">
        <f t="shared" si="151"/>
        <v>Healthy</v>
      </c>
      <c r="W739" t="str">
        <f t="shared" si="152"/>
        <v>High Risk</v>
      </c>
      <c r="X739" s="5" t="str">
        <f t="shared" si="153"/>
        <v>Medium</v>
      </c>
      <c r="Y739" s="5" t="str">
        <f t="shared" si="154"/>
        <v>Low</v>
      </c>
      <c r="Z739" s="5" t="str">
        <f>IF(B739=120,"NULL",IF(AND(V739="High Stress", W739="High Risk", Y739="Low"),"High Risk : Reject", IF(AND(V739="Healthy", W739="Good",Y739&lt;&gt;"Low"), "Low Risk : Approve", "Medium Risk : Review")))</f>
        <v>Medium Risk : Review</v>
      </c>
      <c r="AA739" s="5" t="str">
        <f t="shared" si="155"/>
        <v>Medium</v>
      </c>
    </row>
    <row r="740" spans="1:27" x14ac:dyDescent="0.2">
      <c r="A740">
        <v>23496</v>
      </c>
      <c r="B740">
        <v>55</v>
      </c>
      <c r="C740">
        <f t="shared" si="143"/>
        <v>55</v>
      </c>
      <c r="D740" t="s">
        <v>21</v>
      </c>
      <c r="E740" t="str">
        <f t="shared" si="144"/>
        <v>Salaried</v>
      </c>
      <c r="F740">
        <v>7731.54</v>
      </c>
      <c r="G740">
        <f>ABS(Table1[[#This Row],[Monthly_Income]])</f>
        <v>7731.54</v>
      </c>
      <c r="H740">
        <v>12500.85</v>
      </c>
      <c r="I740" s="5">
        <f t="shared" si="145"/>
        <v>12500.85</v>
      </c>
      <c r="J740">
        <v>6</v>
      </c>
      <c r="K740">
        <v>10.65</v>
      </c>
      <c r="L740">
        <v>4</v>
      </c>
      <c r="M740">
        <f t="shared" si="146"/>
        <v>4</v>
      </c>
      <c r="N740">
        <v>9.4</v>
      </c>
      <c r="O740">
        <f t="shared" si="147"/>
        <v>9.4</v>
      </c>
      <c r="P740">
        <v>0</v>
      </c>
      <c r="Q740">
        <f t="shared" si="148"/>
        <v>0</v>
      </c>
      <c r="R740" t="s">
        <v>18</v>
      </c>
      <c r="S740" t="str">
        <f t="shared" si="149"/>
        <v>Non-Performing</v>
      </c>
      <c r="T740" t="s">
        <v>16</v>
      </c>
      <c r="U740" s="3">
        <f t="shared" si="150"/>
        <v>0.26947736156056878</v>
      </c>
      <c r="V740" t="str">
        <f t="shared" si="151"/>
        <v>Healthy</v>
      </c>
      <c r="W740" t="str">
        <f t="shared" si="152"/>
        <v>Good</v>
      </c>
      <c r="X740" s="5" t="str">
        <f t="shared" si="153"/>
        <v>Medium</v>
      </c>
      <c r="Y740" s="5" t="str">
        <f t="shared" si="154"/>
        <v>High</v>
      </c>
      <c r="Z740" s="5" t="str">
        <f>IF(B740=120,"NULL",IF(AND(V740="High Stress", W740="High Risk", Y740="Low"),"High Risk : Reject", IF(AND(V740="Healthy", W740="Good",Y740&lt;&gt;"Low"), "Low Risk : Approve", "Medium Risk : Review")))</f>
        <v>Low Risk : Approve</v>
      </c>
      <c r="AA740" s="5" t="str">
        <f t="shared" si="155"/>
        <v>Medium</v>
      </c>
    </row>
    <row r="741" spans="1:27" x14ac:dyDescent="0.2">
      <c r="A741">
        <v>23971</v>
      </c>
      <c r="B741">
        <v>38</v>
      </c>
      <c r="C741">
        <f t="shared" si="143"/>
        <v>38</v>
      </c>
      <c r="D741" t="s">
        <v>21</v>
      </c>
      <c r="E741" t="str">
        <f t="shared" si="144"/>
        <v>Salaried</v>
      </c>
      <c r="F741">
        <v>5499.89</v>
      </c>
      <c r="G741">
        <f>ABS(Table1[[#This Row],[Monthly_Income]])</f>
        <v>5499.89</v>
      </c>
      <c r="H741">
        <v>33320.910000000003</v>
      </c>
      <c r="I741" s="5">
        <f t="shared" si="145"/>
        <v>33320.910000000003</v>
      </c>
      <c r="J741">
        <v>24</v>
      </c>
      <c r="K741">
        <v>21.4</v>
      </c>
      <c r="L741">
        <v>4</v>
      </c>
      <c r="M741">
        <f t="shared" si="146"/>
        <v>4</v>
      </c>
      <c r="N741">
        <v>3.2</v>
      </c>
      <c r="O741">
        <f t="shared" si="147"/>
        <v>3.2</v>
      </c>
      <c r="P741">
        <v>0</v>
      </c>
      <c r="Q741">
        <f t="shared" si="148"/>
        <v>0</v>
      </c>
      <c r="R741" t="s">
        <v>24</v>
      </c>
      <c r="S741" t="str">
        <f t="shared" si="149"/>
        <v>Non-Performing</v>
      </c>
      <c r="T741" t="s">
        <v>14</v>
      </c>
      <c r="U741" s="3">
        <f t="shared" si="150"/>
        <v>0.25243618508733812</v>
      </c>
      <c r="V741" t="str">
        <f t="shared" si="151"/>
        <v>Healthy</v>
      </c>
      <c r="W741" t="str">
        <f t="shared" si="152"/>
        <v>Good</v>
      </c>
      <c r="X741" s="5" t="str">
        <f t="shared" si="153"/>
        <v>High</v>
      </c>
      <c r="Y741" s="5" t="str">
        <f t="shared" si="154"/>
        <v>High</v>
      </c>
      <c r="Z741" s="5" t="str">
        <f>IF(B741=120,"NULL",IF(AND(V741="High Stress", W741="High Risk", Y741="Low"),"High Risk : Reject", IF(AND(V741="Healthy", W741="Good",Y741&lt;&gt;"Low"), "Low Risk : Approve", "Medium Risk : Review")))</f>
        <v>Low Risk : Approve</v>
      </c>
      <c r="AA741" s="5" t="str">
        <f t="shared" si="155"/>
        <v>Medium</v>
      </c>
    </row>
    <row r="742" spans="1:27" x14ac:dyDescent="0.2">
      <c r="A742">
        <v>22071</v>
      </c>
      <c r="B742">
        <v>25</v>
      </c>
      <c r="C742">
        <f t="shared" si="143"/>
        <v>25</v>
      </c>
      <c r="D742" t="s">
        <v>27</v>
      </c>
      <c r="E742" t="str">
        <f t="shared" si="144"/>
        <v>Unemployed</v>
      </c>
      <c r="F742">
        <v>5047.8500000000004</v>
      </c>
      <c r="G742">
        <f>ABS(Table1[[#This Row],[Monthly_Income]])</f>
        <v>5047.8500000000004</v>
      </c>
      <c r="H742">
        <v>22603.11</v>
      </c>
      <c r="I742" s="5">
        <f t="shared" si="145"/>
        <v>22603.11</v>
      </c>
      <c r="J742">
        <v>48</v>
      </c>
      <c r="K742">
        <v>17.739999999999998</v>
      </c>
      <c r="L742">
        <v>0</v>
      </c>
      <c r="M742">
        <f t="shared" si="146"/>
        <v>0</v>
      </c>
      <c r="N742">
        <v>7.2</v>
      </c>
      <c r="O742">
        <f t="shared" si="147"/>
        <v>7.2</v>
      </c>
      <c r="P742">
        <v>0</v>
      </c>
      <c r="Q742">
        <f t="shared" si="148"/>
        <v>0</v>
      </c>
      <c r="R742" t="s">
        <v>20</v>
      </c>
      <c r="S742" t="str">
        <f t="shared" si="149"/>
        <v>Written Off</v>
      </c>
      <c r="T742" t="s">
        <v>22</v>
      </c>
      <c r="U742" s="3">
        <f t="shared" si="150"/>
        <v>9.3286869657378882E-2</v>
      </c>
      <c r="V742" t="str">
        <f t="shared" si="151"/>
        <v>Healthy</v>
      </c>
      <c r="W742" t="str">
        <f t="shared" si="152"/>
        <v>Good</v>
      </c>
      <c r="X742" s="5" t="str">
        <f t="shared" si="153"/>
        <v>Medium</v>
      </c>
      <c r="Y742" s="5" t="str">
        <f t="shared" si="154"/>
        <v>Low</v>
      </c>
      <c r="Z742" s="5" t="str">
        <f>IF(B742=120,"NULL",IF(AND(V742="High Stress", W742="High Risk", Y742="Low"),"High Risk : Reject", IF(AND(V742="Healthy", W742="Good",Y742&lt;&gt;"Low"), "Low Risk : Approve", "Medium Risk : Review")))</f>
        <v>Medium Risk : Review</v>
      </c>
      <c r="AA742" s="5" t="str">
        <f t="shared" si="155"/>
        <v>Medium</v>
      </c>
    </row>
    <row r="743" spans="1:27" x14ac:dyDescent="0.2">
      <c r="A743">
        <v>20389</v>
      </c>
      <c r="B743">
        <v>30</v>
      </c>
      <c r="C743">
        <f t="shared" si="143"/>
        <v>30</v>
      </c>
      <c r="D743" t="s">
        <v>23</v>
      </c>
      <c r="E743" t="str">
        <f t="shared" si="144"/>
        <v>Self-Employed</v>
      </c>
      <c r="F743">
        <v>5089.5</v>
      </c>
      <c r="G743">
        <f>ABS(Table1[[#This Row],[Monthly_Income]])</f>
        <v>5089.5</v>
      </c>
      <c r="H743">
        <v>10595.49</v>
      </c>
      <c r="I743" s="5">
        <f t="shared" si="145"/>
        <v>10595.49</v>
      </c>
      <c r="J743">
        <v>60</v>
      </c>
      <c r="K743">
        <v>22.4</v>
      </c>
      <c r="L743">
        <v>4</v>
      </c>
      <c r="M743">
        <f t="shared" si="146"/>
        <v>4</v>
      </c>
      <c r="N743">
        <v>12.6</v>
      </c>
      <c r="O743">
        <f t="shared" si="147"/>
        <v>12.6</v>
      </c>
      <c r="P743">
        <v>120</v>
      </c>
      <c r="Q743">
        <f t="shared" si="148"/>
        <v>120</v>
      </c>
      <c r="R743" t="s">
        <v>13</v>
      </c>
      <c r="S743" t="str">
        <f t="shared" si="149"/>
        <v>Performing</v>
      </c>
      <c r="T743" t="s">
        <v>22</v>
      </c>
      <c r="U743" s="3">
        <f t="shared" si="150"/>
        <v>3.4697219766185283E-2</v>
      </c>
      <c r="V743" t="str">
        <f t="shared" si="151"/>
        <v>Healthy</v>
      </c>
      <c r="W743" t="str">
        <f t="shared" si="152"/>
        <v>High Risk</v>
      </c>
      <c r="X743" s="5" t="str">
        <f t="shared" si="153"/>
        <v>Medium</v>
      </c>
      <c r="Y743" s="5" t="str">
        <f t="shared" si="154"/>
        <v>Medium</v>
      </c>
      <c r="Z743" s="5" t="str">
        <f>IF(B743=120,"NULL",IF(AND(V743="High Stress", W743="High Risk", Y743="Low"),"High Risk : Reject", IF(AND(V743="Healthy", W743="Good",Y743&lt;&gt;"Low"), "Low Risk : Approve", "Medium Risk : Review")))</f>
        <v>Medium Risk : Review</v>
      </c>
      <c r="AA743" s="5" t="str">
        <f t="shared" si="155"/>
        <v>Medium</v>
      </c>
    </row>
    <row r="744" spans="1:27" x14ac:dyDescent="0.2">
      <c r="A744">
        <v>25992</v>
      </c>
      <c r="B744">
        <v>120</v>
      </c>
      <c r="C744" t="str">
        <f t="shared" si="143"/>
        <v>NULL</v>
      </c>
      <c r="D744" t="s">
        <v>21</v>
      </c>
      <c r="E744" t="str">
        <f t="shared" si="144"/>
        <v>Salaried</v>
      </c>
      <c r="F744">
        <v>4355.99</v>
      </c>
      <c r="G744">
        <f>ABS(Table1[[#This Row],[Monthly_Income]])</f>
        <v>4355.99</v>
      </c>
      <c r="H744">
        <v>4834.43</v>
      </c>
      <c r="I744" s="5">
        <f t="shared" si="145"/>
        <v>4834.43</v>
      </c>
      <c r="J744">
        <v>18</v>
      </c>
      <c r="K744">
        <v>20.260000000000002</v>
      </c>
      <c r="M744" t="str">
        <f t="shared" si="146"/>
        <v>NULL</v>
      </c>
      <c r="N744">
        <v>6.2</v>
      </c>
      <c r="O744">
        <f t="shared" si="147"/>
        <v>6.2</v>
      </c>
      <c r="P744">
        <v>0</v>
      </c>
      <c r="Q744">
        <f t="shared" si="148"/>
        <v>0</v>
      </c>
      <c r="R744" t="s">
        <v>15</v>
      </c>
      <c r="S744" t="str">
        <f t="shared" si="149"/>
        <v xml:space="preserve">Performing </v>
      </c>
      <c r="T744" t="s">
        <v>25</v>
      </c>
      <c r="U744" s="3">
        <f t="shared" si="150"/>
        <v>6.1657497938343402E-2</v>
      </c>
      <c r="V744" t="str">
        <f t="shared" si="151"/>
        <v>Healthy</v>
      </c>
      <c r="W744" t="str">
        <f t="shared" si="152"/>
        <v>Good</v>
      </c>
      <c r="X744" s="5" t="str">
        <f t="shared" si="153"/>
        <v>Small</v>
      </c>
      <c r="Y744" s="5" t="str">
        <f t="shared" si="154"/>
        <v>High</v>
      </c>
      <c r="Z744" s="5" t="str">
        <f>IF(B744=120,"NULL",IF(AND(V744="High Stress", W744="High Risk", Y744="Low"),"High Risk : Reject", IF(AND(V744="Healthy", W744="Good",Y744&lt;&gt;"Low"), "Low Risk : Approve", "Medium Risk : Review")))</f>
        <v>NULL</v>
      </c>
      <c r="AA744" s="5" t="str">
        <f t="shared" si="155"/>
        <v>Medium</v>
      </c>
    </row>
    <row r="745" spans="1:27" x14ac:dyDescent="0.2">
      <c r="A745">
        <v>22612</v>
      </c>
      <c r="B745">
        <v>62</v>
      </c>
      <c r="C745">
        <f t="shared" si="143"/>
        <v>62</v>
      </c>
      <c r="D745" t="s">
        <v>23</v>
      </c>
      <c r="E745" t="str">
        <f t="shared" si="144"/>
        <v>Self-Employed</v>
      </c>
      <c r="F745">
        <v>3665.9</v>
      </c>
      <c r="G745">
        <f>ABS(Table1[[#This Row],[Monthly_Income]])</f>
        <v>3665.9</v>
      </c>
      <c r="H745">
        <v>14703.5</v>
      </c>
      <c r="I745" s="5">
        <f t="shared" si="145"/>
        <v>14703.5</v>
      </c>
      <c r="J745">
        <v>6</v>
      </c>
      <c r="K745">
        <v>18.510000000000002</v>
      </c>
      <c r="L745">
        <v>4</v>
      </c>
      <c r="M745">
        <f t="shared" si="146"/>
        <v>4</v>
      </c>
      <c r="N745">
        <v>7.7</v>
      </c>
      <c r="O745">
        <f t="shared" si="147"/>
        <v>7.7</v>
      </c>
      <c r="P745">
        <v>15</v>
      </c>
      <c r="Q745">
        <f t="shared" si="148"/>
        <v>15</v>
      </c>
      <c r="R745" t="s">
        <v>18</v>
      </c>
      <c r="S745" t="str">
        <f t="shared" si="149"/>
        <v>Non-Performing</v>
      </c>
      <c r="T745" t="s">
        <v>16</v>
      </c>
      <c r="U745" s="3">
        <f t="shared" si="150"/>
        <v>0.66848068232448599</v>
      </c>
      <c r="V745" t="str">
        <f t="shared" si="151"/>
        <v>High Stress</v>
      </c>
      <c r="W745" t="str">
        <f t="shared" si="152"/>
        <v>Good</v>
      </c>
      <c r="X745" s="5" t="str">
        <f t="shared" si="153"/>
        <v>Medium</v>
      </c>
      <c r="Y745" s="5" t="str">
        <f t="shared" si="154"/>
        <v>Medium</v>
      </c>
      <c r="Z745" s="5" t="str">
        <f>IF(B745=120,"NULL",IF(AND(V745="High Stress", W745="High Risk", Y745="Low"),"High Risk : Reject", IF(AND(V745="Healthy", W745="Good",Y745&lt;&gt;"Low"), "Low Risk : Approve", "Medium Risk : Review")))</f>
        <v>Medium Risk : Review</v>
      </c>
      <c r="AA745" s="5" t="str">
        <f t="shared" si="155"/>
        <v>Medium</v>
      </c>
    </row>
    <row r="746" spans="1:27" x14ac:dyDescent="0.2">
      <c r="A746">
        <v>23425</v>
      </c>
      <c r="B746">
        <v>35</v>
      </c>
      <c r="C746">
        <f t="shared" si="143"/>
        <v>35</v>
      </c>
      <c r="D746" t="s">
        <v>17</v>
      </c>
      <c r="E746" t="str">
        <f t="shared" si="144"/>
        <v>Contract</v>
      </c>
      <c r="F746">
        <v>2758.36</v>
      </c>
      <c r="G746">
        <f>ABS(Table1[[#This Row],[Monthly_Income]])</f>
        <v>2758.36</v>
      </c>
      <c r="H746">
        <v>20644.38</v>
      </c>
      <c r="I746" s="5">
        <f t="shared" si="145"/>
        <v>20644.38</v>
      </c>
      <c r="J746">
        <v>12</v>
      </c>
      <c r="K746">
        <v>55</v>
      </c>
      <c r="L746">
        <v>3</v>
      </c>
      <c r="M746">
        <f t="shared" si="146"/>
        <v>3</v>
      </c>
      <c r="N746">
        <v>7.3</v>
      </c>
      <c r="O746">
        <f t="shared" si="147"/>
        <v>7.3</v>
      </c>
      <c r="P746">
        <v>15</v>
      </c>
      <c r="Q746">
        <f t="shared" si="148"/>
        <v>15</v>
      </c>
      <c r="R746" t="s">
        <v>13</v>
      </c>
      <c r="S746" t="str">
        <f t="shared" si="149"/>
        <v>Performing</v>
      </c>
      <c r="T746" t="s">
        <v>14</v>
      </c>
      <c r="U746" s="3">
        <f t="shared" si="150"/>
        <v>0.6236912513232501</v>
      </c>
      <c r="V746" t="str">
        <f t="shared" si="151"/>
        <v>High Stress</v>
      </c>
      <c r="W746" t="str">
        <f t="shared" si="152"/>
        <v>Good</v>
      </c>
      <c r="X746" s="5" t="str">
        <f t="shared" si="153"/>
        <v>Medium</v>
      </c>
      <c r="Y746" s="5" t="str">
        <f t="shared" si="154"/>
        <v>Low</v>
      </c>
      <c r="Z746" s="5" t="str">
        <f>IF(B746=120,"NULL",IF(AND(V746="High Stress", W746="High Risk", Y746="Low"),"High Risk : Reject", IF(AND(V746="Healthy", W746="Good",Y746&lt;&gt;"Low"), "Low Risk : Approve", "Medium Risk : Review")))</f>
        <v>Medium Risk : Review</v>
      </c>
      <c r="AA746" s="5" t="str">
        <f t="shared" si="155"/>
        <v>Medium</v>
      </c>
    </row>
    <row r="747" spans="1:27" x14ac:dyDescent="0.2">
      <c r="A747">
        <v>21714</v>
      </c>
      <c r="B747">
        <v>33</v>
      </c>
      <c r="C747">
        <f t="shared" si="143"/>
        <v>33</v>
      </c>
      <c r="D747" t="s">
        <v>17</v>
      </c>
      <c r="E747" t="str">
        <f t="shared" si="144"/>
        <v>Contract</v>
      </c>
      <c r="F747">
        <v>4936.91</v>
      </c>
      <c r="G747">
        <f>ABS(Table1[[#This Row],[Monthly_Income]])</f>
        <v>4936.91</v>
      </c>
      <c r="H747">
        <v>20891.060000000001</v>
      </c>
      <c r="I747" s="5">
        <f t="shared" si="145"/>
        <v>20891.060000000001</v>
      </c>
      <c r="J747">
        <v>24</v>
      </c>
      <c r="K747">
        <v>21.86</v>
      </c>
      <c r="L747">
        <v>0</v>
      </c>
      <c r="M747">
        <f t="shared" si="146"/>
        <v>0</v>
      </c>
      <c r="N747">
        <v>14.9</v>
      </c>
      <c r="O747">
        <f t="shared" si="147"/>
        <v>14.9</v>
      </c>
      <c r="P747">
        <v>0</v>
      </c>
      <c r="Q747">
        <f t="shared" si="148"/>
        <v>0</v>
      </c>
      <c r="R747" t="s">
        <v>15</v>
      </c>
      <c r="S747" t="str">
        <f t="shared" si="149"/>
        <v xml:space="preserve">Performing </v>
      </c>
      <c r="T747" t="s">
        <v>16</v>
      </c>
      <c r="U747" s="3">
        <f t="shared" si="150"/>
        <v>0.17631693373655452</v>
      </c>
      <c r="V747" t="str">
        <f t="shared" si="151"/>
        <v>Healthy</v>
      </c>
      <c r="W747" t="str">
        <f t="shared" si="152"/>
        <v>Good</v>
      </c>
      <c r="X747" s="5" t="str">
        <f t="shared" si="153"/>
        <v>Medium</v>
      </c>
      <c r="Y747" s="5" t="str">
        <f t="shared" si="154"/>
        <v>Low</v>
      </c>
      <c r="Z747" s="5" t="str">
        <f>IF(B747=120,"NULL",IF(AND(V747="High Stress", W747="High Risk", Y747="Low"),"High Risk : Reject", IF(AND(V747="Healthy", W747="Good",Y747&lt;&gt;"Low"), "Low Risk : Approve", "Medium Risk : Review")))</f>
        <v>Medium Risk : Review</v>
      </c>
      <c r="AA747" s="5" t="str">
        <f t="shared" si="155"/>
        <v>Medium</v>
      </c>
    </row>
    <row r="748" spans="1:27" x14ac:dyDescent="0.2">
      <c r="A748">
        <v>25003</v>
      </c>
      <c r="B748">
        <v>21</v>
      </c>
      <c r="C748">
        <f t="shared" si="143"/>
        <v>21</v>
      </c>
      <c r="D748" t="s">
        <v>23</v>
      </c>
      <c r="E748" t="str">
        <f t="shared" si="144"/>
        <v>Self-Employed</v>
      </c>
      <c r="F748">
        <v>4256.25</v>
      </c>
      <c r="G748">
        <f>ABS(Table1[[#This Row],[Monthly_Income]])</f>
        <v>4256.25</v>
      </c>
      <c r="H748">
        <v>33868.94</v>
      </c>
      <c r="I748" s="5">
        <f t="shared" si="145"/>
        <v>33868.94</v>
      </c>
      <c r="J748">
        <v>18</v>
      </c>
      <c r="K748">
        <v>24.09</v>
      </c>
      <c r="L748">
        <v>0</v>
      </c>
      <c r="M748">
        <f t="shared" si="146"/>
        <v>0</v>
      </c>
      <c r="N748">
        <v>6.5</v>
      </c>
      <c r="O748">
        <f t="shared" si="147"/>
        <v>6.5</v>
      </c>
      <c r="P748">
        <v>0</v>
      </c>
      <c r="Q748">
        <f t="shared" si="148"/>
        <v>0</v>
      </c>
      <c r="R748" t="s">
        <v>18</v>
      </c>
      <c r="S748" t="str">
        <f t="shared" si="149"/>
        <v>Non-Performing</v>
      </c>
      <c r="T748" t="s">
        <v>16</v>
      </c>
      <c r="U748" s="3">
        <f t="shared" si="150"/>
        <v>0.44208112253222387</v>
      </c>
      <c r="V748" t="str">
        <f t="shared" si="151"/>
        <v>Stretched</v>
      </c>
      <c r="W748" t="str">
        <f t="shared" si="152"/>
        <v>Good</v>
      </c>
      <c r="X748" s="5" t="str">
        <f t="shared" si="153"/>
        <v>High</v>
      </c>
      <c r="Y748" s="5" t="str">
        <f t="shared" si="154"/>
        <v>Medium</v>
      </c>
      <c r="Z748" s="5" t="str">
        <f>IF(B748=120,"NULL",IF(AND(V748="High Stress", W748="High Risk", Y748="Low"),"High Risk : Reject", IF(AND(V748="Healthy", W748="Good",Y748&lt;&gt;"Low"), "Low Risk : Approve", "Medium Risk : Review")))</f>
        <v>Medium Risk : Review</v>
      </c>
      <c r="AA748" s="5" t="str">
        <f t="shared" si="155"/>
        <v>Medium</v>
      </c>
    </row>
    <row r="749" spans="1:27" x14ac:dyDescent="0.2">
      <c r="A749">
        <v>25546</v>
      </c>
      <c r="B749">
        <v>53</v>
      </c>
      <c r="C749">
        <f t="shared" si="143"/>
        <v>53</v>
      </c>
      <c r="D749" t="s">
        <v>27</v>
      </c>
      <c r="E749" t="str">
        <f t="shared" si="144"/>
        <v>Unemployed</v>
      </c>
      <c r="F749">
        <v>4157.6400000000003</v>
      </c>
      <c r="G749">
        <f>ABS(Table1[[#This Row],[Monthly_Income]])</f>
        <v>4157.6400000000003</v>
      </c>
      <c r="H749">
        <v>20526.439999999999</v>
      </c>
      <c r="I749" s="5">
        <f t="shared" si="145"/>
        <v>20526.439999999999</v>
      </c>
      <c r="J749">
        <v>6</v>
      </c>
      <c r="K749">
        <v>23.08</v>
      </c>
      <c r="L749">
        <v>2</v>
      </c>
      <c r="M749">
        <f t="shared" si="146"/>
        <v>2</v>
      </c>
      <c r="N749">
        <v>8.1999999999999993</v>
      </c>
      <c r="O749">
        <f t="shared" si="147"/>
        <v>8.1999999999999993</v>
      </c>
      <c r="Q749" t="str">
        <f t="shared" si="148"/>
        <v>NULL</v>
      </c>
      <c r="R749" t="s">
        <v>15</v>
      </c>
      <c r="S749" t="str">
        <f t="shared" si="149"/>
        <v xml:space="preserve">Performing </v>
      </c>
      <c r="T749" t="s">
        <v>19</v>
      </c>
      <c r="U749" s="3">
        <f t="shared" si="150"/>
        <v>0.82284020101147104</v>
      </c>
      <c r="V749" t="str">
        <f t="shared" si="151"/>
        <v>High Stress</v>
      </c>
      <c r="W749" t="str">
        <f t="shared" si="152"/>
        <v>NULL</v>
      </c>
      <c r="X749" s="5" t="str">
        <f t="shared" si="153"/>
        <v>Medium</v>
      </c>
      <c r="Y749" s="5" t="str">
        <f t="shared" si="154"/>
        <v>Low</v>
      </c>
      <c r="Z749" s="5" t="str">
        <f>IF(B749=120,"NULL",IF(AND(V749="High Stress", W749="High Risk", Y749="Low"),"High Risk : Reject", IF(AND(V749="Healthy", W749="Good",Y749&lt;&gt;"Low"), "Low Risk : Approve", "Medium Risk : Review")))</f>
        <v>Medium Risk : Review</v>
      </c>
      <c r="AA749" s="5" t="str">
        <f t="shared" si="155"/>
        <v>Medium</v>
      </c>
    </row>
    <row r="750" spans="1:27" x14ac:dyDescent="0.2">
      <c r="A750">
        <v>24577</v>
      </c>
      <c r="B750">
        <v>59</v>
      </c>
      <c r="C750">
        <f t="shared" si="143"/>
        <v>59</v>
      </c>
      <c r="D750" t="s">
        <v>26</v>
      </c>
      <c r="E750" t="str">
        <f t="shared" si="144"/>
        <v>Salaried</v>
      </c>
      <c r="F750">
        <v>6700.75</v>
      </c>
      <c r="G750">
        <f>ABS(Table1[[#This Row],[Monthly_Income]])</f>
        <v>6700.75</v>
      </c>
      <c r="H750">
        <v>14443.61</v>
      </c>
      <c r="I750" s="5">
        <f t="shared" si="145"/>
        <v>14443.61</v>
      </c>
      <c r="J750">
        <v>18</v>
      </c>
      <c r="K750">
        <v>12.72</v>
      </c>
      <c r="L750">
        <v>4</v>
      </c>
      <c r="M750">
        <f t="shared" si="146"/>
        <v>4</v>
      </c>
      <c r="N750">
        <v>11.6</v>
      </c>
      <c r="O750">
        <f t="shared" si="147"/>
        <v>11.6</v>
      </c>
      <c r="P750">
        <v>120</v>
      </c>
      <c r="Q750">
        <f t="shared" si="148"/>
        <v>120</v>
      </c>
      <c r="R750" t="s">
        <v>24</v>
      </c>
      <c r="S750" t="str">
        <f t="shared" si="149"/>
        <v>Non-Performing</v>
      </c>
      <c r="T750" t="s">
        <v>22</v>
      </c>
      <c r="U750" s="3">
        <f t="shared" si="150"/>
        <v>0.11975118871436448</v>
      </c>
      <c r="V750" t="str">
        <f t="shared" si="151"/>
        <v>Healthy</v>
      </c>
      <c r="W750" t="str">
        <f t="shared" si="152"/>
        <v>High Risk</v>
      </c>
      <c r="X750" s="5" t="str">
        <f t="shared" si="153"/>
        <v>Medium</v>
      </c>
      <c r="Y750" s="5" t="str">
        <f t="shared" si="154"/>
        <v>High</v>
      </c>
      <c r="Z750" s="5" t="str">
        <f>IF(B750=120,"NULL",IF(AND(V750="High Stress", W750="High Risk", Y750="Low"),"High Risk : Reject", IF(AND(V750="Healthy", W750="Good",Y750&lt;&gt;"Low"), "Low Risk : Approve", "Medium Risk : Review")))</f>
        <v>Medium Risk : Review</v>
      </c>
      <c r="AA750" s="5" t="str">
        <f t="shared" si="155"/>
        <v>Medium</v>
      </c>
    </row>
    <row r="751" spans="1:27" x14ac:dyDescent="0.2">
      <c r="A751">
        <v>25496</v>
      </c>
      <c r="B751">
        <v>31</v>
      </c>
      <c r="C751">
        <f t="shared" si="143"/>
        <v>31</v>
      </c>
      <c r="D751" t="s">
        <v>27</v>
      </c>
      <c r="E751" t="str">
        <f t="shared" si="144"/>
        <v>Unemployed</v>
      </c>
      <c r="F751">
        <v>-1500</v>
      </c>
      <c r="G751">
        <f>ABS(Table1[[#This Row],[Monthly_Income]])</f>
        <v>1500</v>
      </c>
      <c r="H751">
        <v>30122.79</v>
      </c>
      <c r="I751" s="5">
        <f t="shared" si="145"/>
        <v>30122.79</v>
      </c>
      <c r="J751">
        <v>12</v>
      </c>
      <c r="K751">
        <v>16.28</v>
      </c>
      <c r="L751">
        <v>2</v>
      </c>
      <c r="M751">
        <f t="shared" si="146"/>
        <v>2</v>
      </c>
      <c r="N751">
        <v>13.4</v>
      </c>
      <c r="O751">
        <f t="shared" si="147"/>
        <v>13.4</v>
      </c>
      <c r="P751">
        <v>120</v>
      </c>
      <c r="Q751">
        <f t="shared" si="148"/>
        <v>120</v>
      </c>
      <c r="R751" t="s">
        <v>13</v>
      </c>
      <c r="S751" t="str">
        <f t="shared" si="149"/>
        <v>Performing</v>
      </c>
      <c r="T751" t="s">
        <v>14</v>
      </c>
      <c r="U751" s="3">
        <f t="shared" si="150"/>
        <v>1.6734883333333335</v>
      </c>
      <c r="V751" t="str">
        <f t="shared" si="151"/>
        <v>High Stress</v>
      </c>
      <c r="W751" t="str">
        <f t="shared" si="152"/>
        <v>High Risk</v>
      </c>
      <c r="X751" s="5" t="str">
        <f t="shared" si="153"/>
        <v>High</v>
      </c>
      <c r="Y751" s="5" t="str">
        <f t="shared" si="154"/>
        <v>Low</v>
      </c>
      <c r="Z751" s="5" t="str">
        <f>IF(B751=120,"NULL",IF(AND(V751="High Stress", W751="High Risk", Y751="Low"),"High Risk : Reject", IF(AND(V751="Healthy", W751="Good",Y751&lt;&gt;"Low"), "Low Risk : Approve", "Medium Risk : Review")))</f>
        <v>High Risk : Reject</v>
      </c>
      <c r="AA751" s="5" t="str">
        <f t="shared" si="155"/>
        <v>Low</v>
      </c>
    </row>
    <row r="752" spans="1:27" x14ac:dyDescent="0.2">
      <c r="A752">
        <v>25420</v>
      </c>
      <c r="B752">
        <v>59</v>
      </c>
      <c r="C752">
        <f t="shared" si="143"/>
        <v>59</v>
      </c>
      <c r="D752" t="s">
        <v>17</v>
      </c>
      <c r="E752" t="str">
        <f t="shared" si="144"/>
        <v>Contract</v>
      </c>
      <c r="F752">
        <v>3632.74</v>
      </c>
      <c r="G752">
        <f>ABS(Table1[[#This Row],[Monthly_Income]])</f>
        <v>3632.74</v>
      </c>
      <c r="H752">
        <v>8429.44</v>
      </c>
      <c r="I752" s="5">
        <f t="shared" si="145"/>
        <v>8429.44</v>
      </c>
      <c r="J752">
        <v>60</v>
      </c>
      <c r="K752">
        <v>14.22</v>
      </c>
      <c r="L752">
        <v>2</v>
      </c>
      <c r="M752">
        <f t="shared" si="146"/>
        <v>2</v>
      </c>
      <c r="N752">
        <v>8.5</v>
      </c>
      <c r="O752">
        <f t="shared" si="147"/>
        <v>8.5</v>
      </c>
      <c r="P752">
        <v>30</v>
      </c>
      <c r="Q752">
        <f t="shared" si="148"/>
        <v>30</v>
      </c>
      <c r="R752" t="s">
        <v>15</v>
      </c>
      <c r="S752" t="str">
        <f t="shared" si="149"/>
        <v xml:space="preserve">Performing </v>
      </c>
      <c r="T752" t="s">
        <v>14</v>
      </c>
      <c r="U752" s="3">
        <f t="shared" si="150"/>
        <v>3.8673471447630899E-2</v>
      </c>
      <c r="V752" t="str">
        <f t="shared" si="151"/>
        <v>Healthy</v>
      </c>
      <c r="W752" t="str">
        <f t="shared" si="152"/>
        <v>At Risk</v>
      </c>
      <c r="X752" s="5" t="str">
        <f t="shared" si="153"/>
        <v>Small</v>
      </c>
      <c r="Y752" s="5" t="str">
        <f t="shared" si="154"/>
        <v>Low</v>
      </c>
      <c r="Z752" s="5" t="str">
        <f>IF(B752=120,"NULL",IF(AND(V752="High Stress", W752="High Risk", Y752="Low"),"High Risk : Reject", IF(AND(V752="Healthy", W752="Good",Y752&lt;&gt;"Low"), "Low Risk : Approve", "Medium Risk : Review")))</f>
        <v>Medium Risk : Review</v>
      </c>
      <c r="AA752" s="5" t="str">
        <f t="shared" si="155"/>
        <v>Medium</v>
      </c>
    </row>
    <row r="753" spans="1:27" x14ac:dyDescent="0.2">
      <c r="A753">
        <v>21467</v>
      </c>
      <c r="B753">
        <v>58</v>
      </c>
      <c r="C753">
        <f t="shared" si="143"/>
        <v>58</v>
      </c>
      <c r="D753" t="s">
        <v>21</v>
      </c>
      <c r="E753" t="str">
        <f t="shared" si="144"/>
        <v>Salaried</v>
      </c>
      <c r="F753">
        <v>5719.4</v>
      </c>
      <c r="G753">
        <f>ABS(Table1[[#This Row],[Monthly_Income]])</f>
        <v>5719.4</v>
      </c>
      <c r="H753">
        <v>11665.55</v>
      </c>
      <c r="I753" s="5">
        <f t="shared" si="145"/>
        <v>11665.55</v>
      </c>
      <c r="J753">
        <v>48</v>
      </c>
      <c r="K753">
        <v>17.71</v>
      </c>
      <c r="L753">
        <v>2</v>
      </c>
      <c r="M753">
        <f t="shared" si="146"/>
        <v>2</v>
      </c>
      <c r="N753">
        <v>7.9</v>
      </c>
      <c r="O753">
        <f t="shared" si="147"/>
        <v>7.9</v>
      </c>
      <c r="P753">
        <v>90</v>
      </c>
      <c r="Q753">
        <f t="shared" si="148"/>
        <v>90</v>
      </c>
      <c r="R753" t="s">
        <v>18</v>
      </c>
      <c r="S753" t="str">
        <f t="shared" si="149"/>
        <v>Non-Performing</v>
      </c>
      <c r="T753" t="s">
        <v>19</v>
      </c>
      <c r="U753" s="3">
        <f t="shared" si="150"/>
        <v>4.2492620146635435E-2</v>
      </c>
      <c r="V753" t="str">
        <f t="shared" si="151"/>
        <v>Healthy</v>
      </c>
      <c r="W753" t="str">
        <f t="shared" si="152"/>
        <v>High Risk</v>
      </c>
      <c r="X753" s="5" t="str">
        <f t="shared" si="153"/>
        <v>Medium</v>
      </c>
      <c r="Y753" s="5" t="str">
        <f t="shared" si="154"/>
        <v>High</v>
      </c>
      <c r="Z753" s="5" t="str">
        <f>IF(B753=120,"NULL",IF(AND(V753="High Stress", W753="High Risk", Y753="Low"),"High Risk : Reject", IF(AND(V753="Healthy", W753="Good",Y753&lt;&gt;"Low"), "Low Risk : Approve", "Medium Risk : Review")))</f>
        <v>Medium Risk : Review</v>
      </c>
      <c r="AA753" s="5" t="str">
        <f t="shared" si="155"/>
        <v>Medium</v>
      </c>
    </row>
    <row r="754" spans="1:27" x14ac:dyDescent="0.2">
      <c r="A754">
        <v>22835</v>
      </c>
      <c r="B754">
        <v>48</v>
      </c>
      <c r="C754">
        <f t="shared" si="143"/>
        <v>48</v>
      </c>
      <c r="D754" t="s">
        <v>27</v>
      </c>
      <c r="E754" t="str">
        <f t="shared" si="144"/>
        <v>Unemployed</v>
      </c>
      <c r="F754">
        <v>2095.16</v>
      </c>
      <c r="G754">
        <f>ABS(Table1[[#This Row],[Monthly_Income]])</f>
        <v>2095.16</v>
      </c>
      <c r="H754">
        <v>9916.9500000000007</v>
      </c>
      <c r="I754" s="5">
        <f t="shared" si="145"/>
        <v>9916.9500000000007</v>
      </c>
      <c r="J754">
        <v>18</v>
      </c>
      <c r="K754">
        <v>22.11</v>
      </c>
      <c r="L754">
        <v>0</v>
      </c>
      <c r="M754">
        <f t="shared" si="146"/>
        <v>0</v>
      </c>
      <c r="N754">
        <v>8.1</v>
      </c>
      <c r="O754">
        <f t="shared" si="147"/>
        <v>8.1</v>
      </c>
      <c r="P754">
        <v>15</v>
      </c>
      <c r="Q754">
        <f t="shared" si="148"/>
        <v>15</v>
      </c>
      <c r="R754" t="s">
        <v>15</v>
      </c>
      <c r="S754" t="str">
        <f t="shared" si="149"/>
        <v xml:space="preserve">Performing </v>
      </c>
      <c r="T754" t="s">
        <v>14</v>
      </c>
      <c r="U754" s="3">
        <f t="shared" si="150"/>
        <v>0.26295923302595831</v>
      </c>
      <c r="V754" t="str">
        <f t="shared" si="151"/>
        <v>Healthy</v>
      </c>
      <c r="W754" t="str">
        <f t="shared" si="152"/>
        <v>Good</v>
      </c>
      <c r="X754" s="5" t="str">
        <f t="shared" si="153"/>
        <v>Small</v>
      </c>
      <c r="Y754" s="5" t="str">
        <f t="shared" si="154"/>
        <v>Low</v>
      </c>
      <c r="Z754" s="5" t="str">
        <f>IF(B754=120,"NULL",IF(AND(V754="High Stress", W754="High Risk", Y754="Low"),"High Risk : Reject", IF(AND(V754="Healthy", W754="Good",Y754&lt;&gt;"Low"), "Low Risk : Approve", "Medium Risk : Review")))</f>
        <v>Medium Risk : Review</v>
      </c>
      <c r="AA754" s="5" t="str">
        <f t="shared" si="155"/>
        <v>Medium</v>
      </c>
    </row>
    <row r="755" spans="1:27" x14ac:dyDescent="0.2">
      <c r="A755">
        <v>25037</v>
      </c>
      <c r="B755">
        <v>31</v>
      </c>
      <c r="C755">
        <f t="shared" si="143"/>
        <v>31</v>
      </c>
      <c r="D755" t="s">
        <v>12</v>
      </c>
      <c r="E755" t="str">
        <f t="shared" si="144"/>
        <v>Self-Employed</v>
      </c>
      <c r="F755">
        <v>5316.93</v>
      </c>
      <c r="G755">
        <f>ABS(Table1[[#This Row],[Monthly_Income]])</f>
        <v>5316.93</v>
      </c>
      <c r="H755">
        <v>29565.98</v>
      </c>
      <c r="I755" s="5">
        <f t="shared" si="145"/>
        <v>29565.98</v>
      </c>
      <c r="J755">
        <v>24</v>
      </c>
      <c r="K755">
        <v>19.12</v>
      </c>
      <c r="L755">
        <v>0</v>
      </c>
      <c r="M755">
        <f t="shared" si="146"/>
        <v>0</v>
      </c>
      <c r="N755">
        <v>12.7</v>
      </c>
      <c r="O755">
        <f t="shared" si="147"/>
        <v>12.7</v>
      </c>
      <c r="Q755" t="str">
        <f t="shared" si="148"/>
        <v>NULL</v>
      </c>
      <c r="R755" t="s">
        <v>20</v>
      </c>
      <c r="S755" t="str">
        <f t="shared" si="149"/>
        <v>Written Off</v>
      </c>
      <c r="T755" t="s">
        <v>14</v>
      </c>
      <c r="U755" s="3">
        <f t="shared" si="150"/>
        <v>0.23169683131681879</v>
      </c>
      <c r="V755" t="str">
        <f t="shared" si="151"/>
        <v>Healthy</v>
      </c>
      <c r="W755" t="str">
        <f t="shared" si="152"/>
        <v>NULL</v>
      </c>
      <c r="X755" s="5" t="str">
        <f t="shared" si="153"/>
        <v>Medium</v>
      </c>
      <c r="Y755" s="5" t="str">
        <f t="shared" si="154"/>
        <v>Medium</v>
      </c>
      <c r="Z755" s="5" t="str">
        <f>IF(B755=120,"NULL",IF(AND(V755="High Stress", W755="High Risk", Y755="Low"),"High Risk : Reject", IF(AND(V755="Healthy", W755="Good",Y755&lt;&gt;"Low"), "Low Risk : Approve", "Medium Risk : Review")))</f>
        <v>Medium Risk : Review</v>
      </c>
      <c r="AA755" s="5" t="str">
        <f t="shared" si="155"/>
        <v>Medium</v>
      </c>
    </row>
    <row r="756" spans="1:27" x14ac:dyDescent="0.2">
      <c r="A756">
        <v>25562</v>
      </c>
      <c r="B756">
        <v>54</v>
      </c>
      <c r="C756">
        <f t="shared" si="143"/>
        <v>54</v>
      </c>
      <c r="D756" t="s">
        <v>26</v>
      </c>
      <c r="E756" t="str">
        <f t="shared" si="144"/>
        <v>Salaried</v>
      </c>
      <c r="F756">
        <v>7633.77</v>
      </c>
      <c r="G756">
        <f>ABS(Table1[[#This Row],[Monthly_Income]])</f>
        <v>7633.77</v>
      </c>
      <c r="H756">
        <v>14257.96</v>
      </c>
      <c r="I756" s="5">
        <f t="shared" si="145"/>
        <v>14257.96</v>
      </c>
      <c r="J756">
        <v>24</v>
      </c>
      <c r="K756">
        <v>20.18</v>
      </c>
      <c r="L756">
        <v>4</v>
      </c>
      <c r="M756">
        <f t="shared" si="146"/>
        <v>4</v>
      </c>
      <c r="N756">
        <v>2.2000000000000002</v>
      </c>
      <c r="O756">
        <f t="shared" si="147"/>
        <v>2.2000000000000002</v>
      </c>
      <c r="Q756" t="str">
        <f t="shared" si="148"/>
        <v>NULL</v>
      </c>
      <c r="R756" t="s">
        <v>18</v>
      </c>
      <c r="S756" t="str">
        <f t="shared" si="149"/>
        <v>Non-Performing</v>
      </c>
      <c r="T756" t="s">
        <v>19</v>
      </c>
      <c r="U756" s="3">
        <f t="shared" si="150"/>
        <v>7.7822840702125765E-2</v>
      </c>
      <c r="V756" t="str">
        <f t="shared" si="151"/>
        <v>Healthy</v>
      </c>
      <c r="W756" t="str">
        <f t="shared" si="152"/>
        <v>NULL</v>
      </c>
      <c r="X756" s="5" t="str">
        <f t="shared" si="153"/>
        <v>Medium</v>
      </c>
      <c r="Y756" s="5" t="str">
        <f t="shared" si="154"/>
        <v>High</v>
      </c>
      <c r="Z756" s="5" t="str">
        <f>IF(B756=120,"NULL",IF(AND(V756="High Stress", W756="High Risk", Y756="Low"),"High Risk : Reject", IF(AND(V756="Healthy", W756="Good",Y756&lt;&gt;"Low"), "Low Risk : Approve", "Medium Risk : Review")))</f>
        <v>Medium Risk : Review</v>
      </c>
      <c r="AA756" s="5" t="str">
        <f t="shared" si="155"/>
        <v>Medium</v>
      </c>
    </row>
    <row r="757" spans="1:27" x14ac:dyDescent="0.2">
      <c r="A757">
        <v>21025</v>
      </c>
      <c r="B757">
        <v>48</v>
      </c>
      <c r="C757">
        <f t="shared" si="143"/>
        <v>48</v>
      </c>
      <c r="D757" t="s">
        <v>26</v>
      </c>
      <c r="E757" t="str">
        <f t="shared" si="144"/>
        <v>Salaried</v>
      </c>
      <c r="F757">
        <v>5668.62</v>
      </c>
      <c r="G757">
        <f>ABS(Table1[[#This Row],[Monthly_Income]])</f>
        <v>5668.62</v>
      </c>
      <c r="H757">
        <v>29792.36</v>
      </c>
      <c r="I757" s="5">
        <f t="shared" si="145"/>
        <v>29792.36</v>
      </c>
      <c r="J757">
        <v>24</v>
      </c>
      <c r="K757">
        <v>23.67</v>
      </c>
      <c r="M757" t="str">
        <f t="shared" si="146"/>
        <v>NULL</v>
      </c>
      <c r="N757">
        <v>3.6</v>
      </c>
      <c r="O757">
        <f t="shared" si="147"/>
        <v>3.6</v>
      </c>
      <c r="P757">
        <v>60</v>
      </c>
      <c r="Q757">
        <f t="shared" si="148"/>
        <v>60</v>
      </c>
      <c r="R757" t="s">
        <v>13</v>
      </c>
      <c r="S757" t="str">
        <f t="shared" si="149"/>
        <v>Performing</v>
      </c>
      <c r="T757" t="s">
        <v>14</v>
      </c>
      <c r="U757" s="3">
        <f t="shared" si="150"/>
        <v>0.21898598483111115</v>
      </c>
      <c r="V757" t="str">
        <f t="shared" si="151"/>
        <v>Healthy</v>
      </c>
      <c r="W757" t="str">
        <f t="shared" si="152"/>
        <v>High Risk</v>
      </c>
      <c r="X757" s="5" t="str">
        <f t="shared" si="153"/>
        <v>Medium</v>
      </c>
      <c r="Y757" s="5" t="str">
        <f t="shared" si="154"/>
        <v>High</v>
      </c>
      <c r="Z757" s="5" t="str">
        <f>IF(B757=120,"NULL",IF(AND(V757="High Stress", W757="High Risk", Y757="Low"),"High Risk : Reject", IF(AND(V757="Healthy", W757="Good",Y757&lt;&gt;"Low"), "Low Risk : Approve", "Medium Risk : Review")))</f>
        <v>Medium Risk : Review</v>
      </c>
      <c r="AA757" s="5" t="str">
        <f t="shared" si="155"/>
        <v>Medium</v>
      </c>
    </row>
    <row r="758" spans="1:27" x14ac:dyDescent="0.2">
      <c r="A758">
        <v>21549</v>
      </c>
      <c r="B758">
        <v>34</v>
      </c>
      <c r="C758">
        <f t="shared" si="143"/>
        <v>34</v>
      </c>
      <c r="D758" t="s">
        <v>21</v>
      </c>
      <c r="E758" t="str">
        <f t="shared" si="144"/>
        <v>Salaried</v>
      </c>
      <c r="F758">
        <v>611.16999999999996</v>
      </c>
      <c r="G758">
        <f>ABS(Table1[[#This Row],[Monthly_Income]])</f>
        <v>611.16999999999996</v>
      </c>
      <c r="H758">
        <v>13470.39</v>
      </c>
      <c r="I758" s="5">
        <f t="shared" si="145"/>
        <v>13470.39</v>
      </c>
      <c r="J758">
        <v>6</v>
      </c>
      <c r="K758">
        <v>24.39</v>
      </c>
      <c r="M758" t="str">
        <f t="shared" si="146"/>
        <v>NULL</v>
      </c>
      <c r="N758">
        <v>8.4</v>
      </c>
      <c r="O758">
        <f t="shared" si="147"/>
        <v>8.4</v>
      </c>
      <c r="Q758" t="str">
        <f t="shared" si="148"/>
        <v>NULL</v>
      </c>
      <c r="R758" t="s">
        <v>13</v>
      </c>
      <c r="S758" t="str">
        <f t="shared" si="149"/>
        <v>Performing</v>
      </c>
      <c r="T758" t="s">
        <v>22</v>
      </c>
      <c r="U758" s="3">
        <f t="shared" si="150"/>
        <v>3.6733887461753687</v>
      </c>
      <c r="V758" t="str">
        <f t="shared" si="151"/>
        <v>High Stress</v>
      </c>
      <c r="W758" t="str">
        <f t="shared" si="152"/>
        <v>NULL</v>
      </c>
      <c r="X758" s="5" t="str">
        <f t="shared" si="153"/>
        <v>Medium</v>
      </c>
      <c r="Y758" s="5" t="str">
        <f t="shared" si="154"/>
        <v>High</v>
      </c>
      <c r="Z758" s="5" t="str">
        <f>IF(B758=120,"NULL",IF(AND(V758="High Stress", W758="High Risk", Y758="Low"),"High Risk : Reject", IF(AND(V758="Healthy", W758="Good",Y758&lt;&gt;"Low"), "Low Risk : Approve", "Medium Risk : Review")))</f>
        <v>Medium Risk : Review</v>
      </c>
      <c r="AA758" s="5" t="str">
        <f t="shared" si="155"/>
        <v>Low</v>
      </c>
    </row>
    <row r="759" spans="1:27" x14ac:dyDescent="0.2">
      <c r="A759">
        <v>21070</v>
      </c>
      <c r="B759">
        <v>61</v>
      </c>
      <c r="C759">
        <f t="shared" si="143"/>
        <v>61</v>
      </c>
      <c r="D759" t="s">
        <v>21</v>
      </c>
      <c r="E759" t="str">
        <f t="shared" si="144"/>
        <v>Salaried</v>
      </c>
      <c r="F759">
        <v>7604.24</v>
      </c>
      <c r="G759">
        <f>ABS(Table1[[#This Row],[Monthly_Income]])</f>
        <v>7604.24</v>
      </c>
      <c r="H759">
        <v>23215.95</v>
      </c>
      <c r="I759" s="5">
        <f t="shared" si="145"/>
        <v>23215.95</v>
      </c>
      <c r="J759">
        <v>36</v>
      </c>
      <c r="K759">
        <v>27.97</v>
      </c>
      <c r="L759">
        <v>2</v>
      </c>
      <c r="M759">
        <f t="shared" si="146"/>
        <v>2</v>
      </c>
      <c r="N759">
        <v>7.2</v>
      </c>
      <c r="O759">
        <f t="shared" si="147"/>
        <v>7.2</v>
      </c>
      <c r="P759">
        <v>60</v>
      </c>
      <c r="Q759">
        <f t="shared" si="148"/>
        <v>60</v>
      </c>
      <c r="R759" t="s">
        <v>13</v>
      </c>
      <c r="S759" t="str">
        <f t="shared" si="149"/>
        <v>Performing</v>
      </c>
      <c r="T759" t="s">
        <v>14</v>
      </c>
      <c r="U759" s="3">
        <f t="shared" si="150"/>
        <v>8.4806305429602435E-2</v>
      </c>
      <c r="V759" t="str">
        <f t="shared" si="151"/>
        <v>Healthy</v>
      </c>
      <c r="W759" t="str">
        <f t="shared" si="152"/>
        <v>High Risk</v>
      </c>
      <c r="X759" s="5" t="str">
        <f t="shared" si="153"/>
        <v>Medium</v>
      </c>
      <c r="Y759" s="5" t="str">
        <f t="shared" si="154"/>
        <v>High</v>
      </c>
      <c r="Z759" s="5" t="str">
        <f>IF(B759=120,"NULL",IF(AND(V759="High Stress", W759="High Risk", Y759="Low"),"High Risk : Reject", IF(AND(V759="Healthy", W759="Good",Y759&lt;&gt;"Low"), "Low Risk : Approve", "Medium Risk : Review")))</f>
        <v>Medium Risk : Review</v>
      </c>
      <c r="AA759" s="5" t="str">
        <f t="shared" si="155"/>
        <v>Medium</v>
      </c>
    </row>
    <row r="760" spans="1:27" x14ac:dyDescent="0.2">
      <c r="A760">
        <v>20278</v>
      </c>
      <c r="B760">
        <v>30</v>
      </c>
      <c r="C760">
        <f t="shared" si="143"/>
        <v>30</v>
      </c>
      <c r="D760" t="s">
        <v>23</v>
      </c>
      <c r="E760" t="str">
        <f t="shared" si="144"/>
        <v>Self-Employed</v>
      </c>
      <c r="F760">
        <v>5016.79</v>
      </c>
      <c r="G760">
        <f>ABS(Table1[[#This Row],[Monthly_Income]])</f>
        <v>5016.79</v>
      </c>
      <c r="H760">
        <v>11543.31</v>
      </c>
      <c r="I760" s="5">
        <f t="shared" si="145"/>
        <v>11543.31</v>
      </c>
      <c r="J760">
        <v>18</v>
      </c>
      <c r="K760">
        <v>14.4</v>
      </c>
      <c r="L760">
        <v>1</v>
      </c>
      <c r="M760">
        <f t="shared" si="146"/>
        <v>1</v>
      </c>
      <c r="N760">
        <v>11.7</v>
      </c>
      <c r="O760">
        <f t="shared" si="147"/>
        <v>11.7</v>
      </c>
      <c r="P760">
        <v>120</v>
      </c>
      <c r="Q760">
        <f t="shared" si="148"/>
        <v>120</v>
      </c>
      <c r="R760" t="s">
        <v>13</v>
      </c>
      <c r="S760" t="str">
        <f t="shared" si="149"/>
        <v>Performing</v>
      </c>
      <c r="T760" t="s">
        <v>19</v>
      </c>
      <c r="U760" s="3">
        <f t="shared" si="150"/>
        <v>0.12782974770719921</v>
      </c>
      <c r="V760" t="str">
        <f t="shared" si="151"/>
        <v>Healthy</v>
      </c>
      <c r="W760" t="str">
        <f t="shared" si="152"/>
        <v>High Risk</v>
      </c>
      <c r="X760" s="5" t="str">
        <f t="shared" si="153"/>
        <v>Medium</v>
      </c>
      <c r="Y760" s="5" t="str">
        <f t="shared" si="154"/>
        <v>Medium</v>
      </c>
      <c r="Z760" s="5" t="str">
        <f>IF(B760=120,"NULL",IF(AND(V760="High Stress", W760="High Risk", Y760="Low"),"High Risk : Reject", IF(AND(V760="Healthy", W760="Good",Y760&lt;&gt;"Low"), "Low Risk : Approve", "Medium Risk : Review")))</f>
        <v>Medium Risk : Review</v>
      </c>
      <c r="AA760" s="5" t="str">
        <f t="shared" si="155"/>
        <v>Medium</v>
      </c>
    </row>
    <row r="761" spans="1:27" x14ac:dyDescent="0.2">
      <c r="A761">
        <v>24881</v>
      </c>
      <c r="B761">
        <v>58</v>
      </c>
      <c r="C761">
        <f t="shared" si="143"/>
        <v>58</v>
      </c>
      <c r="D761" t="s">
        <v>27</v>
      </c>
      <c r="E761" t="str">
        <f t="shared" si="144"/>
        <v>Unemployed</v>
      </c>
      <c r="F761">
        <v>6461.82</v>
      </c>
      <c r="G761">
        <f>ABS(Table1[[#This Row],[Monthly_Income]])</f>
        <v>6461.82</v>
      </c>
      <c r="H761">
        <v>22826.62</v>
      </c>
      <c r="I761" s="5">
        <f t="shared" si="145"/>
        <v>22826.62</v>
      </c>
      <c r="J761">
        <v>60</v>
      </c>
      <c r="K761">
        <v>22.57</v>
      </c>
      <c r="L761">
        <v>1</v>
      </c>
      <c r="M761">
        <f t="shared" si="146"/>
        <v>1</v>
      </c>
      <c r="N761">
        <v>4.5999999999999996</v>
      </c>
      <c r="O761">
        <f t="shared" si="147"/>
        <v>4.5999999999999996</v>
      </c>
      <c r="P761">
        <v>90</v>
      </c>
      <c r="Q761">
        <f t="shared" si="148"/>
        <v>90</v>
      </c>
      <c r="R761" t="s">
        <v>18</v>
      </c>
      <c r="S761" t="str">
        <f t="shared" si="149"/>
        <v>Non-Performing</v>
      </c>
      <c r="T761" t="s">
        <v>25</v>
      </c>
      <c r="U761" s="3">
        <f t="shared" si="150"/>
        <v>5.8875621213012229E-2</v>
      </c>
      <c r="V761" t="str">
        <f t="shared" si="151"/>
        <v>Healthy</v>
      </c>
      <c r="W761" t="str">
        <f t="shared" si="152"/>
        <v>High Risk</v>
      </c>
      <c r="X761" s="5" t="str">
        <f t="shared" si="153"/>
        <v>Medium</v>
      </c>
      <c r="Y761" s="5" t="str">
        <f t="shared" si="154"/>
        <v>Low</v>
      </c>
      <c r="Z761" s="5" t="str">
        <f>IF(B761=120,"NULL",IF(AND(V761="High Stress", W761="High Risk", Y761="Low"),"High Risk : Reject", IF(AND(V761="Healthy", W761="Good",Y761&lt;&gt;"Low"), "Low Risk : Approve", "Medium Risk : Review")))</f>
        <v>Medium Risk : Review</v>
      </c>
      <c r="AA761" s="5" t="str">
        <f t="shared" si="155"/>
        <v>Medium</v>
      </c>
    </row>
    <row r="762" spans="1:27" x14ac:dyDescent="0.2">
      <c r="A762">
        <v>20175</v>
      </c>
      <c r="B762">
        <v>46</v>
      </c>
      <c r="C762">
        <f t="shared" si="143"/>
        <v>46</v>
      </c>
      <c r="D762" t="s">
        <v>21</v>
      </c>
      <c r="E762" t="str">
        <f t="shared" si="144"/>
        <v>Salaried</v>
      </c>
      <c r="F762">
        <v>3703.17</v>
      </c>
      <c r="G762">
        <f>ABS(Table1[[#This Row],[Monthly_Income]])</f>
        <v>3703.17</v>
      </c>
      <c r="H762">
        <v>19657.5</v>
      </c>
      <c r="I762" s="5">
        <f t="shared" si="145"/>
        <v>19657.5</v>
      </c>
      <c r="J762">
        <v>6</v>
      </c>
      <c r="K762">
        <v>15.79</v>
      </c>
      <c r="L762">
        <v>2</v>
      </c>
      <c r="M762">
        <f t="shared" si="146"/>
        <v>2</v>
      </c>
      <c r="N762">
        <v>12.8</v>
      </c>
      <c r="O762">
        <f t="shared" si="147"/>
        <v>12.8</v>
      </c>
      <c r="Q762" t="str">
        <f t="shared" si="148"/>
        <v>NULL</v>
      </c>
      <c r="R762" t="s">
        <v>20</v>
      </c>
      <c r="S762" t="str">
        <f t="shared" si="149"/>
        <v>Written Off</v>
      </c>
      <c r="T762" t="s">
        <v>22</v>
      </c>
      <c r="U762" s="3">
        <f t="shared" si="150"/>
        <v>0.88471498742968857</v>
      </c>
      <c r="V762" t="str">
        <f t="shared" si="151"/>
        <v>High Stress</v>
      </c>
      <c r="W762" t="str">
        <f t="shared" si="152"/>
        <v>NULL</v>
      </c>
      <c r="X762" s="5" t="str">
        <f t="shared" si="153"/>
        <v>Medium</v>
      </c>
      <c r="Y762" s="5" t="str">
        <f t="shared" si="154"/>
        <v>High</v>
      </c>
      <c r="Z762" s="5" t="str">
        <f>IF(B762=120,"NULL",IF(AND(V762="High Stress", W762="High Risk", Y762="Low"),"High Risk : Reject", IF(AND(V762="Healthy", W762="Good",Y762&lt;&gt;"Low"), "Low Risk : Approve", "Medium Risk : Review")))</f>
        <v>Medium Risk : Review</v>
      </c>
      <c r="AA762" s="5" t="str">
        <f t="shared" si="155"/>
        <v>Medium</v>
      </c>
    </row>
    <row r="763" spans="1:27" x14ac:dyDescent="0.2">
      <c r="A763">
        <v>25596</v>
      </c>
      <c r="B763">
        <v>51</v>
      </c>
      <c r="C763">
        <f t="shared" si="143"/>
        <v>51</v>
      </c>
      <c r="D763" t="s">
        <v>17</v>
      </c>
      <c r="E763" t="str">
        <f t="shared" si="144"/>
        <v>Contract</v>
      </c>
      <c r="F763">
        <v>4203.08</v>
      </c>
      <c r="G763">
        <f>ABS(Table1[[#This Row],[Monthly_Income]])</f>
        <v>4203.08</v>
      </c>
      <c r="H763">
        <v>19573.990000000002</v>
      </c>
      <c r="I763" s="5">
        <f t="shared" si="145"/>
        <v>19573.990000000002</v>
      </c>
      <c r="J763">
        <v>6</v>
      </c>
      <c r="K763">
        <v>17.170000000000002</v>
      </c>
      <c r="M763" t="str">
        <f t="shared" si="146"/>
        <v>NULL</v>
      </c>
      <c r="N763">
        <v>9</v>
      </c>
      <c r="O763">
        <f t="shared" si="147"/>
        <v>9</v>
      </c>
      <c r="P763">
        <v>15</v>
      </c>
      <c r="Q763">
        <f t="shared" si="148"/>
        <v>15</v>
      </c>
      <c r="R763" t="s">
        <v>18</v>
      </c>
      <c r="S763" t="str">
        <f t="shared" si="149"/>
        <v>Non-Performing</v>
      </c>
      <c r="T763" t="s">
        <v>25</v>
      </c>
      <c r="U763" s="3">
        <f t="shared" si="150"/>
        <v>0.77617643886546694</v>
      </c>
      <c r="V763" t="str">
        <f t="shared" si="151"/>
        <v>High Stress</v>
      </c>
      <c r="W763" t="str">
        <f t="shared" si="152"/>
        <v>Good</v>
      </c>
      <c r="X763" s="5" t="str">
        <f t="shared" si="153"/>
        <v>Medium</v>
      </c>
      <c r="Y763" s="5" t="str">
        <f t="shared" si="154"/>
        <v>Low</v>
      </c>
      <c r="Z763" s="5" t="str">
        <f>IF(B763=120,"NULL",IF(AND(V763="High Stress", W763="High Risk", Y763="Low"),"High Risk : Reject", IF(AND(V763="Healthy", W763="Good",Y763&lt;&gt;"Low"), "Low Risk : Approve", "Medium Risk : Review")))</f>
        <v>Medium Risk : Review</v>
      </c>
      <c r="AA763" s="5" t="str">
        <f t="shared" si="155"/>
        <v>Medium</v>
      </c>
    </row>
    <row r="764" spans="1:27" x14ac:dyDescent="0.2">
      <c r="A764">
        <v>24029</v>
      </c>
      <c r="B764">
        <v>42</v>
      </c>
      <c r="C764">
        <f t="shared" si="143"/>
        <v>42</v>
      </c>
      <c r="D764" t="s">
        <v>21</v>
      </c>
      <c r="E764" t="str">
        <f t="shared" si="144"/>
        <v>Salaried</v>
      </c>
      <c r="F764">
        <v>3751.95</v>
      </c>
      <c r="G764">
        <f>ABS(Table1[[#This Row],[Monthly_Income]])</f>
        <v>3751.95</v>
      </c>
      <c r="H764">
        <v>9914.94</v>
      </c>
      <c r="I764" s="5">
        <f t="shared" si="145"/>
        <v>9914.94</v>
      </c>
      <c r="J764">
        <v>18</v>
      </c>
      <c r="K764">
        <v>13.23</v>
      </c>
      <c r="L764">
        <v>0</v>
      </c>
      <c r="M764">
        <f t="shared" si="146"/>
        <v>0</v>
      </c>
      <c r="N764">
        <v>8.9</v>
      </c>
      <c r="O764">
        <f t="shared" si="147"/>
        <v>8.9</v>
      </c>
      <c r="P764">
        <v>60</v>
      </c>
      <c r="Q764">
        <f t="shared" si="148"/>
        <v>60</v>
      </c>
      <c r="R764" t="s">
        <v>20</v>
      </c>
      <c r="S764" t="str">
        <f t="shared" si="149"/>
        <v>Written Off</v>
      </c>
      <c r="T764" t="s">
        <v>14</v>
      </c>
      <c r="U764" s="3">
        <f t="shared" si="150"/>
        <v>0.14681165793787232</v>
      </c>
      <c r="V764" t="str">
        <f t="shared" si="151"/>
        <v>Healthy</v>
      </c>
      <c r="W764" t="str">
        <f t="shared" si="152"/>
        <v>High Risk</v>
      </c>
      <c r="X764" s="5" t="str">
        <f t="shared" si="153"/>
        <v>Small</v>
      </c>
      <c r="Y764" s="5" t="str">
        <f t="shared" si="154"/>
        <v>High</v>
      </c>
      <c r="Z764" s="5" t="str">
        <f>IF(B764=120,"NULL",IF(AND(V764="High Stress", W764="High Risk", Y764="Low"),"High Risk : Reject", IF(AND(V764="Healthy", W764="Good",Y764&lt;&gt;"Low"), "Low Risk : Approve", "Medium Risk : Review")))</f>
        <v>Medium Risk : Review</v>
      </c>
      <c r="AA764" s="5" t="str">
        <f t="shared" si="155"/>
        <v>Medium</v>
      </c>
    </row>
    <row r="765" spans="1:27" x14ac:dyDescent="0.2">
      <c r="A765">
        <v>20467</v>
      </c>
      <c r="B765">
        <v>51</v>
      </c>
      <c r="C765">
        <f t="shared" si="143"/>
        <v>51</v>
      </c>
      <c r="D765" t="s">
        <v>26</v>
      </c>
      <c r="E765" t="str">
        <f t="shared" si="144"/>
        <v>Salaried</v>
      </c>
      <c r="F765">
        <v>7842.26</v>
      </c>
      <c r="G765">
        <f>ABS(Table1[[#This Row],[Monthly_Income]])</f>
        <v>7842.26</v>
      </c>
      <c r="H765">
        <v>21572.42</v>
      </c>
      <c r="I765" s="5">
        <f t="shared" si="145"/>
        <v>21572.42</v>
      </c>
      <c r="J765">
        <v>24</v>
      </c>
      <c r="K765">
        <v>18.52</v>
      </c>
      <c r="M765" t="str">
        <f t="shared" si="146"/>
        <v>NULL</v>
      </c>
      <c r="N765">
        <v>4.7</v>
      </c>
      <c r="O765">
        <f t="shared" si="147"/>
        <v>4.7</v>
      </c>
      <c r="P765">
        <v>30</v>
      </c>
      <c r="Q765">
        <f t="shared" si="148"/>
        <v>30</v>
      </c>
      <c r="R765" t="s">
        <v>18</v>
      </c>
      <c r="S765" t="str">
        <f t="shared" si="149"/>
        <v>Non-Performing</v>
      </c>
      <c r="T765" t="s">
        <v>19</v>
      </c>
      <c r="U765" s="3">
        <f t="shared" si="150"/>
        <v>0.11461630108327617</v>
      </c>
      <c r="V765" t="str">
        <f t="shared" si="151"/>
        <v>Healthy</v>
      </c>
      <c r="W765" t="str">
        <f t="shared" si="152"/>
        <v>At Risk</v>
      </c>
      <c r="X765" s="5" t="str">
        <f t="shared" si="153"/>
        <v>Medium</v>
      </c>
      <c r="Y765" s="5" t="str">
        <f t="shared" si="154"/>
        <v>High</v>
      </c>
      <c r="Z765" s="5" t="str">
        <f>IF(B765=120,"NULL",IF(AND(V765="High Stress", W765="High Risk", Y765="Low"),"High Risk : Reject", IF(AND(V765="Healthy", W765="Good",Y765&lt;&gt;"Low"), "Low Risk : Approve", "Medium Risk : Review")))</f>
        <v>Medium Risk : Review</v>
      </c>
      <c r="AA765" s="5" t="str">
        <f t="shared" si="155"/>
        <v>Medium</v>
      </c>
    </row>
    <row r="766" spans="1:27" x14ac:dyDescent="0.2">
      <c r="A766">
        <v>21296</v>
      </c>
      <c r="B766">
        <v>47</v>
      </c>
      <c r="C766">
        <f t="shared" si="143"/>
        <v>47</v>
      </c>
      <c r="D766" t="s">
        <v>23</v>
      </c>
      <c r="E766" t="str">
        <f t="shared" si="144"/>
        <v>Self-Employed</v>
      </c>
      <c r="F766">
        <v>6303.9</v>
      </c>
      <c r="G766">
        <f>ABS(Table1[[#This Row],[Monthly_Income]])</f>
        <v>6303.9</v>
      </c>
      <c r="H766">
        <v>23695.61</v>
      </c>
      <c r="I766" s="5">
        <f t="shared" si="145"/>
        <v>23695.61</v>
      </c>
      <c r="J766">
        <v>36</v>
      </c>
      <c r="K766">
        <v>28.43</v>
      </c>
      <c r="L766">
        <v>3</v>
      </c>
      <c r="M766">
        <f t="shared" si="146"/>
        <v>3</v>
      </c>
      <c r="N766">
        <v>6.2</v>
      </c>
      <c r="O766">
        <f t="shared" si="147"/>
        <v>6.2</v>
      </c>
      <c r="P766">
        <v>90</v>
      </c>
      <c r="Q766">
        <f t="shared" si="148"/>
        <v>90</v>
      </c>
      <c r="R766" t="s">
        <v>13</v>
      </c>
      <c r="S766" t="str">
        <f t="shared" si="149"/>
        <v>Performing</v>
      </c>
      <c r="T766" t="s">
        <v>14</v>
      </c>
      <c r="U766" s="3">
        <f t="shared" si="150"/>
        <v>0.10441336139356414</v>
      </c>
      <c r="V766" t="str">
        <f t="shared" si="151"/>
        <v>Healthy</v>
      </c>
      <c r="W766" t="str">
        <f t="shared" si="152"/>
        <v>High Risk</v>
      </c>
      <c r="X766" s="5" t="str">
        <f t="shared" si="153"/>
        <v>Medium</v>
      </c>
      <c r="Y766" s="5" t="str">
        <f t="shared" si="154"/>
        <v>Medium</v>
      </c>
      <c r="Z766" s="5" t="str">
        <f>IF(B766=120,"NULL",IF(AND(V766="High Stress", W766="High Risk", Y766="Low"),"High Risk : Reject", IF(AND(V766="Healthy", W766="Good",Y766&lt;&gt;"Low"), "Low Risk : Approve", "Medium Risk : Review")))</f>
        <v>Medium Risk : Review</v>
      </c>
      <c r="AA766" s="5" t="str">
        <f t="shared" si="155"/>
        <v>Medium</v>
      </c>
    </row>
    <row r="767" spans="1:27" x14ac:dyDescent="0.2">
      <c r="A767">
        <v>25483</v>
      </c>
      <c r="B767">
        <v>45</v>
      </c>
      <c r="C767">
        <f t="shared" si="143"/>
        <v>45</v>
      </c>
      <c r="D767" t="s">
        <v>21</v>
      </c>
      <c r="E767" t="str">
        <f t="shared" si="144"/>
        <v>Salaried</v>
      </c>
      <c r="F767">
        <v>5881.31</v>
      </c>
      <c r="G767">
        <f>ABS(Table1[[#This Row],[Monthly_Income]])</f>
        <v>5881.31</v>
      </c>
      <c r="H767">
        <v>32699.17</v>
      </c>
      <c r="I767" s="5">
        <f t="shared" si="145"/>
        <v>32699.17</v>
      </c>
      <c r="J767">
        <v>36</v>
      </c>
      <c r="K767">
        <v>15.14</v>
      </c>
      <c r="L767">
        <v>0</v>
      </c>
      <c r="M767">
        <f t="shared" si="146"/>
        <v>0</v>
      </c>
      <c r="N767">
        <v>9.1</v>
      </c>
      <c r="O767">
        <f t="shared" si="147"/>
        <v>9.1</v>
      </c>
      <c r="P767">
        <v>60</v>
      </c>
      <c r="Q767">
        <f t="shared" si="148"/>
        <v>60</v>
      </c>
      <c r="R767" t="s">
        <v>24</v>
      </c>
      <c r="S767" t="str">
        <f t="shared" si="149"/>
        <v>Non-Performing</v>
      </c>
      <c r="T767" t="s">
        <v>25</v>
      </c>
      <c r="U767" s="3">
        <f t="shared" si="150"/>
        <v>0.15444012945717497</v>
      </c>
      <c r="V767" t="str">
        <f t="shared" si="151"/>
        <v>Healthy</v>
      </c>
      <c r="W767" t="str">
        <f t="shared" si="152"/>
        <v>High Risk</v>
      </c>
      <c r="X767" s="5" t="str">
        <f t="shared" si="153"/>
        <v>High</v>
      </c>
      <c r="Y767" s="5" t="str">
        <f t="shared" si="154"/>
        <v>High</v>
      </c>
      <c r="Z767" s="5" t="str">
        <f>IF(B767=120,"NULL",IF(AND(V767="High Stress", W767="High Risk", Y767="Low"),"High Risk : Reject", IF(AND(V767="Healthy", W767="Good",Y767&lt;&gt;"Low"), "Low Risk : Approve", "Medium Risk : Review")))</f>
        <v>Medium Risk : Review</v>
      </c>
      <c r="AA767" s="5" t="str">
        <f t="shared" si="155"/>
        <v>Medium</v>
      </c>
    </row>
    <row r="768" spans="1:27" x14ac:dyDescent="0.2">
      <c r="A768">
        <v>23323</v>
      </c>
      <c r="B768">
        <v>64</v>
      </c>
      <c r="C768">
        <f t="shared" si="143"/>
        <v>64</v>
      </c>
      <c r="D768" t="s">
        <v>21</v>
      </c>
      <c r="E768" t="str">
        <f t="shared" si="144"/>
        <v>Salaried</v>
      </c>
      <c r="F768">
        <v>1590.76</v>
      </c>
      <c r="G768">
        <f>ABS(Table1[[#This Row],[Monthly_Income]])</f>
        <v>1590.76</v>
      </c>
      <c r="H768">
        <v>31226.26</v>
      </c>
      <c r="I768" s="5">
        <f t="shared" si="145"/>
        <v>31226.26</v>
      </c>
      <c r="J768">
        <v>6</v>
      </c>
      <c r="K768">
        <v>23.81</v>
      </c>
      <c r="M768" t="str">
        <f t="shared" si="146"/>
        <v>NULL</v>
      </c>
      <c r="N768">
        <v>6.3</v>
      </c>
      <c r="O768">
        <f t="shared" si="147"/>
        <v>6.3</v>
      </c>
      <c r="P768">
        <v>120</v>
      </c>
      <c r="Q768">
        <f t="shared" si="148"/>
        <v>120</v>
      </c>
      <c r="R768" t="s">
        <v>15</v>
      </c>
      <c r="S768" t="str">
        <f t="shared" si="149"/>
        <v xml:space="preserve">Performing </v>
      </c>
      <c r="T768" t="s">
        <v>22</v>
      </c>
      <c r="U768" s="3">
        <f t="shared" si="150"/>
        <v>3.271629074572322</v>
      </c>
      <c r="V768" t="str">
        <f t="shared" si="151"/>
        <v>High Stress</v>
      </c>
      <c r="W768" t="str">
        <f t="shared" si="152"/>
        <v>High Risk</v>
      </c>
      <c r="X768" s="5" t="str">
        <f t="shared" si="153"/>
        <v>High</v>
      </c>
      <c r="Y768" s="5" t="str">
        <f t="shared" si="154"/>
        <v>High</v>
      </c>
      <c r="Z768" s="5" t="str">
        <f>IF(B768=120,"NULL",IF(AND(V768="High Stress", W768="High Risk", Y768="Low"),"High Risk : Reject", IF(AND(V768="Healthy", W768="Good",Y768&lt;&gt;"Low"), "Low Risk : Approve", "Medium Risk : Review")))</f>
        <v>Medium Risk : Review</v>
      </c>
      <c r="AA768" s="5" t="str">
        <f t="shared" si="155"/>
        <v>Low</v>
      </c>
    </row>
    <row r="769" spans="1:27" x14ac:dyDescent="0.2">
      <c r="A769">
        <v>21428</v>
      </c>
      <c r="B769">
        <v>44</v>
      </c>
      <c r="C769">
        <f t="shared" si="143"/>
        <v>44</v>
      </c>
      <c r="D769" t="s">
        <v>27</v>
      </c>
      <c r="E769" t="str">
        <f t="shared" si="144"/>
        <v>Unemployed</v>
      </c>
      <c r="F769">
        <v>8833.2000000000007</v>
      </c>
      <c r="G769">
        <f>ABS(Table1[[#This Row],[Monthly_Income]])</f>
        <v>8833.2000000000007</v>
      </c>
      <c r="H769">
        <v>20272.13</v>
      </c>
      <c r="I769" s="5">
        <f t="shared" si="145"/>
        <v>20272.13</v>
      </c>
      <c r="J769">
        <v>48</v>
      </c>
      <c r="K769">
        <v>18.510000000000002</v>
      </c>
      <c r="L769">
        <v>2</v>
      </c>
      <c r="M769">
        <f t="shared" si="146"/>
        <v>2</v>
      </c>
      <c r="N769">
        <v>9.1999999999999993</v>
      </c>
      <c r="O769">
        <f t="shared" si="147"/>
        <v>9.1999999999999993</v>
      </c>
      <c r="P769">
        <v>30</v>
      </c>
      <c r="Q769">
        <f t="shared" si="148"/>
        <v>30</v>
      </c>
      <c r="R769" t="s">
        <v>15</v>
      </c>
      <c r="S769" t="str">
        <f t="shared" si="149"/>
        <v xml:space="preserve">Performing </v>
      </c>
      <c r="T769" t="s">
        <v>22</v>
      </c>
      <c r="U769" s="3">
        <f t="shared" si="150"/>
        <v>4.7812349054325347E-2</v>
      </c>
      <c r="V769" t="str">
        <f t="shared" si="151"/>
        <v>Healthy</v>
      </c>
      <c r="W769" t="str">
        <f t="shared" si="152"/>
        <v>At Risk</v>
      </c>
      <c r="X769" s="5" t="str">
        <f t="shared" si="153"/>
        <v>Medium</v>
      </c>
      <c r="Y769" s="5" t="str">
        <f t="shared" si="154"/>
        <v>Low</v>
      </c>
      <c r="Z769" s="5" t="str">
        <f>IF(B769=120,"NULL",IF(AND(V769="High Stress", W769="High Risk", Y769="Low"),"High Risk : Reject", IF(AND(V769="Healthy", W769="Good",Y769&lt;&gt;"Low"), "Low Risk : Approve", "Medium Risk : Review")))</f>
        <v>Medium Risk : Review</v>
      </c>
      <c r="AA769" s="5" t="str">
        <f t="shared" si="155"/>
        <v>High</v>
      </c>
    </row>
    <row r="770" spans="1:27" x14ac:dyDescent="0.2">
      <c r="A770">
        <v>25835</v>
      </c>
      <c r="B770">
        <v>37</v>
      </c>
      <c r="C770">
        <f t="shared" ref="C770:C833" si="156">IF(B770=120,"NULL",B770)</f>
        <v>37</v>
      </c>
      <c r="D770" t="s">
        <v>26</v>
      </c>
      <c r="E770" t="str">
        <f t="shared" ref="E770:E833" si="157">TRIM(IF(D770="Self employed","Self-Employed",D770))</f>
        <v>Salaried</v>
      </c>
      <c r="F770">
        <v>3068.27</v>
      </c>
      <c r="G770">
        <f>ABS(Table1[[#This Row],[Monthly_Income]])</f>
        <v>3068.27</v>
      </c>
      <c r="H770">
        <v>23102.94</v>
      </c>
      <c r="I770" s="5">
        <f t="shared" ref="I770:I833" si="158">IF(H770="","NULL",ABS(H770))</f>
        <v>23102.94</v>
      </c>
      <c r="J770">
        <v>24</v>
      </c>
      <c r="K770">
        <v>17.61</v>
      </c>
      <c r="L770">
        <v>0</v>
      </c>
      <c r="M770">
        <f t="shared" ref="M770:M833" si="159">IF(L770="","NULL",L770)</f>
        <v>0</v>
      </c>
      <c r="N770">
        <v>0.9</v>
      </c>
      <c r="O770">
        <f t="shared" ref="O770:O833" si="160">IF(N770="","NULL",ABS(N770))</f>
        <v>0.9</v>
      </c>
      <c r="Q770" t="str">
        <f t="shared" ref="Q770:Q833" si="161">IF(P770="","NULL",P770)</f>
        <v>NULL</v>
      </c>
      <c r="R770" t="s">
        <v>24</v>
      </c>
      <c r="S770" t="str">
        <f t="shared" ref="S770:S833" si="162">IF(R770="Non performing","Non-Performing",R770)</f>
        <v>Non-Performing</v>
      </c>
      <c r="T770" t="s">
        <v>19</v>
      </c>
      <c r="U770" s="3">
        <f t="shared" ref="U770:U833" si="163">IFERROR(I770/(G770*J770),"NULL")</f>
        <v>0.31373461266446562</v>
      </c>
      <c r="V770" t="str">
        <f t="shared" ref="V770:V833" si="164">IF(U770="NULL","NULL",IF(U770&lt;=0.3,"Healthy",IF(U770&lt;=0.45,"Stretched","High Stress")))</f>
        <v>Stretched</v>
      </c>
      <c r="W770" t="str">
        <f t="shared" ref="W770:W833" si="165">IF(Q770="NULL","NULL",IF(Q770&lt;30,"Good",IF(Q770&lt;60,"At Risk","High Risk")))</f>
        <v>NULL</v>
      </c>
      <c r="X770" s="5" t="str">
        <f t="shared" ref="X770:X833" si="166">IF(I770&lt;10000,"Small",IF(I770&lt;=30000,"Medium","High"))</f>
        <v>Medium</v>
      </c>
      <c r="Y770" s="5" t="str">
        <f t="shared" ref="Y770:Y833" si="167">IF(E770="Salaried","High",IF(E770="Self-Employed","Medium","Low"))</f>
        <v>High</v>
      </c>
      <c r="Z770" s="5" t="str">
        <f>IF(B770=120,"NULL",IF(AND(V770="High Stress", W770="High Risk", Y770="Low"),"High Risk : Reject", IF(AND(V770="Healthy", W770="Good",Y770&lt;&gt;"Low"), "Low Risk : Approve", "Medium Risk : Review")))</f>
        <v>Medium Risk : Review</v>
      </c>
      <c r="AA770" s="5" t="str">
        <f t="shared" ref="AA770:AA833" si="168">IF(G770="NULL","NULL",IF(G770&gt;8000,"High",IF(G770&gt;2000,"Medium","Low")))</f>
        <v>Medium</v>
      </c>
    </row>
    <row r="771" spans="1:27" x14ac:dyDescent="0.2">
      <c r="A771">
        <v>21014</v>
      </c>
      <c r="B771">
        <v>26</v>
      </c>
      <c r="C771">
        <f t="shared" si="156"/>
        <v>26</v>
      </c>
      <c r="D771" t="s">
        <v>23</v>
      </c>
      <c r="E771" t="str">
        <f t="shared" si="157"/>
        <v>Self-Employed</v>
      </c>
      <c r="F771">
        <v>4666.53</v>
      </c>
      <c r="G771">
        <f>ABS(Table1[[#This Row],[Monthly_Income]])</f>
        <v>4666.53</v>
      </c>
      <c r="H771">
        <v>19955.41</v>
      </c>
      <c r="I771" s="5">
        <f t="shared" si="158"/>
        <v>19955.41</v>
      </c>
      <c r="J771">
        <v>36</v>
      </c>
      <c r="K771">
        <v>13.91</v>
      </c>
      <c r="L771">
        <v>3</v>
      </c>
      <c r="M771">
        <f t="shared" si="159"/>
        <v>3</v>
      </c>
      <c r="N771">
        <v>8.1999999999999993</v>
      </c>
      <c r="O771">
        <f t="shared" si="160"/>
        <v>8.1999999999999993</v>
      </c>
      <c r="P771">
        <v>0</v>
      </c>
      <c r="Q771">
        <f t="shared" si="161"/>
        <v>0</v>
      </c>
      <c r="R771" t="s">
        <v>20</v>
      </c>
      <c r="S771" t="str">
        <f t="shared" si="162"/>
        <v>Written Off</v>
      </c>
      <c r="T771" t="s">
        <v>14</v>
      </c>
      <c r="U771" s="3">
        <f t="shared" si="163"/>
        <v>0.11878568110447045</v>
      </c>
      <c r="V771" t="str">
        <f t="shared" si="164"/>
        <v>Healthy</v>
      </c>
      <c r="W771" t="str">
        <f t="shared" si="165"/>
        <v>Good</v>
      </c>
      <c r="X771" s="5" t="str">
        <f t="shared" si="166"/>
        <v>Medium</v>
      </c>
      <c r="Y771" s="5" t="str">
        <f t="shared" si="167"/>
        <v>Medium</v>
      </c>
      <c r="Z771" s="5" t="str">
        <f>IF(B771=120,"NULL",IF(AND(V771="High Stress", W771="High Risk", Y771="Low"),"High Risk : Reject", IF(AND(V771="Healthy", W771="Good",Y771&lt;&gt;"Low"), "Low Risk : Approve", "Medium Risk : Review")))</f>
        <v>Low Risk : Approve</v>
      </c>
      <c r="AA771" s="5" t="str">
        <f t="shared" si="168"/>
        <v>Medium</v>
      </c>
    </row>
    <row r="772" spans="1:27" x14ac:dyDescent="0.2">
      <c r="A772">
        <v>21965</v>
      </c>
      <c r="B772">
        <v>120</v>
      </c>
      <c r="C772" t="str">
        <f t="shared" si="156"/>
        <v>NULL</v>
      </c>
      <c r="D772" t="s">
        <v>27</v>
      </c>
      <c r="E772" t="str">
        <f t="shared" si="157"/>
        <v>Unemployed</v>
      </c>
      <c r="F772">
        <v>5152.76</v>
      </c>
      <c r="G772">
        <f>ABS(Table1[[#This Row],[Monthly_Income]])</f>
        <v>5152.76</v>
      </c>
      <c r="H772">
        <v>25335.43</v>
      </c>
      <c r="I772" s="5">
        <f t="shared" si="158"/>
        <v>25335.43</v>
      </c>
      <c r="J772">
        <v>18</v>
      </c>
      <c r="K772">
        <v>26.91</v>
      </c>
      <c r="M772" t="str">
        <f t="shared" si="159"/>
        <v>NULL</v>
      </c>
      <c r="N772">
        <v>11.3</v>
      </c>
      <c r="O772">
        <f t="shared" si="160"/>
        <v>11.3</v>
      </c>
      <c r="P772">
        <v>0</v>
      </c>
      <c r="Q772">
        <f t="shared" si="161"/>
        <v>0</v>
      </c>
      <c r="R772" t="s">
        <v>15</v>
      </c>
      <c r="S772" t="str">
        <f t="shared" si="162"/>
        <v xml:space="preserve">Performing </v>
      </c>
      <c r="T772" t="s">
        <v>19</v>
      </c>
      <c r="U772" s="3">
        <f t="shared" si="163"/>
        <v>0.27315921736872839</v>
      </c>
      <c r="V772" t="str">
        <f t="shared" si="164"/>
        <v>Healthy</v>
      </c>
      <c r="W772" t="str">
        <f t="shared" si="165"/>
        <v>Good</v>
      </c>
      <c r="X772" s="5" t="str">
        <f t="shared" si="166"/>
        <v>Medium</v>
      </c>
      <c r="Y772" s="5" t="str">
        <f t="shared" si="167"/>
        <v>Low</v>
      </c>
      <c r="Z772" s="5" t="str">
        <f>IF(B772=120,"NULL",IF(AND(V772="High Stress", W772="High Risk", Y772="Low"),"High Risk : Reject", IF(AND(V772="Healthy", W772="Good",Y772&lt;&gt;"Low"), "Low Risk : Approve", "Medium Risk : Review")))</f>
        <v>NULL</v>
      </c>
      <c r="AA772" s="5" t="str">
        <f t="shared" si="168"/>
        <v>Medium</v>
      </c>
    </row>
    <row r="773" spans="1:27" x14ac:dyDescent="0.2">
      <c r="A773">
        <v>23564</v>
      </c>
      <c r="B773">
        <v>36</v>
      </c>
      <c r="C773">
        <f t="shared" si="156"/>
        <v>36</v>
      </c>
      <c r="D773" t="s">
        <v>17</v>
      </c>
      <c r="E773" t="str">
        <f t="shared" si="157"/>
        <v>Contract</v>
      </c>
      <c r="F773">
        <v>8026.16</v>
      </c>
      <c r="G773">
        <f>ABS(Table1[[#This Row],[Monthly_Income]])</f>
        <v>8026.16</v>
      </c>
      <c r="H773">
        <v>32634.9</v>
      </c>
      <c r="I773" s="5">
        <f t="shared" si="158"/>
        <v>32634.9</v>
      </c>
      <c r="J773">
        <v>12</v>
      </c>
      <c r="K773">
        <v>30.06</v>
      </c>
      <c r="L773">
        <v>2</v>
      </c>
      <c r="M773">
        <f t="shared" si="159"/>
        <v>2</v>
      </c>
      <c r="N773">
        <v>10.1</v>
      </c>
      <c r="O773">
        <f t="shared" si="160"/>
        <v>10.1</v>
      </c>
      <c r="Q773" t="str">
        <f t="shared" si="161"/>
        <v>NULL</v>
      </c>
      <c r="R773" t="s">
        <v>20</v>
      </c>
      <c r="S773" t="str">
        <f t="shared" si="162"/>
        <v>Written Off</v>
      </c>
      <c r="T773" t="s">
        <v>14</v>
      </c>
      <c r="U773" s="3">
        <f t="shared" si="163"/>
        <v>0.33883887188892325</v>
      </c>
      <c r="V773" t="str">
        <f t="shared" si="164"/>
        <v>Stretched</v>
      </c>
      <c r="W773" t="str">
        <f t="shared" si="165"/>
        <v>NULL</v>
      </c>
      <c r="X773" s="5" t="str">
        <f t="shared" si="166"/>
        <v>High</v>
      </c>
      <c r="Y773" s="5" t="str">
        <f t="shared" si="167"/>
        <v>Low</v>
      </c>
      <c r="Z773" s="5" t="str">
        <f>IF(B773=120,"NULL",IF(AND(V773="High Stress", W773="High Risk", Y773="Low"),"High Risk : Reject", IF(AND(V773="Healthy", W773="Good",Y773&lt;&gt;"Low"), "Low Risk : Approve", "Medium Risk : Review")))</f>
        <v>Medium Risk : Review</v>
      </c>
      <c r="AA773" s="5" t="str">
        <f t="shared" si="168"/>
        <v>High</v>
      </c>
    </row>
    <row r="774" spans="1:27" x14ac:dyDescent="0.2">
      <c r="A774">
        <v>24698</v>
      </c>
      <c r="B774">
        <v>53</v>
      </c>
      <c r="C774">
        <f t="shared" si="156"/>
        <v>53</v>
      </c>
      <c r="D774" t="s">
        <v>26</v>
      </c>
      <c r="E774" t="str">
        <f t="shared" si="157"/>
        <v>Salaried</v>
      </c>
      <c r="F774">
        <v>708.56</v>
      </c>
      <c r="G774">
        <f>ABS(Table1[[#This Row],[Monthly_Income]])</f>
        <v>708.56</v>
      </c>
      <c r="H774">
        <v>22980.19</v>
      </c>
      <c r="I774" s="5">
        <f t="shared" si="158"/>
        <v>22980.19</v>
      </c>
      <c r="J774">
        <v>48</v>
      </c>
      <c r="K774">
        <v>20.82</v>
      </c>
      <c r="L774">
        <v>4</v>
      </c>
      <c r="M774">
        <f t="shared" si="159"/>
        <v>4</v>
      </c>
      <c r="N774">
        <v>11</v>
      </c>
      <c r="O774">
        <f t="shared" si="160"/>
        <v>11</v>
      </c>
      <c r="P774">
        <v>60</v>
      </c>
      <c r="Q774">
        <f t="shared" si="161"/>
        <v>60</v>
      </c>
      <c r="R774" t="s">
        <v>18</v>
      </c>
      <c r="S774" t="str">
        <f t="shared" si="162"/>
        <v>Non-Performing</v>
      </c>
      <c r="T774" t="s">
        <v>16</v>
      </c>
      <c r="U774" s="3">
        <f t="shared" si="163"/>
        <v>0.67567172622407889</v>
      </c>
      <c r="V774" t="str">
        <f t="shared" si="164"/>
        <v>High Stress</v>
      </c>
      <c r="W774" t="str">
        <f t="shared" si="165"/>
        <v>High Risk</v>
      </c>
      <c r="X774" s="5" t="str">
        <f t="shared" si="166"/>
        <v>Medium</v>
      </c>
      <c r="Y774" s="5" t="str">
        <f t="shared" si="167"/>
        <v>High</v>
      </c>
      <c r="Z774" s="5" t="str">
        <f>IF(B774=120,"NULL",IF(AND(V774="High Stress", W774="High Risk", Y774="Low"),"High Risk : Reject", IF(AND(V774="Healthy", W774="Good",Y774&lt;&gt;"Low"), "Low Risk : Approve", "Medium Risk : Review")))</f>
        <v>Medium Risk : Review</v>
      </c>
      <c r="AA774" s="5" t="str">
        <f t="shared" si="168"/>
        <v>Low</v>
      </c>
    </row>
    <row r="775" spans="1:27" x14ac:dyDescent="0.2">
      <c r="A775">
        <v>21857</v>
      </c>
      <c r="B775">
        <v>33</v>
      </c>
      <c r="C775">
        <f t="shared" si="156"/>
        <v>33</v>
      </c>
      <c r="D775" t="s">
        <v>12</v>
      </c>
      <c r="E775" t="str">
        <f t="shared" si="157"/>
        <v>Self-Employed</v>
      </c>
      <c r="F775">
        <v>4684.5600000000004</v>
      </c>
      <c r="G775">
        <f>ABS(Table1[[#This Row],[Monthly_Income]])</f>
        <v>4684.5600000000004</v>
      </c>
      <c r="H775">
        <v>35134.58</v>
      </c>
      <c r="I775" s="5">
        <f t="shared" si="158"/>
        <v>35134.58</v>
      </c>
      <c r="J775">
        <v>24</v>
      </c>
      <c r="K775">
        <v>15.57</v>
      </c>
      <c r="L775">
        <v>4</v>
      </c>
      <c r="M775">
        <f t="shared" si="159"/>
        <v>4</v>
      </c>
      <c r="N775">
        <v>11.1</v>
      </c>
      <c r="O775">
        <f t="shared" si="160"/>
        <v>11.1</v>
      </c>
      <c r="P775">
        <v>30</v>
      </c>
      <c r="Q775">
        <f t="shared" si="161"/>
        <v>30</v>
      </c>
      <c r="R775" t="s">
        <v>20</v>
      </c>
      <c r="S775" t="str">
        <f t="shared" si="162"/>
        <v>Written Off</v>
      </c>
      <c r="T775" t="s">
        <v>25</v>
      </c>
      <c r="U775" s="3">
        <f t="shared" si="163"/>
        <v>0.31250337989764959</v>
      </c>
      <c r="V775" t="str">
        <f t="shared" si="164"/>
        <v>Stretched</v>
      </c>
      <c r="W775" t="str">
        <f t="shared" si="165"/>
        <v>At Risk</v>
      </c>
      <c r="X775" s="5" t="str">
        <f t="shared" si="166"/>
        <v>High</v>
      </c>
      <c r="Y775" s="5" t="str">
        <f t="shared" si="167"/>
        <v>Medium</v>
      </c>
      <c r="Z775" s="5" t="str">
        <f>IF(B775=120,"NULL",IF(AND(V775="High Stress", W775="High Risk", Y775="Low"),"High Risk : Reject", IF(AND(V775="Healthy", W775="Good",Y775&lt;&gt;"Low"), "Low Risk : Approve", "Medium Risk : Review")))</f>
        <v>Medium Risk : Review</v>
      </c>
      <c r="AA775" s="5" t="str">
        <f t="shared" si="168"/>
        <v>Medium</v>
      </c>
    </row>
    <row r="776" spans="1:27" x14ac:dyDescent="0.2">
      <c r="A776">
        <v>22649</v>
      </c>
      <c r="B776">
        <v>62</v>
      </c>
      <c r="C776">
        <f t="shared" si="156"/>
        <v>62</v>
      </c>
      <c r="D776" t="s">
        <v>17</v>
      </c>
      <c r="E776" t="str">
        <f t="shared" si="157"/>
        <v>Contract</v>
      </c>
      <c r="F776">
        <v>5845.23</v>
      </c>
      <c r="G776">
        <f>ABS(Table1[[#This Row],[Monthly_Income]])</f>
        <v>5845.23</v>
      </c>
      <c r="H776">
        <v>9749.5400000000009</v>
      </c>
      <c r="I776" s="5">
        <f t="shared" si="158"/>
        <v>9749.5400000000009</v>
      </c>
      <c r="J776">
        <v>18</v>
      </c>
      <c r="K776">
        <v>16.149999999999999</v>
      </c>
      <c r="L776">
        <v>2</v>
      </c>
      <c r="M776">
        <f t="shared" si="159"/>
        <v>2</v>
      </c>
      <c r="N776">
        <v>10.8</v>
      </c>
      <c r="O776">
        <f t="shared" si="160"/>
        <v>10.8</v>
      </c>
      <c r="P776">
        <v>30</v>
      </c>
      <c r="Q776">
        <f t="shared" si="161"/>
        <v>30</v>
      </c>
      <c r="R776" t="s">
        <v>15</v>
      </c>
      <c r="S776" t="str">
        <f t="shared" si="162"/>
        <v xml:space="preserve">Performing </v>
      </c>
      <c r="T776" t="s">
        <v>22</v>
      </c>
      <c r="U776" s="3">
        <f t="shared" si="163"/>
        <v>9.2663780742778507E-2</v>
      </c>
      <c r="V776" t="str">
        <f t="shared" si="164"/>
        <v>Healthy</v>
      </c>
      <c r="W776" t="str">
        <f t="shared" si="165"/>
        <v>At Risk</v>
      </c>
      <c r="X776" s="5" t="str">
        <f t="shared" si="166"/>
        <v>Small</v>
      </c>
      <c r="Y776" s="5" t="str">
        <f t="shared" si="167"/>
        <v>Low</v>
      </c>
      <c r="Z776" s="5" t="str">
        <f>IF(B776=120,"NULL",IF(AND(V776="High Stress", W776="High Risk", Y776="Low"),"High Risk : Reject", IF(AND(V776="Healthy", W776="Good",Y776&lt;&gt;"Low"), "Low Risk : Approve", "Medium Risk : Review")))</f>
        <v>Medium Risk : Review</v>
      </c>
      <c r="AA776" s="5" t="str">
        <f t="shared" si="168"/>
        <v>Medium</v>
      </c>
    </row>
    <row r="777" spans="1:27" x14ac:dyDescent="0.2">
      <c r="A777">
        <v>24648</v>
      </c>
      <c r="B777">
        <v>30</v>
      </c>
      <c r="C777">
        <f t="shared" si="156"/>
        <v>30</v>
      </c>
      <c r="D777" t="s">
        <v>17</v>
      </c>
      <c r="E777" t="str">
        <f t="shared" si="157"/>
        <v>Contract</v>
      </c>
      <c r="F777">
        <v>3445.93</v>
      </c>
      <c r="G777">
        <f>ABS(Table1[[#This Row],[Monthly_Income]])</f>
        <v>3445.93</v>
      </c>
      <c r="H777">
        <v>26949.360000000001</v>
      </c>
      <c r="I777" s="5">
        <f t="shared" si="158"/>
        <v>26949.360000000001</v>
      </c>
      <c r="J777">
        <v>60</v>
      </c>
      <c r="K777">
        <v>26.84</v>
      </c>
      <c r="L777">
        <v>4</v>
      </c>
      <c r="M777">
        <f t="shared" si="159"/>
        <v>4</v>
      </c>
      <c r="N777">
        <v>4.9000000000000004</v>
      </c>
      <c r="O777">
        <f t="shared" si="160"/>
        <v>4.9000000000000004</v>
      </c>
      <c r="P777">
        <v>120</v>
      </c>
      <c r="Q777">
        <f t="shared" si="161"/>
        <v>120</v>
      </c>
      <c r="R777" t="s">
        <v>15</v>
      </c>
      <c r="S777" t="str">
        <f t="shared" si="162"/>
        <v xml:space="preserve">Performing </v>
      </c>
      <c r="T777" t="s">
        <v>25</v>
      </c>
      <c r="U777" s="3">
        <f t="shared" si="163"/>
        <v>0.13034391296398942</v>
      </c>
      <c r="V777" t="str">
        <f t="shared" si="164"/>
        <v>Healthy</v>
      </c>
      <c r="W777" t="str">
        <f t="shared" si="165"/>
        <v>High Risk</v>
      </c>
      <c r="X777" s="5" t="str">
        <f t="shared" si="166"/>
        <v>Medium</v>
      </c>
      <c r="Y777" s="5" t="str">
        <f t="shared" si="167"/>
        <v>Low</v>
      </c>
      <c r="Z777" s="5" t="str">
        <f>IF(B777=120,"NULL",IF(AND(V777="High Stress", W777="High Risk", Y777="Low"),"High Risk : Reject", IF(AND(V777="Healthy", W777="Good",Y777&lt;&gt;"Low"), "Low Risk : Approve", "Medium Risk : Review")))</f>
        <v>Medium Risk : Review</v>
      </c>
      <c r="AA777" s="5" t="str">
        <f t="shared" si="168"/>
        <v>Medium</v>
      </c>
    </row>
    <row r="778" spans="1:27" x14ac:dyDescent="0.2">
      <c r="A778">
        <v>25809</v>
      </c>
      <c r="B778">
        <v>41</v>
      </c>
      <c r="C778">
        <f t="shared" si="156"/>
        <v>41</v>
      </c>
      <c r="D778" t="s">
        <v>27</v>
      </c>
      <c r="E778" t="str">
        <f t="shared" si="157"/>
        <v>Unemployed</v>
      </c>
      <c r="F778">
        <v>3399.41</v>
      </c>
      <c r="G778">
        <f>ABS(Table1[[#This Row],[Monthly_Income]])</f>
        <v>3399.41</v>
      </c>
      <c r="H778">
        <v>15699.25</v>
      </c>
      <c r="I778" s="5">
        <f t="shared" si="158"/>
        <v>15699.25</v>
      </c>
      <c r="J778">
        <v>48</v>
      </c>
      <c r="K778">
        <v>23.7</v>
      </c>
      <c r="L778">
        <v>2</v>
      </c>
      <c r="M778">
        <f t="shared" si="159"/>
        <v>2</v>
      </c>
      <c r="N778">
        <v>11.4</v>
      </c>
      <c r="O778">
        <f t="shared" si="160"/>
        <v>11.4</v>
      </c>
      <c r="P778">
        <v>0</v>
      </c>
      <c r="Q778">
        <f t="shared" si="161"/>
        <v>0</v>
      </c>
      <c r="R778" t="s">
        <v>15</v>
      </c>
      <c r="S778" t="str">
        <f t="shared" si="162"/>
        <v xml:space="preserve">Performing </v>
      </c>
      <c r="T778" t="s">
        <v>22</v>
      </c>
      <c r="U778" s="3">
        <f t="shared" si="163"/>
        <v>9.6213080603202716E-2</v>
      </c>
      <c r="V778" t="str">
        <f t="shared" si="164"/>
        <v>Healthy</v>
      </c>
      <c r="W778" t="str">
        <f t="shared" si="165"/>
        <v>Good</v>
      </c>
      <c r="X778" s="5" t="str">
        <f t="shared" si="166"/>
        <v>Medium</v>
      </c>
      <c r="Y778" s="5" t="str">
        <f t="shared" si="167"/>
        <v>Low</v>
      </c>
      <c r="Z778" s="5" t="str">
        <f>IF(B778=120,"NULL",IF(AND(V778="High Stress", W778="High Risk", Y778="Low"),"High Risk : Reject", IF(AND(V778="Healthy", W778="Good",Y778&lt;&gt;"Low"), "Low Risk : Approve", "Medium Risk : Review")))</f>
        <v>Medium Risk : Review</v>
      </c>
      <c r="AA778" s="5" t="str">
        <f t="shared" si="168"/>
        <v>Medium</v>
      </c>
    </row>
    <row r="779" spans="1:27" x14ac:dyDescent="0.2">
      <c r="A779">
        <v>23023</v>
      </c>
      <c r="B779">
        <v>59</v>
      </c>
      <c r="C779">
        <f t="shared" si="156"/>
        <v>59</v>
      </c>
      <c r="D779" t="s">
        <v>26</v>
      </c>
      <c r="E779" t="str">
        <f t="shared" si="157"/>
        <v>Salaried</v>
      </c>
      <c r="F779">
        <v>6385.07</v>
      </c>
      <c r="G779">
        <f>ABS(Table1[[#This Row],[Monthly_Income]])</f>
        <v>6385.07</v>
      </c>
      <c r="H779">
        <v>30837.200000000001</v>
      </c>
      <c r="I779" s="5">
        <f t="shared" si="158"/>
        <v>30837.200000000001</v>
      </c>
      <c r="J779">
        <v>18</v>
      </c>
      <c r="K779">
        <v>16.100000000000001</v>
      </c>
      <c r="L779">
        <v>4</v>
      </c>
      <c r="M779">
        <f t="shared" si="159"/>
        <v>4</v>
      </c>
      <c r="N779">
        <v>8.3000000000000007</v>
      </c>
      <c r="O779">
        <f t="shared" si="160"/>
        <v>8.3000000000000007</v>
      </c>
      <c r="P779">
        <v>0</v>
      </c>
      <c r="Q779">
        <f t="shared" si="161"/>
        <v>0</v>
      </c>
      <c r="R779" t="s">
        <v>24</v>
      </c>
      <c r="S779" t="str">
        <f t="shared" si="162"/>
        <v>Non-Performing</v>
      </c>
      <c r="T779" t="s">
        <v>14</v>
      </c>
      <c r="U779" s="3">
        <f t="shared" si="163"/>
        <v>0.26830994457034579</v>
      </c>
      <c r="V779" t="str">
        <f t="shared" si="164"/>
        <v>Healthy</v>
      </c>
      <c r="W779" t="str">
        <f t="shared" si="165"/>
        <v>Good</v>
      </c>
      <c r="X779" s="5" t="str">
        <f t="shared" si="166"/>
        <v>High</v>
      </c>
      <c r="Y779" s="5" t="str">
        <f t="shared" si="167"/>
        <v>High</v>
      </c>
      <c r="Z779" s="5" t="str">
        <f>IF(B779=120,"NULL",IF(AND(V779="High Stress", W779="High Risk", Y779="Low"),"High Risk : Reject", IF(AND(V779="Healthy", W779="Good",Y779&lt;&gt;"Low"), "Low Risk : Approve", "Medium Risk : Review")))</f>
        <v>Low Risk : Approve</v>
      </c>
      <c r="AA779" s="5" t="str">
        <f t="shared" si="168"/>
        <v>Medium</v>
      </c>
    </row>
    <row r="780" spans="1:27" x14ac:dyDescent="0.2">
      <c r="A780">
        <v>23494</v>
      </c>
      <c r="B780">
        <v>22</v>
      </c>
      <c r="C780">
        <f t="shared" si="156"/>
        <v>22</v>
      </c>
      <c r="D780" t="s">
        <v>27</v>
      </c>
      <c r="E780" t="str">
        <f t="shared" si="157"/>
        <v>Unemployed</v>
      </c>
      <c r="F780">
        <v>4360.75</v>
      </c>
      <c r="G780">
        <f>ABS(Table1[[#This Row],[Monthly_Income]])</f>
        <v>4360.75</v>
      </c>
      <c r="H780">
        <v>37467.71</v>
      </c>
      <c r="I780" s="5">
        <f t="shared" si="158"/>
        <v>37467.71</v>
      </c>
      <c r="J780">
        <v>6</v>
      </c>
      <c r="K780">
        <v>19.739999999999998</v>
      </c>
      <c r="L780">
        <v>0</v>
      </c>
      <c r="M780">
        <f t="shared" si="159"/>
        <v>0</v>
      </c>
      <c r="N780">
        <v>7.6</v>
      </c>
      <c r="O780">
        <f t="shared" si="160"/>
        <v>7.6</v>
      </c>
      <c r="P780">
        <v>120</v>
      </c>
      <c r="Q780">
        <f t="shared" si="161"/>
        <v>120</v>
      </c>
      <c r="R780" t="s">
        <v>15</v>
      </c>
      <c r="S780" t="str">
        <f t="shared" si="162"/>
        <v xml:space="preserve">Performing </v>
      </c>
      <c r="T780" t="s">
        <v>22</v>
      </c>
      <c r="U780" s="3">
        <f t="shared" si="163"/>
        <v>1.4320055800798792</v>
      </c>
      <c r="V780" t="str">
        <f t="shared" si="164"/>
        <v>High Stress</v>
      </c>
      <c r="W780" t="str">
        <f t="shared" si="165"/>
        <v>High Risk</v>
      </c>
      <c r="X780" s="5" t="str">
        <f t="shared" si="166"/>
        <v>High</v>
      </c>
      <c r="Y780" s="5" t="str">
        <f t="shared" si="167"/>
        <v>Low</v>
      </c>
      <c r="Z780" s="5" t="str">
        <f>IF(B780=120,"NULL",IF(AND(V780="High Stress", W780="High Risk", Y780="Low"),"High Risk : Reject", IF(AND(V780="Healthy", W780="Good",Y780&lt;&gt;"Low"), "Low Risk : Approve", "Medium Risk : Review")))</f>
        <v>High Risk : Reject</v>
      </c>
      <c r="AA780" s="5" t="str">
        <f t="shared" si="168"/>
        <v>Medium</v>
      </c>
    </row>
    <row r="781" spans="1:27" x14ac:dyDescent="0.2">
      <c r="A781">
        <v>21659</v>
      </c>
      <c r="B781">
        <v>64</v>
      </c>
      <c r="C781">
        <f t="shared" si="156"/>
        <v>64</v>
      </c>
      <c r="D781" t="s">
        <v>12</v>
      </c>
      <c r="E781" t="str">
        <f t="shared" si="157"/>
        <v>Self-Employed</v>
      </c>
      <c r="F781">
        <v>2993.17</v>
      </c>
      <c r="G781">
        <f>ABS(Table1[[#This Row],[Monthly_Income]])</f>
        <v>2993.17</v>
      </c>
      <c r="H781">
        <v>13889.81</v>
      </c>
      <c r="I781" s="5">
        <f t="shared" si="158"/>
        <v>13889.81</v>
      </c>
      <c r="J781">
        <v>18</v>
      </c>
      <c r="K781">
        <v>26.15</v>
      </c>
      <c r="L781">
        <v>2</v>
      </c>
      <c r="M781">
        <f t="shared" si="159"/>
        <v>2</v>
      </c>
      <c r="N781">
        <v>9.1</v>
      </c>
      <c r="O781">
        <f t="shared" si="160"/>
        <v>9.1</v>
      </c>
      <c r="P781">
        <v>90</v>
      </c>
      <c r="Q781">
        <f t="shared" si="161"/>
        <v>90</v>
      </c>
      <c r="R781" t="s">
        <v>15</v>
      </c>
      <c r="S781" t="str">
        <f t="shared" si="162"/>
        <v xml:space="preserve">Performing </v>
      </c>
      <c r="T781" t="s">
        <v>14</v>
      </c>
      <c r="U781" s="3">
        <f t="shared" si="163"/>
        <v>0.25780564121353317</v>
      </c>
      <c r="V781" t="str">
        <f t="shared" si="164"/>
        <v>Healthy</v>
      </c>
      <c r="W781" t="str">
        <f t="shared" si="165"/>
        <v>High Risk</v>
      </c>
      <c r="X781" s="5" t="str">
        <f t="shared" si="166"/>
        <v>Medium</v>
      </c>
      <c r="Y781" s="5" t="str">
        <f t="shared" si="167"/>
        <v>Medium</v>
      </c>
      <c r="Z781" s="5" t="str">
        <f>IF(B781=120,"NULL",IF(AND(V781="High Stress", W781="High Risk", Y781="Low"),"High Risk : Reject", IF(AND(V781="Healthy", W781="Good",Y781&lt;&gt;"Low"), "Low Risk : Approve", "Medium Risk : Review")))</f>
        <v>Medium Risk : Review</v>
      </c>
      <c r="AA781" s="5" t="str">
        <f t="shared" si="168"/>
        <v>Medium</v>
      </c>
    </row>
    <row r="782" spans="1:27" x14ac:dyDescent="0.2">
      <c r="A782">
        <v>21935</v>
      </c>
      <c r="B782">
        <v>31</v>
      </c>
      <c r="C782">
        <f t="shared" si="156"/>
        <v>31</v>
      </c>
      <c r="D782" t="s">
        <v>17</v>
      </c>
      <c r="E782" t="str">
        <f t="shared" si="157"/>
        <v>Contract</v>
      </c>
      <c r="F782">
        <v>9232.5300000000007</v>
      </c>
      <c r="G782">
        <f>ABS(Table1[[#This Row],[Monthly_Income]])</f>
        <v>9232.5300000000007</v>
      </c>
      <c r="H782">
        <v>21678.89</v>
      </c>
      <c r="I782" s="5">
        <f t="shared" si="158"/>
        <v>21678.89</v>
      </c>
      <c r="J782">
        <v>60</v>
      </c>
      <c r="K782">
        <v>23.49</v>
      </c>
      <c r="L782">
        <v>3</v>
      </c>
      <c r="M782">
        <f t="shared" si="159"/>
        <v>3</v>
      </c>
      <c r="N782">
        <v>4.3</v>
      </c>
      <c r="O782">
        <f t="shared" si="160"/>
        <v>4.3</v>
      </c>
      <c r="P782">
        <v>0</v>
      </c>
      <c r="Q782">
        <f t="shared" si="161"/>
        <v>0</v>
      </c>
      <c r="R782" t="s">
        <v>18</v>
      </c>
      <c r="S782" t="str">
        <f t="shared" si="162"/>
        <v>Non-Performing</v>
      </c>
      <c r="T782" t="s">
        <v>14</v>
      </c>
      <c r="U782" s="3">
        <f t="shared" si="163"/>
        <v>3.9134975281242879E-2</v>
      </c>
      <c r="V782" t="str">
        <f t="shared" si="164"/>
        <v>Healthy</v>
      </c>
      <c r="W782" t="str">
        <f t="shared" si="165"/>
        <v>Good</v>
      </c>
      <c r="X782" s="5" t="str">
        <f t="shared" si="166"/>
        <v>Medium</v>
      </c>
      <c r="Y782" s="5" t="str">
        <f t="shared" si="167"/>
        <v>Low</v>
      </c>
      <c r="Z782" s="5" t="str">
        <f>IF(B782=120,"NULL",IF(AND(V782="High Stress", W782="High Risk", Y782="Low"),"High Risk : Reject", IF(AND(V782="Healthy", W782="Good",Y782&lt;&gt;"Low"), "Low Risk : Approve", "Medium Risk : Review")))</f>
        <v>Medium Risk : Review</v>
      </c>
      <c r="AA782" s="5" t="str">
        <f t="shared" si="168"/>
        <v>High</v>
      </c>
    </row>
    <row r="783" spans="1:27" x14ac:dyDescent="0.2">
      <c r="A783">
        <v>21564</v>
      </c>
      <c r="B783">
        <v>34</v>
      </c>
      <c r="C783">
        <f t="shared" si="156"/>
        <v>34</v>
      </c>
      <c r="D783" t="s">
        <v>26</v>
      </c>
      <c r="E783" t="str">
        <f t="shared" si="157"/>
        <v>Salaried</v>
      </c>
      <c r="F783">
        <v>6245.17</v>
      </c>
      <c r="G783">
        <f>ABS(Table1[[#This Row],[Monthly_Income]])</f>
        <v>6245.17</v>
      </c>
      <c r="H783">
        <v>26567.18</v>
      </c>
      <c r="I783" s="5">
        <f t="shared" si="158"/>
        <v>26567.18</v>
      </c>
      <c r="J783">
        <v>48</v>
      </c>
      <c r="K783">
        <v>17.649999999999999</v>
      </c>
      <c r="L783">
        <v>0</v>
      </c>
      <c r="M783">
        <f t="shared" si="159"/>
        <v>0</v>
      </c>
      <c r="N783">
        <v>10.4</v>
      </c>
      <c r="O783">
        <f t="shared" si="160"/>
        <v>10.4</v>
      </c>
      <c r="P783">
        <v>60</v>
      </c>
      <c r="Q783">
        <f t="shared" si="161"/>
        <v>60</v>
      </c>
      <c r="R783" t="s">
        <v>13</v>
      </c>
      <c r="S783" t="str">
        <f t="shared" si="162"/>
        <v>Performing</v>
      </c>
      <c r="T783" t="s">
        <v>14</v>
      </c>
      <c r="U783" s="3">
        <f t="shared" si="163"/>
        <v>8.8625756651406859E-2</v>
      </c>
      <c r="V783" t="str">
        <f t="shared" si="164"/>
        <v>Healthy</v>
      </c>
      <c r="W783" t="str">
        <f t="shared" si="165"/>
        <v>High Risk</v>
      </c>
      <c r="X783" s="5" t="str">
        <f t="shared" si="166"/>
        <v>Medium</v>
      </c>
      <c r="Y783" s="5" t="str">
        <f t="shared" si="167"/>
        <v>High</v>
      </c>
      <c r="Z783" s="5" t="str">
        <f>IF(B783=120,"NULL",IF(AND(V783="High Stress", W783="High Risk", Y783="Low"),"High Risk : Reject", IF(AND(V783="Healthy", W783="Good",Y783&lt;&gt;"Low"), "Low Risk : Approve", "Medium Risk : Review")))</f>
        <v>Medium Risk : Review</v>
      </c>
      <c r="AA783" s="5" t="str">
        <f t="shared" si="168"/>
        <v>Medium</v>
      </c>
    </row>
    <row r="784" spans="1:27" x14ac:dyDescent="0.2">
      <c r="A784">
        <v>24532</v>
      </c>
      <c r="B784">
        <v>22</v>
      </c>
      <c r="C784">
        <f t="shared" si="156"/>
        <v>22</v>
      </c>
      <c r="D784" t="s">
        <v>17</v>
      </c>
      <c r="E784" t="str">
        <f t="shared" si="157"/>
        <v>Contract</v>
      </c>
      <c r="F784">
        <v>9203.98</v>
      </c>
      <c r="G784">
        <f>ABS(Table1[[#This Row],[Monthly_Income]])</f>
        <v>9203.98</v>
      </c>
      <c r="H784">
        <v>20546.919999999998</v>
      </c>
      <c r="I784" s="5">
        <f t="shared" si="158"/>
        <v>20546.919999999998</v>
      </c>
      <c r="J784">
        <v>24</v>
      </c>
      <c r="K784">
        <v>19.95</v>
      </c>
      <c r="L784">
        <v>0</v>
      </c>
      <c r="M784">
        <f t="shared" si="159"/>
        <v>0</v>
      </c>
      <c r="N784">
        <v>9.1</v>
      </c>
      <c r="O784">
        <f t="shared" si="160"/>
        <v>9.1</v>
      </c>
      <c r="P784">
        <v>0</v>
      </c>
      <c r="Q784">
        <f t="shared" si="161"/>
        <v>0</v>
      </c>
      <c r="R784" t="s">
        <v>13</v>
      </c>
      <c r="S784" t="str">
        <f t="shared" si="162"/>
        <v>Performing</v>
      </c>
      <c r="T784" t="s">
        <v>19</v>
      </c>
      <c r="U784" s="3">
        <f t="shared" si="163"/>
        <v>9.3016463167745547E-2</v>
      </c>
      <c r="V784" t="str">
        <f t="shared" si="164"/>
        <v>Healthy</v>
      </c>
      <c r="W784" t="str">
        <f t="shared" si="165"/>
        <v>Good</v>
      </c>
      <c r="X784" s="5" t="str">
        <f t="shared" si="166"/>
        <v>Medium</v>
      </c>
      <c r="Y784" s="5" t="str">
        <f t="shared" si="167"/>
        <v>Low</v>
      </c>
      <c r="Z784" s="5" t="str">
        <f>IF(B784=120,"NULL",IF(AND(V784="High Stress", W784="High Risk", Y784="Low"),"High Risk : Reject", IF(AND(V784="Healthy", W784="Good",Y784&lt;&gt;"Low"), "Low Risk : Approve", "Medium Risk : Review")))</f>
        <v>Medium Risk : Review</v>
      </c>
      <c r="AA784" s="5" t="str">
        <f t="shared" si="168"/>
        <v>High</v>
      </c>
    </row>
    <row r="785" spans="1:27" x14ac:dyDescent="0.2">
      <c r="A785">
        <v>20754</v>
      </c>
      <c r="B785">
        <v>33</v>
      </c>
      <c r="C785">
        <f t="shared" si="156"/>
        <v>33</v>
      </c>
      <c r="D785" t="s">
        <v>27</v>
      </c>
      <c r="E785" t="str">
        <f t="shared" si="157"/>
        <v>Unemployed</v>
      </c>
      <c r="F785">
        <v>9607.27</v>
      </c>
      <c r="G785">
        <f>ABS(Table1[[#This Row],[Monthly_Income]])</f>
        <v>9607.27</v>
      </c>
      <c r="H785">
        <v>14722.23</v>
      </c>
      <c r="I785" s="5">
        <f t="shared" si="158"/>
        <v>14722.23</v>
      </c>
      <c r="J785">
        <v>60</v>
      </c>
      <c r="K785">
        <v>22.24</v>
      </c>
      <c r="L785">
        <v>3</v>
      </c>
      <c r="M785">
        <f t="shared" si="159"/>
        <v>3</v>
      </c>
      <c r="N785">
        <v>4.5999999999999996</v>
      </c>
      <c r="O785">
        <f t="shared" si="160"/>
        <v>4.5999999999999996</v>
      </c>
      <c r="P785">
        <v>0</v>
      </c>
      <c r="Q785">
        <f t="shared" si="161"/>
        <v>0</v>
      </c>
      <c r="R785" t="s">
        <v>13</v>
      </c>
      <c r="S785" t="str">
        <f t="shared" si="162"/>
        <v>Performing</v>
      </c>
      <c r="T785" t="s">
        <v>22</v>
      </c>
      <c r="U785" s="3">
        <f t="shared" si="163"/>
        <v>2.5540085789199217E-2</v>
      </c>
      <c r="V785" t="str">
        <f t="shared" si="164"/>
        <v>Healthy</v>
      </c>
      <c r="W785" t="str">
        <f t="shared" si="165"/>
        <v>Good</v>
      </c>
      <c r="X785" s="5" t="str">
        <f t="shared" si="166"/>
        <v>Medium</v>
      </c>
      <c r="Y785" s="5" t="str">
        <f t="shared" si="167"/>
        <v>Low</v>
      </c>
      <c r="Z785" s="5" t="str">
        <f>IF(B785=120,"NULL",IF(AND(V785="High Stress", W785="High Risk", Y785="Low"),"High Risk : Reject", IF(AND(V785="Healthy", W785="Good",Y785&lt;&gt;"Low"), "Low Risk : Approve", "Medium Risk : Review")))</f>
        <v>Medium Risk : Review</v>
      </c>
      <c r="AA785" s="5" t="str">
        <f t="shared" si="168"/>
        <v>High</v>
      </c>
    </row>
    <row r="786" spans="1:27" x14ac:dyDescent="0.2">
      <c r="A786">
        <v>23825</v>
      </c>
      <c r="B786">
        <v>31</v>
      </c>
      <c r="C786">
        <f t="shared" si="156"/>
        <v>31</v>
      </c>
      <c r="D786" t="s">
        <v>12</v>
      </c>
      <c r="E786" t="str">
        <f t="shared" si="157"/>
        <v>Self-Employed</v>
      </c>
      <c r="F786">
        <v>7733.68</v>
      </c>
      <c r="G786">
        <f>ABS(Table1[[#This Row],[Monthly_Income]])</f>
        <v>7733.68</v>
      </c>
      <c r="H786">
        <v>6671.66</v>
      </c>
      <c r="I786" s="5">
        <f t="shared" si="158"/>
        <v>6671.66</v>
      </c>
      <c r="J786">
        <v>48</v>
      </c>
      <c r="K786">
        <v>18.53</v>
      </c>
      <c r="L786">
        <v>1</v>
      </c>
      <c r="M786">
        <f t="shared" si="159"/>
        <v>1</v>
      </c>
      <c r="N786">
        <v>4.7</v>
      </c>
      <c r="O786">
        <f t="shared" si="160"/>
        <v>4.7</v>
      </c>
      <c r="P786">
        <v>0</v>
      </c>
      <c r="Q786">
        <f t="shared" si="161"/>
        <v>0</v>
      </c>
      <c r="R786" t="s">
        <v>24</v>
      </c>
      <c r="S786" t="str">
        <f t="shared" si="162"/>
        <v>Non-Performing</v>
      </c>
      <c r="T786" t="s">
        <v>19</v>
      </c>
      <c r="U786" s="3">
        <f t="shared" si="163"/>
        <v>1.7972416322716567E-2</v>
      </c>
      <c r="V786" t="str">
        <f t="shared" si="164"/>
        <v>Healthy</v>
      </c>
      <c r="W786" t="str">
        <f t="shared" si="165"/>
        <v>Good</v>
      </c>
      <c r="X786" s="5" t="str">
        <f t="shared" si="166"/>
        <v>Small</v>
      </c>
      <c r="Y786" s="5" t="str">
        <f t="shared" si="167"/>
        <v>Medium</v>
      </c>
      <c r="Z786" s="5" t="str">
        <f>IF(B786=120,"NULL",IF(AND(V786="High Stress", W786="High Risk", Y786="Low"),"High Risk : Reject", IF(AND(V786="Healthy", W786="Good",Y786&lt;&gt;"Low"), "Low Risk : Approve", "Medium Risk : Review")))</f>
        <v>Low Risk : Approve</v>
      </c>
      <c r="AA786" s="5" t="str">
        <f t="shared" si="168"/>
        <v>Medium</v>
      </c>
    </row>
    <row r="787" spans="1:27" x14ac:dyDescent="0.2">
      <c r="A787">
        <v>22819</v>
      </c>
      <c r="B787">
        <v>31</v>
      </c>
      <c r="C787">
        <f t="shared" si="156"/>
        <v>31</v>
      </c>
      <c r="D787" t="s">
        <v>21</v>
      </c>
      <c r="E787" t="str">
        <f t="shared" si="157"/>
        <v>Salaried</v>
      </c>
      <c r="F787">
        <v>-1500</v>
      </c>
      <c r="G787">
        <f>ABS(Table1[[#This Row],[Monthly_Income]])</f>
        <v>1500</v>
      </c>
      <c r="H787">
        <v>25474.39</v>
      </c>
      <c r="I787" s="5">
        <f t="shared" si="158"/>
        <v>25474.39</v>
      </c>
      <c r="J787">
        <v>24</v>
      </c>
      <c r="K787">
        <v>22.76</v>
      </c>
      <c r="L787">
        <v>4</v>
      </c>
      <c r="M787">
        <f t="shared" si="159"/>
        <v>4</v>
      </c>
      <c r="N787">
        <v>7.5</v>
      </c>
      <c r="O787">
        <f t="shared" si="160"/>
        <v>7.5</v>
      </c>
      <c r="P787">
        <v>30</v>
      </c>
      <c r="Q787">
        <f t="shared" si="161"/>
        <v>30</v>
      </c>
      <c r="R787" t="s">
        <v>18</v>
      </c>
      <c r="S787" t="str">
        <f t="shared" si="162"/>
        <v>Non-Performing</v>
      </c>
      <c r="T787" t="s">
        <v>22</v>
      </c>
      <c r="U787" s="3">
        <f t="shared" si="163"/>
        <v>0.70762194444444437</v>
      </c>
      <c r="V787" t="str">
        <f t="shared" si="164"/>
        <v>High Stress</v>
      </c>
      <c r="W787" t="str">
        <f t="shared" si="165"/>
        <v>At Risk</v>
      </c>
      <c r="X787" s="5" t="str">
        <f t="shared" si="166"/>
        <v>Medium</v>
      </c>
      <c r="Y787" s="5" t="str">
        <f t="shared" si="167"/>
        <v>High</v>
      </c>
      <c r="Z787" s="5" t="str">
        <f>IF(B787=120,"NULL",IF(AND(V787="High Stress", W787="High Risk", Y787="Low"),"High Risk : Reject", IF(AND(V787="Healthy", W787="Good",Y787&lt;&gt;"Low"), "Low Risk : Approve", "Medium Risk : Review")))</f>
        <v>Medium Risk : Review</v>
      </c>
      <c r="AA787" s="5" t="str">
        <f t="shared" si="168"/>
        <v>Low</v>
      </c>
    </row>
    <row r="788" spans="1:27" x14ac:dyDescent="0.2">
      <c r="A788">
        <v>22258</v>
      </c>
      <c r="B788">
        <v>31</v>
      </c>
      <c r="C788">
        <f t="shared" si="156"/>
        <v>31</v>
      </c>
      <c r="D788" t="s">
        <v>27</v>
      </c>
      <c r="E788" t="str">
        <f t="shared" si="157"/>
        <v>Unemployed</v>
      </c>
      <c r="F788">
        <v>3572.39</v>
      </c>
      <c r="G788">
        <f>ABS(Table1[[#This Row],[Monthly_Income]])</f>
        <v>3572.39</v>
      </c>
      <c r="H788">
        <v>26691.71</v>
      </c>
      <c r="I788" s="5">
        <f t="shared" si="158"/>
        <v>26691.71</v>
      </c>
      <c r="J788">
        <v>24</v>
      </c>
      <c r="K788">
        <v>11.78</v>
      </c>
      <c r="L788">
        <v>3</v>
      </c>
      <c r="M788">
        <f t="shared" si="159"/>
        <v>3</v>
      </c>
      <c r="N788">
        <v>9.5</v>
      </c>
      <c r="O788">
        <f t="shared" si="160"/>
        <v>9.5</v>
      </c>
      <c r="Q788" t="str">
        <f t="shared" si="161"/>
        <v>NULL</v>
      </c>
      <c r="R788" t="s">
        <v>24</v>
      </c>
      <c r="S788" t="str">
        <f t="shared" si="162"/>
        <v>Non-Performing</v>
      </c>
      <c r="T788" t="s">
        <v>16</v>
      </c>
      <c r="U788" s="3">
        <f t="shared" si="163"/>
        <v>0.31131947613035904</v>
      </c>
      <c r="V788" t="str">
        <f t="shared" si="164"/>
        <v>Stretched</v>
      </c>
      <c r="W788" t="str">
        <f t="shared" si="165"/>
        <v>NULL</v>
      </c>
      <c r="X788" s="5" t="str">
        <f t="shared" si="166"/>
        <v>Medium</v>
      </c>
      <c r="Y788" s="5" t="str">
        <f t="shared" si="167"/>
        <v>Low</v>
      </c>
      <c r="Z788" s="5" t="str">
        <f>IF(B788=120,"NULL",IF(AND(V788="High Stress", W788="High Risk", Y788="Low"),"High Risk : Reject", IF(AND(V788="Healthy", W788="Good",Y788&lt;&gt;"Low"), "Low Risk : Approve", "Medium Risk : Review")))</f>
        <v>Medium Risk : Review</v>
      </c>
      <c r="AA788" s="5" t="str">
        <f t="shared" si="168"/>
        <v>Medium</v>
      </c>
    </row>
    <row r="789" spans="1:27" x14ac:dyDescent="0.2">
      <c r="A789">
        <v>24793</v>
      </c>
      <c r="B789">
        <v>18</v>
      </c>
      <c r="C789">
        <f t="shared" si="156"/>
        <v>18</v>
      </c>
      <c r="D789" t="s">
        <v>12</v>
      </c>
      <c r="E789" t="str">
        <f t="shared" si="157"/>
        <v>Self-Employed</v>
      </c>
      <c r="F789">
        <v>4653.26</v>
      </c>
      <c r="G789">
        <f>ABS(Table1[[#This Row],[Monthly_Income]])</f>
        <v>4653.26</v>
      </c>
      <c r="H789">
        <v>26737.03</v>
      </c>
      <c r="I789" s="5">
        <f t="shared" si="158"/>
        <v>26737.03</v>
      </c>
      <c r="J789">
        <v>24</v>
      </c>
      <c r="K789">
        <v>25.75</v>
      </c>
      <c r="L789">
        <v>3</v>
      </c>
      <c r="M789">
        <f t="shared" si="159"/>
        <v>3</v>
      </c>
      <c r="N789">
        <v>8.9</v>
      </c>
      <c r="O789">
        <f t="shared" si="160"/>
        <v>8.9</v>
      </c>
      <c r="P789">
        <v>60</v>
      </c>
      <c r="Q789">
        <f t="shared" si="161"/>
        <v>60</v>
      </c>
      <c r="R789" t="s">
        <v>18</v>
      </c>
      <c r="S789" t="str">
        <f t="shared" si="162"/>
        <v>Non-Performing</v>
      </c>
      <c r="T789" t="s">
        <v>16</v>
      </c>
      <c r="U789" s="3">
        <f t="shared" si="163"/>
        <v>0.239411276538742</v>
      </c>
      <c r="V789" t="str">
        <f t="shared" si="164"/>
        <v>Healthy</v>
      </c>
      <c r="W789" t="str">
        <f t="shared" si="165"/>
        <v>High Risk</v>
      </c>
      <c r="X789" s="5" t="str">
        <f t="shared" si="166"/>
        <v>Medium</v>
      </c>
      <c r="Y789" s="5" t="str">
        <f t="shared" si="167"/>
        <v>Medium</v>
      </c>
      <c r="Z789" s="5" t="str">
        <f>IF(B789=120,"NULL",IF(AND(V789="High Stress", W789="High Risk", Y789="Low"),"High Risk : Reject", IF(AND(V789="Healthy", W789="Good",Y789&lt;&gt;"Low"), "Low Risk : Approve", "Medium Risk : Review")))</f>
        <v>Medium Risk : Review</v>
      </c>
      <c r="AA789" s="5" t="str">
        <f t="shared" si="168"/>
        <v>Medium</v>
      </c>
    </row>
    <row r="790" spans="1:27" x14ac:dyDescent="0.2">
      <c r="A790">
        <v>24738</v>
      </c>
      <c r="B790">
        <v>60</v>
      </c>
      <c r="C790">
        <f t="shared" si="156"/>
        <v>60</v>
      </c>
      <c r="D790" t="s">
        <v>27</v>
      </c>
      <c r="E790" t="str">
        <f t="shared" si="157"/>
        <v>Unemployed</v>
      </c>
      <c r="F790">
        <v>1405.57</v>
      </c>
      <c r="G790">
        <f>ABS(Table1[[#This Row],[Monthly_Income]])</f>
        <v>1405.57</v>
      </c>
      <c r="H790">
        <v>21137.93</v>
      </c>
      <c r="I790" s="5">
        <f t="shared" si="158"/>
        <v>21137.93</v>
      </c>
      <c r="J790">
        <v>6</v>
      </c>
      <c r="K790">
        <v>22.54</v>
      </c>
      <c r="L790">
        <v>1</v>
      </c>
      <c r="M790">
        <f t="shared" si="159"/>
        <v>1</v>
      </c>
      <c r="N790">
        <v>8.8000000000000007</v>
      </c>
      <c r="O790">
        <f t="shared" si="160"/>
        <v>8.8000000000000007</v>
      </c>
      <c r="P790">
        <v>90</v>
      </c>
      <c r="Q790">
        <f t="shared" si="161"/>
        <v>90</v>
      </c>
      <c r="R790" t="s">
        <v>24</v>
      </c>
      <c r="S790" t="str">
        <f t="shared" si="162"/>
        <v>Non-Performing</v>
      </c>
      <c r="T790" t="s">
        <v>14</v>
      </c>
      <c r="U790" s="3">
        <f t="shared" si="163"/>
        <v>2.5064481550782483</v>
      </c>
      <c r="V790" t="str">
        <f t="shared" si="164"/>
        <v>High Stress</v>
      </c>
      <c r="W790" t="str">
        <f t="shared" si="165"/>
        <v>High Risk</v>
      </c>
      <c r="X790" s="5" t="str">
        <f t="shared" si="166"/>
        <v>Medium</v>
      </c>
      <c r="Y790" s="5" t="str">
        <f t="shared" si="167"/>
        <v>Low</v>
      </c>
      <c r="Z790" s="5" t="str">
        <f>IF(B790=120,"NULL",IF(AND(V790="High Stress", W790="High Risk", Y790="Low"),"High Risk : Reject", IF(AND(V790="Healthy", W790="Good",Y790&lt;&gt;"Low"), "Low Risk : Approve", "Medium Risk : Review")))</f>
        <v>High Risk : Reject</v>
      </c>
      <c r="AA790" s="5" t="str">
        <f t="shared" si="168"/>
        <v>Low</v>
      </c>
    </row>
    <row r="791" spans="1:27" x14ac:dyDescent="0.2">
      <c r="A791">
        <v>22543</v>
      </c>
      <c r="B791">
        <v>62</v>
      </c>
      <c r="C791">
        <f t="shared" si="156"/>
        <v>62</v>
      </c>
      <c r="D791" t="s">
        <v>21</v>
      </c>
      <c r="E791" t="str">
        <f t="shared" si="157"/>
        <v>Salaried</v>
      </c>
      <c r="F791">
        <v>5034.62</v>
      </c>
      <c r="G791">
        <f>ABS(Table1[[#This Row],[Monthly_Income]])</f>
        <v>5034.62</v>
      </c>
      <c r="H791">
        <v>20021.099999999999</v>
      </c>
      <c r="I791" s="5">
        <f t="shared" si="158"/>
        <v>20021.099999999999</v>
      </c>
      <c r="J791">
        <v>48</v>
      </c>
      <c r="K791">
        <v>20.43</v>
      </c>
      <c r="L791">
        <v>1</v>
      </c>
      <c r="M791">
        <f t="shared" si="159"/>
        <v>1</v>
      </c>
      <c r="N791">
        <v>4.7</v>
      </c>
      <c r="O791">
        <f t="shared" si="160"/>
        <v>4.7</v>
      </c>
      <c r="Q791" t="str">
        <f t="shared" si="161"/>
        <v>NULL</v>
      </c>
      <c r="R791" t="s">
        <v>24</v>
      </c>
      <c r="S791" t="str">
        <f t="shared" si="162"/>
        <v>Non-Performing</v>
      </c>
      <c r="T791" t="s">
        <v>22</v>
      </c>
      <c r="U791" s="3">
        <f t="shared" si="163"/>
        <v>8.2847613126710642E-2</v>
      </c>
      <c r="V791" t="str">
        <f t="shared" si="164"/>
        <v>Healthy</v>
      </c>
      <c r="W791" t="str">
        <f t="shared" si="165"/>
        <v>NULL</v>
      </c>
      <c r="X791" s="5" t="str">
        <f t="shared" si="166"/>
        <v>Medium</v>
      </c>
      <c r="Y791" s="5" t="str">
        <f t="shared" si="167"/>
        <v>High</v>
      </c>
      <c r="Z791" s="5" t="str">
        <f>IF(B791=120,"NULL",IF(AND(V791="High Stress", W791="High Risk", Y791="Low"),"High Risk : Reject", IF(AND(V791="Healthy", W791="Good",Y791&lt;&gt;"Low"), "Low Risk : Approve", "Medium Risk : Review")))</f>
        <v>Medium Risk : Review</v>
      </c>
      <c r="AA791" s="5" t="str">
        <f t="shared" si="168"/>
        <v>Medium</v>
      </c>
    </row>
    <row r="792" spans="1:27" x14ac:dyDescent="0.2">
      <c r="A792">
        <v>20243</v>
      </c>
      <c r="B792">
        <v>62</v>
      </c>
      <c r="C792">
        <f t="shared" si="156"/>
        <v>62</v>
      </c>
      <c r="D792" t="s">
        <v>23</v>
      </c>
      <c r="E792" t="str">
        <f t="shared" si="157"/>
        <v>Self-Employed</v>
      </c>
      <c r="F792">
        <v>5797.42</v>
      </c>
      <c r="G792">
        <f>ABS(Table1[[#This Row],[Monthly_Income]])</f>
        <v>5797.42</v>
      </c>
      <c r="H792">
        <v>24649.29</v>
      </c>
      <c r="I792" s="5">
        <f t="shared" si="158"/>
        <v>24649.29</v>
      </c>
      <c r="J792">
        <v>48</v>
      </c>
      <c r="K792">
        <v>7.56</v>
      </c>
      <c r="M792" t="str">
        <f t="shared" si="159"/>
        <v>NULL</v>
      </c>
      <c r="N792">
        <v>5.3</v>
      </c>
      <c r="O792">
        <f t="shared" si="160"/>
        <v>5.3</v>
      </c>
      <c r="P792">
        <v>30</v>
      </c>
      <c r="Q792">
        <f t="shared" si="161"/>
        <v>30</v>
      </c>
      <c r="R792" t="s">
        <v>15</v>
      </c>
      <c r="S792" t="str">
        <f t="shared" si="162"/>
        <v xml:space="preserve">Performing </v>
      </c>
      <c r="T792" t="s">
        <v>19</v>
      </c>
      <c r="U792" s="3">
        <f t="shared" si="163"/>
        <v>8.8578518547905785E-2</v>
      </c>
      <c r="V792" t="str">
        <f t="shared" si="164"/>
        <v>Healthy</v>
      </c>
      <c r="W792" t="str">
        <f t="shared" si="165"/>
        <v>At Risk</v>
      </c>
      <c r="X792" s="5" t="str">
        <f t="shared" si="166"/>
        <v>Medium</v>
      </c>
      <c r="Y792" s="5" t="str">
        <f t="shared" si="167"/>
        <v>Medium</v>
      </c>
      <c r="Z792" s="5" t="str">
        <f>IF(B792=120,"NULL",IF(AND(V792="High Stress", W792="High Risk", Y792="Low"),"High Risk : Reject", IF(AND(V792="Healthy", W792="Good",Y792&lt;&gt;"Low"), "Low Risk : Approve", "Medium Risk : Review")))</f>
        <v>Medium Risk : Review</v>
      </c>
      <c r="AA792" s="5" t="str">
        <f t="shared" si="168"/>
        <v>Medium</v>
      </c>
    </row>
    <row r="793" spans="1:27" x14ac:dyDescent="0.2">
      <c r="A793">
        <v>23103</v>
      </c>
      <c r="B793">
        <v>24</v>
      </c>
      <c r="C793">
        <f t="shared" si="156"/>
        <v>24</v>
      </c>
      <c r="D793" t="s">
        <v>21</v>
      </c>
      <c r="E793" t="str">
        <f t="shared" si="157"/>
        <v>Salaried</v>
      </c>
      <c r="F793">
        <v>4688.07</v>
      </c>
      <c r="G793">
        <f>ABS(Table1[[#This Row],[Monthly_Income]])</f>
        <v>4688.07</v>
      </c>
      <c r="H793">
        <v>283.97000000000003</v>
      </c>
      <c r="I793" s="5">
        <f t="shared" si="158"/>
        <v>283.97000000000003</v>
      </c>
      <c r="J793">
        <v>60</v>
      </c>
      <c r="K793">
        <v>27.57</v>
      </c>
      <c r="L793">
        <v>1</v>
      </c>
      <c r="M793">
        <f t="shared" si="159"/>
        <v>1</v>
      </c>
      <c r="N793">
        <v>7.3</v>
      </c>
      <c r="O793">
        <f t="shared" si="160"/>
        <v>7.3</v>
      </c>
      <c r="P793">
        <v>60</v>
      </c>
      <c r="Q793">
        <f t="shared" si="161"/>
        <v>60</v>
      </c>
      <c r="R793" t="s">
        <v>18</v>
      </c>
      <c r="S793" t="str">
        <f t="shared" si="162"/>
        <v>Non-Performing</v>
      </c>
      <c r="T793" t="s">
        <v>16</v>
      </c>
      <c r="U793" s="3">
        <f t="shared" si="163"/>
        <v>1.0095483500317476E-3</v>
      </c>
      <c r="V793" t="str">
        <f t="shared" si="164"/>
        <v>Healthy</v>
      </c>
      <c r="W793" t="str">
        <f t="shared" si="165"/>
        <v>High Risk</v>
      </c>
      <c r="X793" s="5" t="str">
        <f t="shared" si="166"/>
        <v>Small</v>
      </c>
      <c r="Y793" s="5" t="str">
        <f t="shared" si="167"/>
        <v>High</v>
      </c>
      <c r="Z793" s="5" t="str">
        <f>IF(B793=120,"NULL",IF(AND(V793="High Stress", W793="High Risk", Y793="Low"),"High Risk : Reject", IF(AND(V793="Healthy", W793="Good",Y793&lt;&gt;"Low"), "Low Risk : Approve", "Medium Risk : Review")))</f>
        <v>Medium Risk : Review</v>
      </c>
      <c r="AA793" s="5" t="str">
        <f t="shared" si="168"/>
        <v>Medium</v>
      </c>
    </row>
    <row r="794" spans="1:27" x14ac:dyDescent="0.2">
      <c r="A794">
        <v>20330</v>
      </c>
      <c r="B794">
        <v>64</v>
      </c>
      <c r="C794">
        <f t="shared" si="156"/>
        <v>64</v>
      </c>
      <c r="D794" t="s">
        <v>21</v>
      </c>
      <c r="E794" t="str">
        <f t="shared" si="157"/>
        <v>Salaried</v>
      </c>
      <c r="F794">
        <v>7704.39</v>
      </c>
      <c r="G794">
        <f>ABS(Table1[[#This Row],[Monthly_Income]])</f>
        <v>7704.39</v>
      </c>
      <c r="H794">
        <v>21967.87</v>
      </c>
      <c r="I794" s="5">
        <f t="shared" si="158"/>
        <v>21967.87</v>
      </c>
      <c r="J794">
        <v>48</v>
      </c>
      <c r="K794">
        <v>14.09</v>
      </c>
      <c r="L794">
        <v>1</v>
      </c>
      <c r="M794">
        <f t="shared" si="159"/>
        <v>1</v>
      </c>
      <c r="N794">
        <v>-3.5</v>
      </c>
      <c r="O794">
        <f t="shared" si="160"/>
        <v>3.5</v>
      </c>
      <c r="P794">
        <v>120</v>
      </c>
      <c r="Q794">
        <f t="shared" si="161"/>
        <v>120</v>
      </c>
      <c r="R794" t="s">
        <v>13</v>
      </c>
      <c r="S794" t="str">
        <f t="shared" si="162"/>
        <v>Performing</v>
      </c>
      <c r="T794" t="s">
        <v>22</v>
      </c>
      <c r="U794" s="3">
        <f t="shared" si="163"/>
        <v>5.9403010275094238E-2</v>
      </c>
      <c r="V794" t="str">
        <f t="shared" si="164"/>
        <v>Healthy</v>
      </c>
      <c r="W794" t="str">
        <f t="shared" si="165"/>
        <v>High Risk</v>
      </c>
      <c r="X794" s="5" t="str">
        <f t="shared" si="166"/>
        <v>Medium</v>
      </c>
      <c r="Y794" s="5" t="str">
        <f t="shared" si="167"/>
        <v>High</v>
      </c>
      <c r="Z794" s="5" t="str">
        <f>IF(B794=120,"NULL",IF(AND(V794="High Stress", W794="High Risk", Y794="Low"),"High Risk : Reject", IF(AND(V794="Healthy", W794="Good",Y794&lt;&gt;"Low"), "Low Risk : Approve", "Medium Risk : Review")))</f>
        <v>Medium Risk : Review</v>
      </c>
      <c r="AA794" s="5" t="str">
        <f t="shared" si="168"/>
        <v>Medium</v>
      </c>
    </row>
    <row r="795" spans="1:27" x14ac:dyDescent="0.2">
      <c r="A795">
        <v>21240</v>
      </c>
      <c r="B795">
        <v>30</v>
      </c>
      <c r="C795">
        <f t="shared" si="156"/>
        <v>30</v>
      </c>
      <c r="D795" t="s">
        <v>17</v>
      </c>
      <c r="E795" t="str">
        <f t="shared" si="157"/>
        <v>Contract</v>
      </c>
      <c r="F795">
        <v>5449.63</v>
      </c>
      <c r="G795">
        <f>ABS(Table1[[#This Row],[Monthly_Income]])</f>
        <v>5449.63</v>
      </c>
      <c r="H795">
        <v>13439.48</v>
      </c>
      <c r="I795" s="5">
        <f t="shared" si="158"/>
        <v>13439.48</v>
      </c>
      <c r="J795">
        <v>6</v>
      </c>
      <c r="K795">
        <v>23.91</v>
      </c>
      <c r="M795" t="str">
        <f t="shared" si="159"/>
        <v>NULL</v>
      </c>
      <c r="N795">
        <v>8.1</v>
      </c>
      <c r="O795">
        <f t="shared" si="160"/>
        <v>8.1</v>
      </c>
      <c r="Q795" t="str">
        <f t="shared" si="161"/>
        <v>NULL</v>
      </c>
      <c r="R795" t="s">
        <v>15</v>
      </c>
      <c r="S795" t="str">
        <f t="shared" si="162"/>
        <v xml:space="preserve">Performing </v>
      </c>
      <c r="T795" t="s">
        <v>14</v>
      </c>
      <c r="U795" s="3">
        <f t="shared" si="163"/>
        <v>0.41102117636120861</v>
      </c>
      <c r="V795" t="str">
        <f t="shared" si="164"/>
        <v>Stretched</v>
      </c>
      <c r="W795" t="str">
        <f t="shared" si="165"/>
        <v>NULL</v>
      </c>
      <c r="X795" s="5" t="str">
        <f t="shared" si="166"/>
        <v>Medium</v>
      </c>
      <c r="Y795" s="5" t="str">
        <f t="shared" si="167"/>
        <v>Low</v>
      </c>
      <c r="Z795" s="5" t="str">
        <f>IF(B795=120,"NULL",IF(AND(V795="High Stress", W795="High Risk", Y795="Low"),"High Risk : Reject", IF(AND(V795="Healthy", W795="Good",Y795&lt;&gt;"Low"), "Low Risk : Approve", "Medium Risk : Review")))</f>
        <v>Medium Risk : Review</v>
      </c>
      <c r="AA795" s="5" t="str">
        <f t="shared" si="168"/>
        <v>Medium</v>
      </c>
    </row>
    <row r="796" spans="1:27" x14ac:dyDescent="0.2">
      <c r="A796">
        <v>22801</v>
      </c>
      <c r="B796">
        <v>45</v>
      </c>
      <c r="C796">
        <f t="shared" si="156"/>
        <v>45</v>
      </c>
      <c r="D796" t="s">
        <v>12</v>
      </c>
      <c r="E796" t="str">
        <f t="shared" si="157"/>
        <v>Self-Employed</v>
      </c>
      <c r="F796">
        <v>4154.72</v>
      </c>
      <c r="G796">
        <f>ABS(Table1[[#This Row],[Monthly_Income]])</f>
        <v>4154.72</v>
      </c>
      <c r="H796">
        <v>28345.33</v>
      </c>
      <c r="I796" s="5">
        <f t="shared" si="158"/>
        <v>28345.33</v>
      </c>
      <c r="J796">
        <v>18</v>
      </c>
      <c r="K796">
        <v>27.19</v>
      </c>
      <c r="L796">
        <v>1</v>
      </c>
      <c r="M796">
        <f t="shared" si="159"/>
        <v>1</v>
      </c>
      <c r="N796">
        <v>14.3</v>
      </c>
      <c r="O796">
        <f t="shared" si="160"/>
        <v>14.3</v>
      </c>
      <c r="P796">
        <v>0</v>
      </c>
      <c r="Q796">
        <f t="shared" si="161"/>
        <v>0</v>
      </c>
      <c r="R796" t="s">
        <v>15</v>
      </c>
      <c r="S796" t="str">
        <f t="shared" si="162"/>
        <v xml:space="preserve">Performing </v>
      </c>
      <c r="T796" t="s">
        <v>16</v>
      </c>
      <c r="U796" s="3">
        <f t="shared" si="163"/>
        <v>0.37902447230031278</v>
      </c>
      <c r="V796" t="str">
        <f t="shared" si="164"/>
        <v>Stretched</v>
      </c>
      <c r="W796" t="str">
        <f t="shared" si="165"/>
        <v>Good</v>
      </c>
      <c r="X796" s="5" t="str">
        <f t="shared" si="166"/>
        <v>Medium</v>
      </c>
      <c r="Y796" s="5" t="str">
        <f t="shared" si="167"/>
        <v>Medium</v>
      </c>
      <c r="Z796" s="5" t="str">
        <f>IF(B796=120,"NULL",IF(AND(V796="High Stress", W796="High Risk", Y796="Low"),"High Risk : Reject", IF(AND(V796="Healthy", W796="Good",Y796&lt;&gt;"Low"), "Low Risk : Approve", "Medium Risk : Review")))</f>
        <v>Medium Risk : Review</v>
      </c>
      <c r="AA796" s="5" t="str">
        <f t="shared" si="168"/>
        <v>Medium</v>
      </c>
    </row>
    <row r="797" spans="1:27" x14ac:dyDescent="0.2">
      <c r="A797">
        <v>22885</v>
      </c>
      <c r="B797">
        <v>58</v>
      </c>
      <c r="C797">
        <f t="shared" si="156"/>
        <v>58</v>
      </c>
      <c r="D797" t="s">
        <v>27</v>
      </c>
      <c r="E797" t="str">
        <f t="shared" si="157"/>
        <v>Unemployed</v>
      </c>
      <c r="F797">
        <v>7711.12</v>
      </c>
      <c r="G797">
        <f>ABS(Table1[[#This Row],[Monthly_Income]])</f>
        <v>7711.12</v>
      </c>
      <c r="H797">
        <v>40216.01</v>
      </c>
      <c r="I797" s="5">
        <f t="shared" si="158"/>
        <v>40216.01</v>
      </c>
      <c r="J797">
        <v>48</v>
      </c>
      <c r="K797">
        <v>28.36</v>
      </c>
      <c r="L797">
        <v>4</v>
      </c>
      <c r="M797">
        <f t="shared" si="159"/>
        <v>4</v>
      </c>
      <c r="N797">
        <v>4.8</v>
      </c>
      <c r="O797">
        <f t="shared" si="160"/>
        <v>4.8</v>
      </c>
      <c r="P797">
        <v>30</v>
      </c>
      <c r="Q797">
        <f t="shared" si="161"/>
        <v>30</v>
      </c>
      <c r="R797" t="s">
        <v>24</v>
      </c>
      <c r="S797" t="str">
        <f t="shared" si="162"/>
        <v>Non-Performing</v>
      </c>
      <c r="T797" t="s">
        <v>25</v>
      </c>
      <c r="U797" s="3">
        <f t="shared" si="163"/>
        <v>0.108652639521453</v>
      </c>
      <c r="V797" t="str">
        <f t="shared" si="164"/>
        <v>Healthy</v>
      </c>
      <c r="W797" t="str">
        <f t="shared" si="165"/>
        <v>At Risk</v>
      </c>
      <c r="X797" s="5" t="str">
        <f t="shared" si="166"/>
        <v>High</v>
      </c>
      <c r="Y797" s="5" t="str">
        <f t="shared" si="167"/>
        <v>Low</v>
      </c>
      <c r="Z797" s="5" t="str">
        <f>IF(B797=120,"NULL",IF(AND(V797="High Stress", W797="High Risk", Y797="Low"),"High Risk : Reject", IF(AND(V797="Healthy", W797="Good",Y797&lt;&gt;"Low"), "Low Risk : Approve", "Medium Risk : Review")))</f>
        <v>Medium Risk : Review</v>
      </c>
      <c r="AA797" s="5" t="str">
        <f t="shared" si="168"/>
        <v>Medium</v>
      </c>
    </row>
    <row r="798" spans="1:27" x14ac:dyDescent="0.2">
      <c r="A798">
        <v>22350</v>
      </c>
      <c r="B798">
        <v>35</v>
      </c>
      <c r="C798">
        <f t="shared" si="156"/>
        <v>35</v>
      </c>
      <c r="D798" t="s">
        <v>12</v>
      </c>
      <c r="E798" t="str">
        <f t="shared" si="157"/>
        <v>Self-Employed</v>
      </c>
      <c r="F798">
        <v>9114.7800000000007</v>
      </c>
      <c r="G798">
        <f>ABS(Table1[[#This Row],[Monthly_Income]])</f>
        <v>9114.7800000000007</v>
      </c>
      <c r="H798">
        <v>13850.52</v>
      </c>
      <c r="I798" s="5">
        <f t="shared" si="158"/>
        <v>13850.52</v>
      </c>
      <c r="J798">
        <v>48</v>
      </c>
      <c r="K798">
        <v>17.350000000000001</v>
      </c>
      <c r="M798" t="str">
        <f t="shared" si="159"/>
        <v>NULL</v>
      </c>
      <c r="N798">
        <v>8.5</v>
      </c>
      <c r="O798">
        <f t="shared" si="160"/>
        <v>8.5</v>
      </c>
      <c r="P798">
        <v>60</v>
      </c>
      <c r="Q798">
        <f t="shared" si="161"/>
        <v>60</v>
      </c>
      <c r="R798" t="s">
        <v>24</v>
      </c>
      <c r="S798" t="str">
        <f t="shared" si="162"/>
        <v>Non-Performing</v>
      </c>
      <c r="T798" t="s">
        <v>22</v>
      </c>
      <c r="U798" s="3">
        <f t="shared" si="163"/>
        <v>3.1657648346970518E-2</v>
      </c>
      <c r="V798" t="str">
        <f t="shared" si="164"/>
        <v>Healthy</v>
      </c>
      <c r="W798" t="str">
        <f t="shared" si="165"/>
        <v>High Risk</v>
      </c>
      <c r="X798" s="5" t="str">
        <f t="shared" si="166"/>
        <v>Medium</v>
      </c>
      <c r="Y798" s="5" t="str">
        <f t="shared" si="167"/>
        <v>Medium</v>
      </c>
      <c r="Z798" s="5" t="str">
        <f>IF(B798=120,"NULL",IF(AND(V798="High Stress", W798="High Risk", Y798="Low"),"High Risk : Reject", IF(AND(V798="Healthy", W798="Good",Y798&lt;&gt;"Low"), "Low Risk : Approve", "Medium Risk : Review")))</f>
        <v>Medium Risk : Review</v>
      </c>
      <c r="AA798" s="5" t="str">
        <f t="shared" si="168"/>
        <v>High</v>
      </c>
    </row>
    <row r="799" spans="1:27" x14ac:dyDescent="0.2">
      <c r="A799">
        <v>23885</v>
      </c>
      <c r="B799">
        <v>55</v>
      </c>
      <c r="C799">
        <f t="shared" si="156"/>
        <v>55</v>
      </c>
      <c r="D799" t="s">
        <v>27</v>
      </c>
      <c r="E799" t="str">
        <f t="shared" si="157"/>
        <v>Unemployed</v>
      </c>
      <c r="F799">
        <v>4468.1499999999996</v>
      </c>
      <c r="G799">
        <f>ABS(Table1[[#This Row],[Monthly_Income]])</f>
        <v>4468.1499999999996</v>
      </c>
      <c r="H799">
        <v>22611.35</v>
      </c>
      <c r="I799" s="5">
        <f t="shared" si="158"/>
        <v>22611.35</v>
      </c>
      <c r="J799">
        <v>12</v>
      </c>
      <c r="K799">
        <v>18.04</v>
      </c>
      <c r="M799" t="str">
        <f t="shared" si="159"/>
        <v>NULL</v>
      </c>
      <c r="N799">
        <v>-0.3</v>
      </c>
      <c r="O799">
        <f t="shared" si="160"/>
        <v>0.3</v>
      </c>
      <c r="Q799" t="str">
        <f t="shared" si="161"/>
        <v>NULL</v>
      </c>
      <c r="R799" t="s">
        <v>15</v>
      </c>
      <c r="S799" t="str">
        <f t="shared" si="162"/>
        <v xml:space="preserve">Performing </v>
      </c>
      <c r="T799" t="s">
        <v>22</v>
      </c>
      <c r="U799" s="3">
        <f t="shared" si="163"/>
        <v>0.42171349812935255</v>
      </c>
      <c r="V799" t="str">
        <f t="shared" si="164"/>
        <v>Stretched</v>
      </c>
      <c r="W799" t="str">
        <f t="shared" si="165"/>
        <v>NULL</v>
      </c>
      <c r="X799" s="5" t="str">
        <f t="shared" si="166"/>
        <v>Medium</v>
      </c>
      <c r="Y799" s="5" t="str">
        <f t="shared" si="167"/>
        <v>Low</v>
      </c>
      <c r="Z799" s="5" t="str">
        <f>IF(B799=120,"NULL",IF(AND(V799="High Stress", W799="High Risk", Y799="Low"),"High Risk : Reject", IF(AND(V799="Healthy", W799="Good",Y799&lt;&gt;"Low"), "Low Risk : Approve", "Medium Risk : Review")))</f>
        <v>Medium Risk : Review</v>
      </c>
      <c r="AA799" s="5" t="str">
        <f t="shared" si="168"/>
        <v>Medium</v>
      </c>
    </row>
    <row r="800" spans="1:27" x14ac:dyDescent="0.2">
      <c r="A800">
        <v>21951</v>
      </c>
      <c r="B800">
        <v>52</v>
      </c>
      <c r="C800">
        <f t="shared" si="156"/>
        <v>52</v>
      </c>
      <c r="D800" t="s">
        <v>17</v>
      </c>
      <c r="E800" t="str">
        <f t="shared" si="157"/>
        <v>Contract</v>
      </c>
      <c r="F800">
        <v>4445.8500000000004</v>
      </c>
      <c r="G800">
        <f>ABS(Table1[[#This Row],[Monthly_Income]])</f>
        <v>4445.8500000000004</v>
      </c>
      <c r="H800">
        <v>8700.93</v>
      </c>
      <c r="I800" s="5">
        <f t="shared" si="158"/>
        <v>8700.93</v>
      </c>
      <c r="J800">
        <v>18</v>
      </c>
      <c r="K800">
        <v>20.41</v>
      </c>
      <c r="L800">
        <v>3</v>
      </c>
      <c r="M800">
        <f t="shared" si="159"/>
        <v>3</v>
      </c>
      <c r="N800">
        <v>9.1999999999999993</v>
      </c>
      <c r="O800">
        <f t="shared" si="160"/>
        <v>9.1999999999999993</v>
      </c>
      <c r="P800">
        <v>0</v>
      </c>
      <c r="Q800">
        <f t="shared" si="161"/>
        <v>0</v>
      </c>
      <c r="R800" t="s">
        <v>13</v>
      </c>
      <c r="S800" t="str">
        <f t="shared" si="162"/>
        <v>Performing</v>
      </c>
      <c r="T800" t="s">
        <v>14</v>
      </c>
      <c r="U800" s="3">
        <f t="shared" si="163"/>
        <v>0.10872724001034673</v>
      </c>
      <c r="V800" t="str">
        <f t="shared" si="164"/>
        <v>Healthy</v>
      </c>
      <c r="W800" t="str">
        <f t="shared" si="165"/>
        <v>Good</v>
      </c>
      <c r="X800" s="5" t="str">
        <f t="shared" si="166"/>
        <v>Small</v>
      </c>
      <c r="Y800" s="5" t="str">
        <f t="shared" si="167"/>
        <v>Low</v>
      </c>
      <c r="Z800" s="5" t="str">
        <f>IF(B800=120,"NULL",IF(AND(V800="High Stress", W800="High Risk", Y800="Low"),"High Risk : Reject", IF(AND(V800="Healthy", W800="Good",Y800&lt;&gt;"Low"), "Low Risk : Approve", "Medium Risk : Review")))</f>
        <v>Medium Risk : Review</v>
      </c>
      <c r="AA800" s="5" t="str">
        <f t="shared" si="168"/>
        <v>Medium</v>
      </c>
    </row>
    <row r="801" spans="1:27" x14ac:dyDescent="0.2">
      <c r="A801">
        <v>24177</v>
      </c>
      <c r="B801">
        <v>31</v>
      </c>
      <c r="C801">
        <f t="shared" si="156"/>
        <v>31</v>
      </c>
      <c r="D801" t="s">
        <v>26</v>
      </c>
      <c r="E801" t="str">
        <f t="shared" si="157"/>
        <v>Salaried</v>
      </c>
      <c r="F801">
        <v>2873.79</v>
      </c>
      <c r="G801">
        <f>ABS(Table1[[#This Row],[Monthly_Income]])</f>
        <v>2873.79</v>
      </c>
      <c r="H801">
        <v>37892.019999999997</v>
      </c>
      <c r="I801" s="5">
        <f t="shared" si="158"/>
        <v>37892.019999999997</v>
      </c>
      <c r="J801">
        <v>60</v>
      </c>
      <c r="K801">
        <v>14.02</v>
      </c>
      <c r="M801" t="str">
        <f t="shared" si="159"/>
        <v>NULL</v>
      </c>
      <c r="N801">
        <v>0.2</v>
      </c>
      <c r="O801">
        <f t="shared" si="160"/>
        <v>0.2</v>
      </c>
      <c r="P801">
        <v>15</v>
      </c>
      <c r="Q801">
        <f t="shared" si="161"/>
        <v>15</v>
      </c>
      <c r="R801" t="s">
        <v>24</v>
      </c>
      <c r="S801" t="str">
        <f t="shared" si="162"/>
        <v>Non-Performing</v>
      </c>
      <c r="T801" t="s">
        <v>14</v>
      </c>
      <c r="U801" s="3">
        <f t="shared" si="163"/>
        <v>0.21975637282705648</v>
      </c>
      <c r="V801" t="str">
        <f t="shared" si="164"/>
        <v>Healthy</v>
      </c>
      <c r="W801" t="str">
        <f t="shared" si="165"/>
        <v>Good</v>
      </c>
      <c r="X801" s="5" t="str">
        <f t="shared" si="166"/>
        <v>High</v>
      </c>
      <c r="Y801" s="5" t="str">
        <f t="shared" si="167"/>
        <v>High</v>
      </c>
      <c r="Z801" s="5" t="str">
        <f>IF(B801=120,"NULL",IF(AND(V801="High Stress", W801="High Risk", Y801="Low"),"High Risk : Reject", IF(AND(V801="Healthy", W801="Good",Y801&lt;&gt;"Low"), "Low Risk : Approve", "Medium Risk : Review")))</f>
        <v>Low Risk : Approve</v>
      </c>
      <c r="AA801" s="5" t="str">
        <f t="shared" si="168"/>
        <v>Medium</v>
      </c>
    </row>
    <row r="802" spans="1:27" x14ac:dyDescent="0.2">
      <c r="A802">
        <v>21094</v>
      </c>
      <c r="B802">
        <v>55</v>
      </c>
      <c r="C802">
        <f t="shared" si="156"/>
        <v>55</v>
      </c>
      <c r="D802" t="s">
        <v>23</v>
      </c>
      <c r="E802" t="str">
        <f t="shared" si="157"/>
        <v>Self-Employed</v>
      </c>
      <c r="F802">
        <v>1766.85</v>
      </c>
      <c r="G802">
        <f>ABS(Table1[[#This Row],[Monthly_Income]])</f>
        <v>1766.85</v>
      </c>
      <c r="H802">
        <v>24088.14</v>
      </c>
      <c r="I802" s="5">
        <f t="shared" si="158"/>
        <v>24088.14</v>
      </c>
      <c r="J802">
        <v>60</v>
      </c>
      <c r="K802">
        <v>12.81</v>
      </c>
      <c r="L802">
        <v>0</v>
      </c>
      <c r="M802">
        <f t="shared" si="159"/>
        <v>0</v>
      </c>
      <c r="N802">
        <v>5.4</v>
      </c>
      <c r="O802">
        <f t="shared" si="160"/>
        <v>5.4</v>
      </c>
      <c r="P802">
        <v>120</v>
      </c>
      <c r="Q802">
        <f t="shared" si="161"/>
        <v>120</v>
      </c>
      <c r="R802" t="s">
        <v>13</v>
      </c>
      <c r="S802" t="str">
        <f t="shared" si="162"/>
        <v>Performing</v>
      </c>
      <c r="T802" t="s">
        <v>14</v>
      </c>
      <c r="U802" s="3">
        <f t="shared" si="163"/>
        <v>0.22722302402580863</v>
      </c>
      <c r="V802" t="str">
        <f t="shared" si="164"/>
        <v>Healthy</v>
      </c>
      <c r="W802" t="str">
        <f t="shared" si="165"/>
        <v>High Risk</v>
      </c>
      <c r="X802" s="5" t="str">
        <f t="shared" si="166"/>
        <v>Medium</v>
      </c>
      <c r="Y802" s="5" t="str">
        <f t="shared" si="167"/>
        <v>Medium</v>
      </c>
      <c r="Z802" s="5" t="str">
        <f>IF(B802=120,"NULL",IF(AND(V802="High Stress", W802="High Risk", Y802="Low"),"High Risk : Reject", IF(AND(V802="Healthy", W802="Good",Y802&lt;&gt;"Low"), "Low Risk : Approve", "Medium Risk : Review")))</f>
        <v>Medium Risk : Review</v>
      </c>
      <c r="AA802" s="5" t="str">
        <f t="shared" si="168"/>
        <v>Low</v>
      </c>
    </row>
    <row r="803" spans="1:27" x14ac:dyDescent="0.2">
      <c r="A803">
        <v>21717</v>
      </c>
      <c r="B803">
        <v>120</v>
      </c>
      <c r="C803" t="str">
        <f t="shared" si="156"/>
        <v>NULL</v>
      </c>
      <c r="D803" t="s">
        <v>23</v>
      </c>
      <c r="E803" t="str">
        <f t="shared" si="157"/>
        <v>Self-Employed</v>
      </c>
      <c r="F803">
        <v>5832.05</v>
      </c>
      <c r="G803">
        <f>ABS(Table1[[#This Row],[Monthly_Income]])</f>
        <v>5832.05</v>
      </c>
      <c r="H803">
        <v>27376.95</v>
      </c>
      <c r="I803" s="5">
        <f t="shared" si="158"/>
        <v>27376.95</v>
      </c>
      <c r="J803">
        <v>60</v>
      </c>
      <c r="K803">
        <v>30.89</v>
      </c>
      <c r="L803">
        <v>3</v>
      </c>
      <c r="M803">
        <f t="shared" si="159"/>
        <v>3</v>
      </c>
      <c r="N803">
        <v>10.9</v>
      </c>
      <c r="O803">
        <f t="shared" si="160"/>
        <v>10.9</v>
      </c>
      <c r="P803">
        <v>0</v>
      </c>
      <c r="Q803">
        <f t="shared" si="161"/>
        <v>0</v>
      </c>
      <c r="R803" t="s">
        <v>15</v>
      </c>
      <c r="S803" t="str">
        <f t="shared" si="162"/>
        <v xml:space="preserve">Performing </v>
      </c>
      <c r="T803" t="s">
        <v>19</v>
      </c>
      <c r="U803" s="3">
        <f t="shared" si="163"/>
        <v>7.8237069298102729E-2</v>
      </c>
      <c r="V803" t="str">
        <f t="shared" si="164"/>
        <v>Healthy</v>
      </c>
      <c r="W803" t="str">
        <f t="shared" si="165"/>
        <v>Good</v>
      </c>
      <c r="X803" s="5" t="str">
        <f t="shared" si="166"/>
        <v>Medium</v>
      </c>
      <c r="Y803" s="5" t="str">
        <f t="shared" si="167"/>
        <v>Medium</v>
      </c>
      <c r="Z803" s="5" t="str">
        <f>IF(B803=120,"NULL",IF(AND(V803="High Stress", W803="High Risk", Y803="Low"),"High Risk : Reject", IF(AND(V803="Healthy", W803="Good",Y803&lt;&gt;"Low"), "Low Risk : Approve", "Medium Risk : Review")))</f>
        <v>NULL</v>
      </c>
      <c r="AA803" s="5" t="str">
        <f t="shared" si="168"/>
        <v>Medium</v>
      </c>
    </row>
    <row r="804" spans="1:27" x14ac:dyDescent="0.2">
      <c r="A804">
        <v>24776</v>
      </c>
      <c r="B804">
        <v>37</v>
      </c>
      <c r="C804">
        <f t="shared" si="156"/>
        <v>37</v>
      </c>
      <c r="D804" t="s">
        <v>21</v>
      </c>
      <c r="E804" t="str">
        <f t="shared" si="157"/>
        <v>Salaried</v>
      </c>
      <c r="F804">
        <v>4181.24</v>
      </c>
      <c r="G804">
        <f>ABS(Table1[[#This Row],[Monthly_Income]])</f>
        <v>4181.24</v>
      </c>
      <c r="H804">
        <v>11278.64</v>
      </c>
      <c r="I804" s="5">
        <f t="shared" si="158"/>
        <v>11278.64</v>
      </c>
      <c r="J804">
        <v>48</v>
      </c>
      <c r="K804">
        <v>21.08</v>
      </c>
      <c r="L804">
        <v>3</v>
      </c>
      <c r="M804">
        <f t="shared" si="159"/>
        <v>3</v>
      </c>
      <c r="N804">
        <v>10.7</v>
      </c>
      <c r="O804">
        <f t="shared" si="160"/>
        <v>10.7</v>
      </c>
      <c r="P804">
        <v>120</v>
      </c>
      <c r="Q804">
        <f t="shared" si="161"/>
        <v>120</v>
      </c>
      <c r="R804" t="s">
        <v>15</v>
      </c>
      <c r="S804" t="str">
        <f t="shared" si="162"/>
        <v xml:space="preserve">Performing </v>
      </c>
      <c r="T804" t="s">
        <v>25</v>
      </c>
      <c r="U804" s="3">
        <f t="shared" si="163"/>
        <v>5.619664660882099E-2</v>
      </c>
      <c r="V804" t="str">
        <f t="shared" si="164"/>
        <v>Healthy</v>
      </c>
      <c r="W804" t="str">
        <f t="shared" si="165"/>
        <v>High Risk</v>
      </c>
      <c r="X804" s="5" t="str">
        <f t="shared" si="166"/>
        <v>Medium</v>
      </c>
      <c r="Y804" s="5" t="str">
        <f t="shared" si="167"/>
        <v>High</v>
      </c>
      <c r="Z804" s="5" t="str">
        <f>IF(B804=120,"NULL",IF(AND(V804="High Stress", W804="High Risk", Y804="Low"),"High Risk : Reject", IF(AND(V804="Healthy", W804="Good",Y804&lt;&gt;"Low"), "Low Risk : Approve", "Medium Risk : Review")))</f>
        <v>Medium Risk : Review</v>
      </c>
      <c r="AA804" s="5" t="str">
        <f t="shared" si="168"/>
        <v>Medium</v>
      </c>
    </row>
    <row r="805" spans="1:27" x14ac:dyDescent="0.2">
      <c r="A805">
        <v>21774</v>
      </c>
      <c r="B805">
        <v>28</v>
      </c>
      <c r="C805">
        <f t="shared" si="156"/>
        <v>28</v>
      </c>
      <c r="D805" t="s">
        <v>23</v>
      </c>
      <c r="E805" t="str">
        <f t="shared" si="157"/>
        <v>Self-Employed</v>
      </c>
      <c r="F805">
        <v>6258.79</v>
      </c>
      <c r="G805">
        <f>ABS(Table1[[#This Row],[Monthly_Income]])</f>
        <v>6258.79</v>
      </c>
      <c r="H805">
        <v>4667.78</v>
      </c>
      <c r="I805" s="5">
        <f t="shared" si="158"/>
        <v>4667.78</v>
      </c>
      <c r="J805">
        <v>18</v>
      </c>
      <c r="K805">
        <v>20.09</v>
      </c>
      <c r="L805">
        <v>2</v>
      </c>
      <c r="M805">
        <f t="shared" si="159"/>
        <v>2</v>
      </c>
      <c r="N805">
        <v>-0.6</v>
      </c>
      <c r="O805">
        <f t="shared" si="160"/>
        <v>0.6</v>
      </c>
      <c r="P805">
        <v>0</v>
      </c>
      <c r="Q805">
        <f t="shared" si="161"/>
        <v>0</v>
      </c>
      <c r="R805" t="s">
        <v>18</v>
      </c>
      <c r="S805" t="str">
        <f t="shared" si="162"/>
        <v>Non-Performing</v>
      </c>
      <c r="T805" t="s">
        <v>25</v>
      </c>
      <c r="U805" s="3">
        <f t="shared" si="163"/>
        <v>4.1433106257137739E-2</v>
      </c>
      <c r="V805" t="str">
        <f t="shared" si="164"/>
        <v>Healthy</v>
      </c>
      <c r="W805" t="str">
        <f t="shared" si="165"/>
        <v>Good</v>
      </c>
      <c r="X805" s="5" t="str">
        <f t="shared" si="166"/>
        <v>Small</v>
      </c>
      <c r="Y805" s="5" t="str">
        <f t="shared" si="167"/>
        <v>Medium</v>
      </c>
      <c r="Z805" s="5" t="str">
        <f>IF(B805=120,"NULL",IF(AND(V805="High Stress", W805="High Risk", Y805="Low"),"High Risk : Reject", IF(AND(V805="Healthy", W805="Good",Y805&lt;&gt;"Low"), "Low Risk : Approve", "Medium Risk : Review")))</f>
        <v>Low Risk : Approve</v>
      </c>
      <c r="AA805" s="5" t="str">
        <f t="shared" si="168"/>
        <v>Medium</v>
      </c>
    </row>
    <row r="806" spans="1:27" x14ac:dyDescent="0.2">
      <c r="A806">
        <v>21474</v>
      </c>
      <c r="B806">
        <v>56</v>
      </c>
      <c r="C806">
        <f t="shared" si="156"/>
        <v>56</v>
      </c>
      <c r="D806" t="s">
        <v>23</v>
      </c>
      <c r="E806" t="str">
        <f t="shared" si="157"/>
        <v>Self-Employed</v>
      </c>
      <c r="F806">
        <v>5996.19</v>
      </c>
      <c r="G806">
        <f>ABS(Table1[[#This Row],[Monthly_Income]])</f>
        <v>5996.19</v>
      </c>
      <c r="H806">
        <v>4978.79</v>
      </c>
      <c r="I806" s="5">
        <f t="shared" si="158"/>
        <v>4978.79</v>
      </c>
      <c r="J806">
        <v>36</v>
      </c>
      <c r="K806">
        <v>14.32</v>
      </c>
      <c r="L806">
        <v>3</v>
      </c>
      <c r="M806">
        <f t="shared" si="159"/>
        <v>3</v>
      </c>
      <c r="N806">
        <v>5.6</v>
      </c>
      <c r="O806">
        <f t="shared" si="160"/>
        <v>5.6</v>
      </c>
      <c r="P806">
        <v>120</v>
      </c>
      <c r="Q806">
        <f t="shared" si="161"/>
        <v>120</v>
      </c>
      <c r="R806" t="s">
        <v>13</v>
      </c>
      <c r="S806" t="str">
        <f t="shared" si="162"/>
        <v>Performing</v>
      </c>
      <c r="T806" t="s">
        <v>19</v>
      </c>
      <c r="U806" s="3">
        <f t="shared" si="163"/>
        <v>2.3064599724528779E-2</v>
      </c>
      <c r="V806" t="str">
        <f t="shared" si="164"/>
        <v>Healthy</v>
      </c>
      <c r="W806" t="str">
        <f t="shared" si="165"/>
        <v>High Risk</v>
      </c>
      <c r="X806" s="5" t="str">
        <f t="shared" si="166"/>
        <v>Small</v>
      </c>
      <c r="Y806" s="5" t="str">
        <f t="shared" si="167"/>
        <v>Medium</v>
      </c>
      <c r="Z806" s="5" t="str">
        <f>IF(B806=120,"NULL",IF(AND(V806="High Stress", W806="High Risk", Y806="Low"),"High Risk : Reject", IF(AND(V806="Healthy", W806="Good",Y806&lt;&gt;"Low"), "Low Risk : Approve", "Medium Risk : Review")))</f>
        <v>Medium Risk : Review</v>
      </c>
      <c r="AA806" s="5" t="str">
        <f t="shared" si="168"/>
        <v>Medium</v>
      </c>
    </row>
    <row r="807" spans="1:27" x14ac:dyDescent="0.2">
      <c r="A807">
        <v>22267</v>
      </c>
      <c r="B807">
        <v>41</v>
      </c>
      <c r="C807">
        <f t="shared" si="156"/>
        <v>41</v>
      </c>
      <c r="D807" t="s">
        <v>26</v>
      </c>
      <c r="E807" t="str">
        <f t="shared" si="157"/>
        <v>Salaried</v>
      </c>
      <c r="F807">
        <v>3936.89</v>
      </c>
      <c r="G807">
        <f>ABS(Table1[[#This Row],[Monthly_Income]])</f>
        <v>3936.89</v>
      </c>
      <c r="H807">
        <v>9278.35</v>
      </c>
      <c r="I807" s="5">
        <f t="shared" si="158"/>
        <v>9278.35</v>
      </c>
      <c r="J807">
        <v>12</v>
      </c>
      <c r="K807">
        <v>23.58</v>
      </c>
      <c r="L807">
        <v>1</v>
      </c>
      <c r="M807">
        <f t="shared" si="159"/>
        <v>1</v>
      </c>
      <c r="N807">
        <v>7.2</v>
      </c>
      <c r="O807">
        <f t="shared" si="160"/>
        <v>7.2</v>
      </c>
      <c r="P807">
        <v>0</v>
      </c>
      <c r="Q807">
        <f t="shared" si="161"/>
        <v>0</v>
      </c>
      <c r="R807" t="s">
        <v>13</v>
      </c>
      <c r="S807" t="str">
        <f t="shared" si="162"/>
        <v>Performing</v>
      </c>
      <c r="T807" t="s">
        <v>25</v>
      </c>
      <c r="U807" s="3">
        <f t="shared" si="163"/>
        <v>0.1963976218114637</v>
      </c>
      <c r="V807" t="str">
        <f t="shared" si="164"/>
        <v>Healthy</v>
      </c>
      <c r="W807" t="str">
        <f t="shared" si="165"/>
        <v>Good</v>
      </c>
      <c r="X807" s="5" t="str">
        <f t="shared" si="166"/>
        <v>Small</v>
      </c>
      <c r="Y807" s="5" t="str">
        <f t="shared" si="167"/>
        <v>High</v>
      </c>
      <c r="Z807" s="5" t="str">
        <f>IF(B807=120,"NULL",IF(AND(V807="High Stress", W807="High Risk", Y807="Low"),"High Risk : Reject", IF(AND(V807="Healthy", W807="Good",Y807&lt;&gt;"Low"), "Low Risk : Approve", "Medium Risk : Review")))</f>
        <v>Low Risk : Approve</v>
      </c>
      <c r="AA807" s="5" t="str">
        <f t="shared" si="168"/>
        <v>Medium</v>
      </c>
    </row>
    <row r="808" spans="1:27" x14ac:dyDescent="0.2">
      <c r="A808">
        <v>22401</v>
      </c>
      <c r="B808">
        <v>56</v>
      </c>
      <c r="C808">
        <f t="shared" si="156"/>
        <v>56</v>
      </c>
      <c r="D808" t="s">
        <v>12</v>
      </c>
      <c r="E808" t="str">
        <f t="shared" si="157"/>
        <v>Self-Employed</v>
      </c>
      <c r="F808">
        <v>1156.23</v>
      </c>
      <c r="G808">
        <f>ABS(Table1[[#This Row],[Monthly_Income]])</f>
        <v>1156.23</v>
      </c>
      <c r="H808">
        <v>21434.53</v>
      </c>
      <c r="I808" s="5">
        <f t="shared" si="158"/>
        <v>21434.53</v>
      </c>
      <c r="J808">
        <v>12</v>
      </c>
      <c r="K808">
        <v>19.420000000000002</v>
      </c>
      <c r="L808">
        <v>3</v>
      </c>
      <c r="M808">
        <f t="shared" si="159"/>
        <v>3</v>
      </c>
      <c r="N808">
        <v>11.7</v>
      </c>
      <c r="O808">
        <f t="shared" si="160"/>
        <v>11.7</v>
      </c>
      <c r="P808">
        <v>15</v>
      </c>
      <c r="Q808">
        <f t="shared" si="161"/>
        <v>15</v>
      </c>
      <c r="R808" t="s">
        <v>15</v>
      </c>
      <c r="S808" t="str">
        <f t="shared" si="162"/>
        <v xml:space="preserve">Performing </v>
      </c>
      <c r="T808" t="s">
        <v>16</v>
      </c>
      <c r="U808" s="3">
        <f t="shared" si="163"/>
        <v>1.5448577128541321</v>
      </c>
      <c r="V808" t="str">
        <f t="shared" si="164"/>
        <v>High Stress</v>
      </c>
      <c r="W808" t="str">
        <f t="shared" si="165"/>
        <v>Good</v>
      </c>
      <c r="X808" s="5" t="str">
        <f t="shared" si="166"/>
        <v>Medium</v>
      </c>
      <c r="Y808" s="5" t="str">
        <f t="shared" si="167"/>
        <v>Medium</v>
      </c>
      <c r="Z808" s="5" t="str">
        <f>IF(B808=120,"NULL",IF(AND(V808="High Stress", W808="High Risk", Y808="Low"),"High Risk : Reject", IF(AND(V808="Healthy", W808="Good",Y808&lt;&gt;"Low"), "Low Risk : Approve", "Medium Risk : Review")))</f>
        <v>Medium Risk : Review</v>
      </c>
      <c r="AA808" s="5" t="str">
        <f t="shared" si="168"/>
        <v>Low</v>
      </c>
    </row>
    <row r="809" spans="1:27" x14ac:dyDescent="0.2">
      <c r="A809">
        <v>20816</v>
      </c>
      <c r="B809">
        <v>43</v>
      </c>
      <c r="C809">
        <f t="shared" si="156"/>
        <v>43</v>
      </c>
      <c r="D809" t="s">
        <v>27</v>
      </c>
      <c r="E809" t="str">
        <f t="shared" si="157"/>
        <v>Unemployed</v>
      </c>
      <c r="F809">
        <v>2770.93</v>
      </c>
      <c r="G809">
        <f>ABS(Table1[[#This Row],[Monthly_Income]])</f>
        <v>2770.93</v>
      </c>
      <c r="H809">
        <v>6263.01</v>
      </c>
      <c r="I809" s="5">
        <f t="shared" si="158"/>
        <v>6263.01</v>
      </c>
      <c r="J809">
        <v>36</v>
      </c>
      <c r="K809">
        <v>17.829999999999998</v>
      </c>
      <c r="L809">
        <v>3</v>
      </c>
      <c r="M809">
        <f t="shared" si="159"/>
        <v>3</v>
      </c>
      <c r="N809">
        <v>8.3000000000000007</v>
      </c>
      <c r="O809">
        <f t="shared" si="160"/>
        <v>8.3000000000000007</v>
      </c>
      <c r="P809">
        <v>120</v>
      </c>
      <c r="Q809">
        <f t="shared" si="161"/>
        <v>120</v>
      </c>
      <c r="R809" t="s">
        <v>20</v>
      </c>
      <c r="S809" t="str">
        <f t="shared" si="162"/>
        <v>Written Off</v>
      </c>
      <c r="T809" t="s">
        <v>14</v>
      </c>
      <c r="U809" s="3">
        <f t="shared" si="163"/>
        <v>6.2784877279469353E-2</v>
      </c>
      <c r="V809" t="str">
        <f t="shared" si="164"/>
        <v>Healthy</v>
      </c>
      <c r="W809" t="str">
        <f t="shared" si="165"/>
        <v>High Risk</v>
      </c>
      <c r="X809" s="5" t="str">
        <f t="shared" si="166"/>
        <v>Small</v>
      </c>
      <c r="Y809" s="5" t="str">
        <f t="shared" si="167"/>
        <v>Low</v>
      </c>
      <c r="Z809" s="5" t="str">
        <f>IF(B809=120,"NULL",IF(AND(V809="High Stress", W809="High Risk", Y809="Low"),"High Risk : Reject", IF(AND(V809="Healthy", W809="Good",Y809&lt;&gt;"Low"), "Low Risk : Approve", "Medium Risk : Review")))</f>
        <v>Medium Risk : Review</v>
      </c>
      <c r="AA809" s="5" t="str">
        <f t="shared" si="168"/>
        <v>Medium</v>
      </c>
    </row>
    <row r="810" spans="1:27" x14ac:dyDescent="0.2">
      <c r="A810">
        <v>21664</v>
      </c>
      <c r="B810">
        <v>21</v>
      </c>
      <c r="C810">
        <f t="shared" si="156"/>
        <v>21</v>
      </c>
      <c r="D810" t="s">
        <v>27</v>
      </c>
      <c r="E810" t="str">
        <f t="shared" si="157"/>
        <v>Unemployed</v>
      </c>
      <c r="F810">
        <v>4456.68</v>
      </c>
      <c r="G810">
        <f>ABS(Table1[[#This Row],[Monthly_Income]])</f>
        <v>4456.68</v>
      </c>
      <c r="H810">
        <v>26664.83</v>
      </c>
      <c r="I810" s="5">
        <f t="shared" si="158"/>
        <v>26664.83</v>
      </c>
      <c r="J810">
        <v>36</v>
      </c>
      <c r="K810">
        <v>19.29</v>
      </c>
      <c r="L810">
        <v>1</v>
      </c>
      <c r="M810">
        <f t="shared" si="159"/>
        <v>1</v>
      </c>
      <c r="N810">
        <v>9.4</v>
      </c>
      <c r="O810">
        <f t="shared" si="160"/>
        <v>9.4</v>
      </c>
      <c r="P810">
        <v>60</v>
      </c>
      <c r="Q810">
        <f t="shared" si="161"/>
        <v>60</v>
      </c>
      <c r="R810" t="s">
        <v>20</v>
      </c>
      <c r="S810" t="str">
        <f t="shared" si="162"/>
        <v>Written Off</v>
      </c>
      <c r="T810" t="s">
        <v>16</v>
      </c>
      <c r="U810" s="3">
        <f t="shared" si="163"/>
        <v>0.16619764538226264</v>
      </c>
      <c r="V810" t="str">
        <f t="shared" si="164"/>
        <v>Healthy</v>
      </c>
      <c r="W810" t="str">
        <f t="shared" si="165"/>
        <v>High Risk</v>
      </c>
      <c r="X810" s="5" t="str">
        <f t="shared" si="166"/>
        <v>Medium</v>
      </c>
      <c r="Y810" s="5" t="str">
        <f t="shared" si="167"/>
        <v>Low</v>
      </c>
      <c r="Z810" s="5" t="str">
        <f>IF(B810=120,"NULL",IF(AND(V810="High Stress", W810="High Risk", Y810="Low"),"High Risk : Reject", IF(AND(V810="Healthy", W810="Good",Y810&lt;&gt;"Low"), "Low Risk : Approve", "Medium Risk : Review")))</f>
        <v>Medium Risk : Review</v>
      </c>
      <c r="AA810" s="5" t="str">
        <f t="shared" si="168"/>
        <v>Medium</v>
      </c>
    </row>
    <row r="811" spans="1:27" x14ac:dyDescent="0.2">
      <c r="A811">
        <v>23532</v>
      </c>
      <c r="B811">
        <v>43</v>
      </c>
      <c r="C811">
        <f t="shared" si="156"/>
        <v>43</v>
      </c>
      <c r="D811" t="s">
        <v>12</v>
      </c>
      <c r="E811" t="str">
        <f t="shared" si="157"/>
        <v>Self-Employed</v>
      </c>
      <c r="F811">
        <v>4125</v>
      </c>
      <c r="G811">
        <f>ABS(Table1[[#This Row],[Monthly_Income]])</f>
        <v>4125</v>
      </c>
      <c r="H811">
        <v>10245.91</v>
      </c>
      <c r="I811" s="5">
        <f t="shared" si="158"/>
        <v>10245.91</v>
      </c>
      <c r="J811">
        <v>6</v>
      </c>
      <c r="K811">
        <v>15.11</v>
      </c>
      <c r="L811">
        <v>0</v>
      </c>
      <c r="M811">
        <f t="shared" si="159"/>
        <v>0</v>
      </c>
      <c r="N811">
        <v>4.9000000000000004</v>
      </c>
      <c r="O811">
        <f t="shared" si="160"/>
        <v>4.9000000000000004</v>
      </c>
      <c r="P811">
        <v>60</v>
      </c>
      <c r="Q811">
        <f t="shared" si="161"/>
        <v>60</v>
      </c>
      <c r="R811" t="s">
        <v>18</v>
      </c>
      <c r="S811" t="str">
        <f t="shared" si="162"/>
        <v>Non-Performing</v>
      </c>
      <c r="T811" t="s">
        <v>25</v>
      </c>
      <c r="U811" s="3">
        <f t="shared" si="163"/>
        <v>0.41397616161616163</v>
      </c>
      <c r="V811" t="str">
        <f t="shared" si="164"/>
        <v>Stretched</v>
      </c>
      <c r="W811" t="str">
        <f t="shared" si="165"/>
        <v>High Risk</v>
      </c>
      <c r="X811" s="5" t="str">
        <f t="shared" si="166"/>
        <v>Medium</v>
      </c>
      <c r="Y811" s="5" t="str">
        <f t="shared" si="167"/>
        <v>Medium</v>
      </c>
      <c r="Z811" s="5" t="str">
        <f>IF(B811=120,"NULL",IF(AND(V811="High Stress", W811="High Risk", Y811="Low"),"High Risk : Reject", IF(AND(V811="Healthy", W811="Good",Y811&lt;&gt;"Low"), "Low Risk : Approve", "Medium Risk : Review")))</f>
        <v>Medium Risk : Review</v>
      </c>
      <c r="AA811" s="5" t="str">
        <f t="shared" si="168"/>
        <v>Medium</v>
      </c>
    </row>
    <row r="812" spans="1:27" x14ac:dyDescent="0.2">
      <c r="A812">
        <v>21320</v>
      </c>
      <c r="B812">
        <v>39</v>
      </c>
      <c r="C812">
        <f t="shared" si="156"/>
        <v>39</v>
      </c>
      <c r="D812" t="s">
        <v>23</v>
      </c>
      <c r="E812" t="str">
        <f t="shared" si="157"/>
        <v>Self-Employed</v>
      </c>
      <c r="F812">
        <v>6294.2</v>
      </c>
      <c r="G812">
        <f>ABS(Table1[[#This Row],[Monthly_Income]])</f>
        <v>6294.2</v>
      </c>
      <c r="H812">
        <v>7982.85</v>
      </c>
      <c r="I812" s="5">
        <f t="shared" si="158"/>
        <v>7982.85</v>
      </c>
      <c r="J812">
        <v>24</v>
      </c>
      <c r="K812">
        <v>25.71</v>
      </c>
      <c r="L812">
        <v>1</v>
      </c>
      <c r="M812">
        <f t="shared" si="159"/>
        <v>1</v>
      </c>
      <c r="N812">
        <v>3.8</v>
      </c>
      <c r="O812">
        <f t="shared" si="160"/>
        <v>3.8</v>
      </c>
      <c r="P812">
        <v>30</v>
      </c>
      <c r="Q812">
        <f t="shared" si="161"/>
        <v>30</v>
      </c>
      <c r="R812" t="s">
        <v>18</v>
      </c>
      <c r="S812" t="str">
        <f t="shared" si="162"/>
        <v>Non-Performing</v>
      </c>
      <c r="T812" t="s">
        <v>19</v>
      </c>
      <c r="U812" s="3">
        <f t="shared" si="163"/>
        <v>5.2845278192621782E-2</v>
      </c>
      <c r="V812" t="str">
        <f t="shared" si="164"/>
        <v>Healthy</v>
      </c>
      <c r="W812" t="str">
        <f t="shared" si="165"/>
        <v>At Risk</v>
      </c>
      <c r="X812" s="5" t="str">
        <f t="shared" si="166"/>
        <v>Small</v>
      </c>
      <c r="Y812" s="5" t="str">
        <f t="shared" si="167"/>
        <v>Medium</v>
      </c>
      <c r="Z812" s="5" t="str">
        <f>IF(B812=120,"NULL",IF(AND(V812="High Stress", W812="High Risk", Y812="Low"),"High Risk : Reject", IF(AND(V812="Healthy", W812="Good",Y812&lt;&gt;"Low"), "Low Risk : Approve", "Medium Risk : Review")))</f>
        <v>Medium Risk : Review</v>
      </c>
      <c r="AA812" s="5" t="str">
        <f t="shared" si="168"/>
        <v>Medium</v>
      </c>
    </row>
    <row r="813" spans="1:27" x14ac:dyDescent="0.2">
      <c r="A813">
        <v>20311</v>
      </c>
      <c r="B813">
        <v>49</v>
      </c>
      <c r="C813">
        <f t="shared" si="156"/>
        <v>49</v>
      </c>
      <c r="D813" t="s">
        <v>17</v>
      </c>
      <c r="E813" t="str">
        <f t="shared" si="157"/>
        <v>Contract</v>
      </c>
      <c r="F813">
        <v>4984.38</v>
      </c>
      <c r="G813">
        <f>ABS(Table1[[#This Row],[Monthly_Income]])</f>
        <v>4984.38</v>
      </c>
      <c r="H813">
        <v>31751.58</v>
      </c>
      <c r="I813" s="5">
        <f t="shared" si="158"/>
        <v>31751.58</v>
      </c>
      <c r="J813">
        <v>12</v>
      </c>
      <c r="K813">
        <v>11.71</v>
      </c>
      <c r="L813">
        <v>3</v>
      </c>
      <c r="M813">
        <f t="shared" si="159"/>
        <v>3</v>
      </c>
      <c r="N813">
        <v>6</v>
      </c>
      <c r="O813">
        <f t="shared" si="160"/>
        <v>6</v>
      </c>
      <c r="P813">
        <v>30</v>
      </c>
      <c r="Q813">
        <f t="shared" si="161"/>
        <v>30</v>
      </c>
      <c r="R813" t="s">
        <v>24</v>
      </c>
      <c r="S813" t="str">
        <f t="shared" si="162"/>
        <v>Non-Performing</v>
      </c>
      <c r="T813" t="s">
        <v>19</v>
      </c>
      <c r="U813" s="3">
        <f t="shared" si="163"/>
        <v>0.53085137971021479</v>
      </c>
      <c r="V813" t="str">
        <f t="shared" si="164"/>
        <v>High Stress</v>
      </c>
      <c r="W813" t="str">
        <f t="shared" si="165"/>
        <v>At Risk</v>
      </c>
      <c r="X813" s="5" t="str">
        <f t="shared" si="166"/>
        <v>High</v>
      </c>
      <c r="Y813" s="5" t="str">
        <f t="shared" si="167"/>
        <v>Low</v>
      </c>
      <c r="Z813" s="5" t="str">
        <f>IF(B813=120,"NULL",IF(AND(V813="High Stress", W813="High Risk", Y813="Low"),"High Risk : Reject", IF(AND(V813="Healthy", W813="Good",Y813&lt;&gt;"Low"), "Low Risk : Approve", "Medium Risk : Review")))</f>
        <v>Medium Risk : Review</v>
      </c>
      <c r="AA813" s="5" t="str">
        <f t="shared" si="168"/>
        <v>Medium</v>
      </c>
    </row>
    <row r="814" spans="1:27" x14ac:dyDescent="0.2">
      <c r="A814">
        <v>21625</v>
      </c>
      <c r="B814">
        <v>38</v>
      </c>
      <c r="C814">
        <f t="shared" si="156"/>
        <v>38</v>
      </c>
      <c r="D814" t="s">
        <v>21</v>
      </c>
      <c r="E814" t="str">
        <f t="shared" si="157"/>
        <v>Salaried</v>
      </c>
      <c r="F814">
        <v>7738.5</v>
      </c>
      <c r="G814">
        <f>ABS(Table1[[#This Row],[Monthly_Income]])</f>
        <v>7738.5</v>
      </c>
      <c r="H814">
        <v>17031.61</v>
      </c>
      <c r="I814" s="5">
        <f t="shared" si="158"/>
        <v>17031.61</v>
      </c>
      <c r="J814">
        <v>18</v>
      </c>
      <c r="K814">
        <v>19.600000000000001</v>
      </c>
      <c r="L814">
        <v>2</v>
      </c>
      <c r="M814">
        <f t="shared" si="159"/>
        <v>2</v>
      </c>
      <c r="N814">
        <v>12.1</v>
      </c>
      <c r="O814">
        <f t="shared" si="160"/>
        <v>12.1</v>
      </c>
      <c r="P814">
        <v>120</v>
      </c>
      <c r="Q814">
        <f t="shared" si="161"/>
        <v>120</v>
      </c>
      <c r="R814" t="s">
        <v>13</v>
      </c>
      <c r="S814" t="str">
        <f t="shared" si="162"/>
        <v>Performing</v>
      </c>
      <c r="T814" t="s">
        <v>25</v>
      </c>
      <c r="U814" s="3">
        <f t="shared" si="163"/>
        <v>0.12227182988377018</v>
      </c>
      <c r="V814" t="str">
        <f t="shared" si="164"/>
        <v>Healthy</v>
      </c>
      <c r="W814" t="str">
        <f t="shared" si="165"/>
        <v>High Risk</v>
      </c>
      <c r="X814" s="5" t="str">
        <f t="shared" si="166"/>
        <v>Medium</v>
      </c>
      <c r="Y814" s="5" t="str">
        <f t="shared" si="167"/>
        <v>High</v>
      </c>
      <c r="Z814" s="5" t="str">
        <f>IF(B814=120,"NULL",IF(AND(V814="High Stress", W814="High Risk", Y814="Low"),"High Risk : Reject", IF(AND(V814="Healthy", W814="Good",Y814&lt;&gt;"Low"), "Low Risk : Approve", "Medium Risk : Review")))</f>
        <v>Medium Risk : Review</v>
      </c>
      <c r="AA814" s="5" t="str">
        <f t="shared" si="168"/>
        <v>Medium</v>
      </c>
    </row>
    <row r="815" spans="1:27" x14ac:dyDescent="0.2">
      <c r="A815">
        <v>20923</v>
      </c>
      <c r="B815">
        <v>36</v>
      </c>
      <c r="C815">
        <f t="shared" si="156"/>
        <v>36</v>
      </c>
      <c r="D815" t="s">
        <v>12</v>
      </c>
      <c r="E815" t="str">
        <f t="shared" si="157"/>
        <v>Self-Employed</v>
      </c>
      <c r="F815">
        <v>6550.56</v>
      </c>
      <c r="G815">
        <f>ABS(Table1[[#This Row],[Monthly_Income]])</f>
        <v>6550.56</v>
      </c>
      <c r="H815">
        <v>12245.25</v>
      </c>
      <c r="I815" s="5">
        <f t="shared" si="158"/>
        <v>12245.25</v>
      </c>
      <c r="J815">
        <v>24</v>
      </c>
      <c r="K815">
        <v>25.52</v>
      </c>
      <c r="L815">
        <v>2</v>
      </c>
      <c r="M815">
        <f t="shared" si="159"/>
        <v>2</v>
      </c>
      <c r="N815">
        <v>14.2</v>
      </c>
      <c r="O815">
        <f t="shared" si="160"/>
        <v>14.2</v>
      </c>
      <c r="P815">
        <v>15</v>
      </c>
      <c r="Q815">
        <f t="shared" si="161"/>
        <v>15</v>
      </c>
      <c r="R815" t="s">
        <v>13</v>
      </c>
      <c r="S815" t="str">
        <f t="shared" si="162"/>
        <v>Performing</v>
      </c>
      <c r="T815" t="s">
        <v>19</v>
      </c>
      <c r="U815" s="3">
        <f t="shared" si="163"/>
        <v>7.7889333125717497E-2</v>
      </c>
      <c r="V815" t="str">
        <f t="shared" si="164"/>
        <v>Healthy</v>
      </c>
      <c r="W815" t="str">
        <f t="shared" si="165"/>
        <v>Good</v>
      </c>
      <c r="X815" s="5" t="str">
        <f t="shared" si="166"/>
        <v>Medium</v>
      </c>
      <c r="Y815" s="5" t="str">
        <f t="shared" si="167"/>
        <v>Medium</v>
      </c>
      <c r="Z815" s="5" t="str">
        <f>IF(B815=120,"NULL",IF(AND(V815="High Stress", W815="High Risk", Y815="Low"),"High Risk : Reject", IF(AND(V815="Healthy", W815="Good",Y815&lt;&gt;"Low"), "Low Risk : Approve", "Medium Risk : Review")))</f>
        <v>Low Risk : Approve</v>
      </c>
      <c r="AA815" s="5" t="str">
        <f t="shared" si="168"/>
        <v>Medium</v>
      </c>
    </row>
    <row r="816" spans="1:27" x14ac:dyDescent="0.2">
      <c r="A816">
        <v>21953</v>
      </c>
      <c r="B816">
        <v>52</v>
      </c>
      <c r="C816">
        <f t="shared" si="156"/>
        <v>52</v>
      </c>
      <c r="D816" t="s">
        <v>23</v>
      </c>
      <c r="E816" t="str">
        <f t="shared" si="157"/>
        <v>Self-Employed</v>
      </c>
      <c r="F816">
        <v>3670.93</v>
      </c>
      <c r="G816">
        <f>ABS(Table1[[#This Row],[Monthly_Income]])</f>
        <v>3670.93</v>
      </c>
      <c r="H816">
        <v>20717.650000000001</v>
      </c>
      <c r="I816" s="5">
        <f t="shared" si="158"/>
        <v>20717.650000000001</v>
      </c>
      <c r="J816">
        <v>18</v>
      </c>
      <c r="K816">
        <v>25.5</v>
      </c>
      <c r="L816">
        <v>3</v>
      </c>
      <c r="M816">
        <f t="shared" si="159"/>
        <v>3</v>
      </c>
      <c r="N816">
        <v>9.1</v>
      </c>
      <c r="O816">
        <f t="shared" si="160"/>
        <v>9.1</v>
      </c>
      <c r="P816">
        <v>0</v>
      </c>
      <c r="Q816">
        <f t="shared" si="161"/>
        <v>0</v>
      </c>
      <c r="R816" t="s">
        <v>15</v>
      </c>
      <c r="S816" t="str">
        <f t="shared" si="162"/>
        <v xml:space="preserve">Performing </v>
      </c>
      <c r="T816" t="s">
        <v>25</v>
      </c>
      <c r="U816" s="3">
        <f t="shared" si="163"/>
        <v>0.3135392272681734</v>
      </c>
      <c r="V816" t="str">
        <f t="shared" si="164"/>
        <v>Stretched</v>
      </c>
      <c r="W816" t="str">
        <f t="shared" si="165"/>
        <v>Good</v>
      </c>
      <c r="X816" s="5" t="str">
        <f t="shared" si="166"/>
        <v>Medium</v>
      </c>
      <c r="Y816" s="5" t="str">
        <f t="shared" si="167"/>
        <v>Medium</v>
      </c>
      <c r="Z816" s="5" t="str">
        <f>IF(B816=120,"NULL",IF(AND(V816="High Stress", W816="High Risk", Y816="Low"),"High Risk : Reject", IF(AND(V816="Healthy", W816="Good",Y816&lt;&gt;"Low"), "Low Risk : Approve", "Medium Risk : Review")))</f>
        <v>Medium Risk : Review</v>
      </c>
      <c r="AA816" s="5" t="str">
        <f t="shared" si="168"/>
        <v>Medium</v>
      </c>
    </row>
    <row r="817" spans="1:27" x14ac:dyDescent="0.2">
      <c r="A817">
        <v>21447</v>
      </c>
      <c r="B817">
        <v>56</v>
      </c>
      <c r="C817">
        <f t="shared" si="156"/>
        <v>56</v>
      </c>
      <c r="D817" t="s">
        <v>23</v>
      </c>
      <c r="E817" t="str">
        <f t="shared" si="157"/>
        <v>Self-Employed</v>
      </c>
      <c r="F817">
        <v>-493.57</v>
      </c>
      <c r="G817">
        <f>ABS(Table1[[#This Row],[Monthly_Income]])</f>
        <v>493.57</v>
      </c>
      <c r="H817">
        <v>17254.07</v>
      </c>
      <c r="I817" s="5">
        <f t="shared" si="158"/>
        <v>17254.07</v>
      </c>
      <c r="J817">
        <v>60</v>
      </c>
      <c r="K817">
        <v>21.46</v>
      </c>
      <c r="M817" t="str">
        <f t="shared" si="159"/>
        <v>NULL</v>
      </c>
      <c r="N817">
        <v>8.1</v>
      </c>
      <c r="O817">
        <f t="shared" si="160"/>
        <v>8.1</v>
      </c>
      <c r="P817">
        <v>120</v>
      </c>
      <c r="Q817">
        <f t="shared" si="161"/>
        <v>120</v>
      </c>
      <c r="R817" t="s">
        <v>18</v>
      </c>
      <c r="S817" t="str">
        <f t="shared" si="162"/>
        <v>Non-Performing</v>
      </c>
      <c r="T817" t="s">
        <v>25</v>
      </c>
      <c r="U817" s="3">
        <f t="shared" si="163"/>
        <v>0.58262826616960783</v>
      </c>
      <c r="V817" t="str">
        <f t="shared" si="164"/>
        <v>High Stress</v>
      </c>
      <c r="W817" t="str">
        <f t="shared" si="165"/>
        <v>High Risk</v>
      </c>
      <c r="X817" s="5" t="str">
        <f t="shared" si="166"/>
        <v>Medium</v>
      </c>
      <c r="Y817" s="5" t="str">
        <f t="shared" si="167"/>
        <v>Medium</v>
      </c>
      <c r="Z817" s="5" t="str">
        <f>IF(B817=120,"NULL",IF(AND(V817="High Stress", W817="High Risk", Y817="Low"),"High Risk : Reject", IF(AND(V817="Healthy", W817="Good",Y817&lt;&gt;"Low"), "Low Risk : Approve", "Medium Risk : Review")))</f>
        <v>Medium Risk : Review</v>
      </c>
      <c r="AA817" s="5" t="str">
        <f t="shared" si="168"/>
        <v>Low</v>
      </c>
    </row>
    <row r="818" spans="1:27" x14ac:dyDescent="0.2">
      <c r="A818">
        <v>23194</v>
      </c>
      <c r="B818">
        <v>48</v>
      </c>
      <c r="C818">
        <f t="shared" si="156"/>
        <v>48</v>
      </c>
      <c r="D818" t="s">
        <v>17</v>
      </c>
      <c r="E818" t="str">
        <f t="shared" si="157"/>
        <v>Contract</v>
      </c>
      <c r="F818">
        <v>7451.04</v>
      </c>
      <c r="G818">
        <f>ABS(Table1[[#This Row],[Monthly_Income]])</f>
        <v>7451.04</v>
      </c>
      <c r="H818">
        <v>17259.21</v>
      </c>
      <c r="I818" s="5">
        <f t="shared" si="158"/>
        <v>17259.21</v>
      </c>
      <c r="J818">
        <v>48</v>
      </c>
      <c r="K818">
        <v>24.56</v>
      </c>
      <c r="L818">
        <v>0</v>
      </c>
      <c r="M818">
        <f t="shared" si="159"/>
        <v>0</v>
      </c>
      <c r="N818">
        <v>5.5</v>
      </c>
      <c r="O818">
        <f t="shared" si="160"/>
        <v>5.5</v>
      </c>
      <c r="P818">
        <v>0</v>
      </c>
      <c r="Q818">
        <f t="shared" si="161"/>
        <v>0</v>
      </c>
      <c r="R818" t="s">
        <v>18</v>
      </c>
      <c r="S818" t="str">
        <f t="shared" si="162"/>
        <v>Non-Performing</v>
      </c>
      <c r="T818" t="s">
        <v>14</v>
      </c>
      <c r="U818" s="3">
        <f t="shared" si="163"/>
        <v>4.8257273481285834E-2</v>
      </c>
      <c r="V818" t="str">
        <f t="shared" si="164"/>
        <v>Healthy</v>
      </c>
      <c r="W818" t="str">
        <f t="shared" si="165"/>
        <v>Good</v>
      </c>
      <c r="X818" s="5" t="str">
        <f t="shared" si="166"/>
        <v>Medium</v>
      </c>
      <c r="Y818" s="5" t="str">
        <f t="shared" si="167"/>
        <v>Low</v>
      </c>
      <c r="Z818" s="5" t="str">
        <f>IF(B818=120,"NULL",IF(AND(V818="High Stress", W818="High Risk", Y818="Low"),"High Risk : Reject", IF(AND(V818="Healthy", W818="Good",Y818&lt;&gt;"Low"), "Low Risk : Approve", "Medium Risk : Review")))</f>
        <v>Medium Risk : Review</v>
      </c>
      <c r="AA818" s="5" t="str">
        <f t="shared" si="168"/>
        <v>Medium</v>
      </c>
    </row>
    <row r="819" spans="1:27" x14ac:dyDescent="0.2">
      <c r="A819">
        <v>23380</v>
      </c>
      <c r="B819">
        <v>38</v>
      </c>
      <c r="C819">
        <f t="shared" si="156"/>
        <v>38</v>
      </c>
      <c r="D819" t="s">
        <v>23</v>
      </c>
      <c r="E819" t="str">
        <f t="shared" si="157"/>
        <v>Self-Employed</v>
      </c>
      <c r="F819">
        <v>2084.1799999999998</v>
      </c>
      <c r="G819">
        <f>ABS(Table1[[#This Row],[Monthly_Income]])</f>
        <v>2084.1799999999998</v>
      </c>
      <c r="H819">
        <v>31816.6</v>
      </c>
      <c r="I819" s="5">
        <f t="shared" si="158"/>
        <v>31816.6</v>
      </c>
      <c r="J819">
        <v>48</v>
      </c>
      <c r="K819">
        <v>11.78</v>
      </c>
      <c r="L819">
        <v>0</v>
      </c>
      <c r="M819">
        <f t="shared" si="159"/>
        <v>0</v>
      </c>
      <c r="N819">
        <v>12.8</v>
      </c>
      <c r="O819">
        <f t="shared" si="160"/>
        <v>12.8</v>
      </c>
      <c r="P819">
        <v>30</v>
      </c>
      <c r="Q819">
        <f t="shared" si="161"/>
        <v>30</v>
      </c>
      <c r="R819" t="s">
        <v>18</v>
      </c>
      <c r="S819" t="str">
        <f t="shared" si="162"/>
        <v>Non-Performing</v>
      </c>
      <c r="T819" t="s">
        <v>19</v>
      </c>
      <c r="U819" s="3">
        <f t="shared" si="163"/>
        <v>0.31803674986485497</v>
      </c>
      <c r="V819" t="str">
        <f t="shared" si="164"/>
        <v>Stretched</v>
      </c>
      <c r="W819" t="str">
        <f t="shared" si="165"/>
        <v>At Risk</v>
      </c>
      <c r="X819" s="5" t="str">
        <f t="shared" si="166"/>
        <v>High</v>
      </c>
      <c r="Y819" s="5" t="str">
        <f t="shared" si="167"/>
        <v>Medium</v>
      </c>
      <c r="Z819" s="5" t="str">
        <f>IF(B819=120,"NULL",IF(AND(V819="High Stress", W819="High Risk", Y819="Low"),"High Risk : Reject", IF(AND(V819="Healthy", W819="Good",Y819&lt;&gt;"Low"), "Low Risk : Approve", "Medium Risk : Review")))</f>
        <v>Medium Risk : Review</v>
      </c>
      <c r="AA819" s="5" t="str">
        <f t="shared" si="168"/>
        <v>Medium</v>
      </c>
    </row>
    <row r="820" spans="1:27" x14ac:dyDescent="0.2">
      <c r="A820">
        <v>20851</v>
      </c>
      <c r="B820">
        <v>30</v>
      </c>
      <c r="C820">
        <f t="shared" si="156"/>
        <v>30</v>
      </c>
      <c r="D820" t="s">
        <v>12</v>
      </c>
      <c r="E820" t="str">
        <f t="shared" si="157"/>
        <v>Self-Employed</v>
      </c>
      <c r="F820">
        <v>2046.76</v>
      </c>
      <c r="G820">
        <f>ABS(Table1[[#This Row],[Monthly_Income]])</f>
        <v>2046.76</v>
      </c>
      <c r="H820">
        <v>6146.2</v>
      </c>
      <c r="I820" s="5">
        <f t="shared" si="158"/>
        <v>6146.2</v>
      </c>
      <c r="J820">
        <v>18</v>
      </c>
      <c r="K820">
        <v>17.98</v>
      </c>
      <c r="L820">
        <v>2</v>
      </c>
      <c r="M820">
        <f t="shared" si="159"/>
        <v>2</v>
      </c>
      <c r="N820">
        <v>3.7</v>
      </c>
      <c r="O820">
        <f t="shared" si="160"/>
        <v>3.7</v>
      </c>
      <c r="P820">
        <v>120</v>
      </c>
      <c r="Q820">
        <f t="shared" si="161"/>
        <v>120</v>
      </c>
      <c r="R820" t="s">
        <v>15</v>
      </c>
      <c r="S820" t="str">
        <f t="shared" si="162"/>
        <v xml:space="preserve">Performing </v>
      </c>
      <c r="T820" t="s">
        <v>16</v>
      </c>
      <c r="U820" s="3">
        <f t="shared" si="163"/>
        <v>0.16682735423574602</v>
      </c>
      <c r="V820" t="str">
        <f t="shared" si="164"/>
        <v>Healthy</v>
      </c>
      <c r="W820" t="str">
        <f t="shared" si="165"/>
        <v>High Risk</v>
      </c>
      <c r="X820" s="5" t="str">
        <f t="shared" si="166"/>
        <v>Small</v>
      </c>
      <c r="Y820" s="5" t="str">
        <f t="shared" si="167"/>
        <v>Medium</v>
      </c>
      <c r="Z820" s="5" t="str">
        <f>IF(B820=120,"NULL",IF(AND(V820="High Stress", W820="High Risk", Y820="Low"),"High Risk : Reject", IF(AND(V820="Healthy", W820="Good",Y820&lt;&gt;"Low"), "Low Risk : Approve", "Medium Risk : Review")))</f>
        <v>Medium Risk : Review</v>
      </c>
      <c r="AA820" s="5" t="str">
        <f t="shared" si="168"/>
        <v>Medium</v>
      </c>
    </row>
    <row r="821" spans="1:27" x14ac:dyDescent="0.2">
      <c r="A821">
        <v>24209</v>
      </c>
      <c r="B821">
        <v>23</v>
      </c>
      <c r="C821">
        <f t="shared" si="156"/>
        <v>23</v>
      </c>
      <c r="D821" t="s">
        <v>21</v>
      </c>
      <c r="E821" t="str">
        <f t="shared" si="157"/>
        <v>Salaried</v>
      </c>
      <c r="F821">
        <v>4855.33</v>
      </c>
      <c r="G821">
        <f>ABS(Table1[[#This Row],[Monthly_Income]])</f>
        <v>4855.33</v>
      </c>
      <c r="H821">
        <v>12864.51</v>
      </c>
      <c r="I821" s="5">
        <f t="shared" si="158"/>
        <v>12864.51</v>
      </c>
      <c r="J821">
        <v>36</v>
      </c>
      <c r="K821">
        <v>16.64</v>
      </c>
      <c r="L821">
        <v>4</v>
      </c>
      <c r="M821">
        <f t="shared" si="159"/>
        <v>4</v>
      </c>
      <c r="N821">
        <v>6.9</v>
      </c>
      <c r="O821">
        <f t="shared" si="160"/>
        <v>6.9</v>
      </c>
      <c r="P821">
        <v>90</v>
      </c>
      <c r="Q821">
        <f t="shared" si="161"/>
        <v>90</v>
      </c>
      <c r="R821" t="s">
        <v>15</v>
      </c>
      <c r="S821" t="str">
        <f t="shared" si="162"/>
        <v xml:space="preserve">Performing </v>
      </c>
      <c r="T821" t="s">
        <v>25</v>
      </c>
      <c r="U821" s="3">
        <f t="shared" si="163"/>
        <v>7.3599013867234567E-2</v>
      </c>
      <c r="V821" t="str">
        <f t="shared" si="164"/>
        <v>Healthy</v>
      </c>
      <c r="W821" t="str">
        <f t="shared" si="165"/>
        <v>High Risk</v>
      </c>
      <c r="X821" s="5" t="str">
        <f t="shared" si="166"/>
        <v>Medium</v>
      </c>
      <c r="Y821" s="5" t="str">
        <f t="shared" si="167"/>
        <v>High</v>
      </c>
      <c r="Z821" s="5" t="str">
        <f>IF(B821=120,"NULL",IF(AND(V821="High Stress", W821="High Risk", Y821="Low"),"High Risk : Reject", IF(AND(V821="Healthy", W821="Good",Y821&lt;&gt;"Low"), "Low Risk : Approve", "Medium Risk : Review")))</f>
        <v>Medium Risk : Review</v>
      </c>
      <c r="AA821" s="5" t="str">
        <f t="shared" si="168"/>
        <v>Medium</v>
      </c>
    </row>
    <row r="822" spans="1:27" x14ac:dyDescent="0.2">
      <c r="A822">
        <v>22690</v>
      </c>
      <c r="B822">
        <v>30</v>
      </c>
      <c r="C822">
        <f t="shared" si="156"/>
        <v>30</v>
      </c>
      <c r="D822" t="s">
        <v>27</v>
      </c>
      <c r="E822" t="str">
        <f t="shared" si="157"/>
        <v>Unemployed</v>
      </c>
      <c r="F822">
        <v>6570.26</v>
      </c>
      <c r="G822">
        <f>ABS(Table1[[#This Row],[Monthly_Income]])</f>
        <v>6570.26</v>
      </c>
      <c r="H822">
        <v>23596.35</v>
      </c>
      <c r="I822" s="5">
        <f t="shared" si="158"/>
        <v>23596.35</v>
      </c>
      <c r="J822">
        <v>36</v>
      </c>
      <c r="K822">
        <v>21.9</v>
      </c>
      <c r="M822" t="str">
        <f t="shared" si="159"/>
        <v>NULL</v>
      </c>
      <c r="N822">
        <v>8.4</v>
      </c>
      <c r="O822">
        <f t="shared" si="160"/>
        <v>8.4</v>
      </c>
      <c r="P822">
        <v>0</v>
      </c>
      <c r="Q822">
        <f t="shared" si="161"/>
        <v>0</v>
      </c>
      <c r="R822" t="s">
        <v>20</v>
      </c>
      <c r="S822" t="str">
        <f t="shared" si="162"/>
        <v>Written Off</v>
      </c>
      <c r="T822" t="s">
        <v>14</v>
      </c>
      <c r="U822" s="3">
        <f t="shared" si="163"/>
        <v>9.9760765428866832E-2</v>
      </c>
      <c r="V822" t="str">
        <f t="shared" si="164"/>
        <v>Healthy</v>
      </c>
      <c r="W822" t="str">
        <f t="shared" si="165"/>
        <v>Good</v>
      </c>
      <c r="X822" s="5" t="str">
        <f t="shared" si="166"/>
        <v>Medium</v>
      </c>
      <c r="Y822" s="5" t="str">
        <f t="shared" si="167"/>
        <v>Low</v>
      </c>
      <c r="Z822" s="5" t="str">
        <f>IF(B822=120,"NULL",IF(AND(V822="High Stress", W822="High Risk", Y822="Low"),"High Risk : Reject", IF(AND(V822="Healthy", W822="Good",Y822&lt;&gt;"Low"), "Low Risk : Approve", "Medium Risk : Review")))</f>
        <v>Medium Risk : Review</v>
      </c>
      <c r="AA822" s="5" t="str">
        <f t="shared" si="168"/>
        <v>Medium</v>
      </c>
    </row>
    <row r="823" spans="1:27" x14ac:dyDescent="0.2">
      <c r="A823">
        <v>23501</v>
      </c>
      <c r="B823">
        <v>23</v>
      </c>
      <c r="C823">
        <f t="shared" si="156"/>
        <v>23</v>
      </c>
      <c r="D823" t="s">
        <v>27</v>
      </c>
      <c r="E823" t="str">
        <f t="shared" si="157"/>
        <v>Unemployed</v>
      </c>
      <c r="F823">
        <v>5305.26</v>
      </c>
      <c r="G823">
        <f>ABS(Table1[[#This Row],[Monthly_Income]])</f>
        <v>5305.26</v>
      </c>
      <c r="H823">
        <v>12671.84</v>
      </c>
      <c r="I823" s="5">
        <f t="shared" si="158"/>
        <v>12671.84</v>
      </c>
      <c r="J823">
        <v>24</v>
      </c>
      <c r="K823">
        <v>18.86</v>
      </c>
      <c r="L823">
        <v>4</v>
      </c>
      <c r="M823">
        <f t="shared" si="159"/>
        <v>4</v>
      </c>
      <c r="N823">
        <v>0.2</v>
      </c>
      <c r="O823">
        <f t="shared" si="160"/>
        <v>0.2</v>
      </c>
      <c r="P823">
        <v>30</v>
      </c>
      <c r="Q823">
        <f t="shared" si="161"/>
        <v>30</v>
      </c>
      <c r="R823" t="s">
        <v>20</v>
      </c>
      <c r="S823" t="str">
        <f t="shared" si="162"/>
        <v>Written Off</v>
      </c>
      <c r="T823" t="s">
        <v>19</v>
      </c>
      <c r="U823" s="3">
        <f t="shared" si="163"/>
        <v>9.9522612149702996E-2</v>
      </c>
      <c r="V823" t="str">
        <f t="shared" si="164"/>
        <v>Healthy</v>
      </c>
      <c r="W823" t="str">
        <f t="shared" si="165"/>
        <v>At Risk</v>
      </c>
      <c r="X823" s="5" t="str">
        <f t="shared" si="166"/>
        <v>Medium</v>
      </c>
      <c r="Y823" s="5" t="str">
        <f t="shared" si="167"/>
        <v>Low</v>
      </c>
      <c r="Z823" s="5" t="str">
        <f>IF(B823=120,"NULL",IF(AND(V823="High Stress", W823="High Risk", Y823="Low"),"High Risk : Reject", IF(AND(V823="Healthy", W823="Good",Y823&lt;&gt;"Low"), "Low Risk : Approve", "Medium Risk : Review")))</f>
        <v>Medium Risk : Review</v>
      </c>
      <c r="AA823" s="5" t="str">
        <f t="shared" si="168"/>
        <v>Medium</v>
      </c>
    </row>
    <row r="824" spans="1:27" x14ac:dyDescent="0.2">
      <c r="A824">
        <v>22891</v>
      </c>
      <c r="B824">
        <v>49</v>
      </c>
      <c r="C824">
        <f t="shared" si="156"/>
        <v>49</v>
      </c>
      <c r="D824" t="s">
        <v>23</v>
      </c>
      <c r="E824" t="str">
        <f t="shared" si="157"/>
        <v>Self-Employed</v>
      </c>
      <c r="F824">
        <v>6309.24</v>
      </c>
      <c r="G824">
        <f>ABS(Table1[[#This Row],[Monthly_Income]])</f>
        <v>6309.24</v>
      </c>
      <c r="H824">
        <v>8776.6200000000008</v>
      </c>
      <c r="I824" s="5">
        <f t="shared" si="158"/>
        <v>8776.6200000000008</v>
      </c>
      <c r="J824">
        <v>24</v>
      </c>
      <c r="K824">
        <v>21.6</v>
      </c>
      <c r="L824">
        <v>0</v>
      </c>
      <c r="M824">
        <f t="shared" si="159"/>
        <v>0</v>
      </c>
      <c r="N824">
        <v>11.6</v>
      </c>
      <c r="O824">
        <f t="shared" si="160"/>
        <v>11.6</v>
      </c>
      <c r="P824">
        <v>15</v>
      </c>
      <c r="Q824">
        <f t="shared" si="161"/>
        <v>15</v>
      </c>
      <c r="R824" t="s">
        <v>18</v>
      </c>
      <c r="S824" t="str">
        <f t="shared" si="162"/>
        <v>Non-Performing</v>
      </c>
      <c r="T824" t="s">
        <v>16</v>
      </c>
      <c r="U824" s="3">
        <f t="shared" si="163"/>
        <v>5.7961418490975143E-2</v>
      </c>
      <c r="V824" t="str">
        <f t="shared" si="164"/>
        <v>Healthy</v>
      </c>
      <c r="W824" t="str">
        <f t="shared" si="165"/>
        <v>Good</v>
      </c>
      <c r="X824" s="5" t="str">
        <f t="shared" si="166"/>
        <v>Small</v>
      </c>
      <c r="Y824" s="5" t="str">
        <f t="shared" si="167"/>
        <v>Medium</v>
      </c>
      <c r="Z824" s="5" t="str">
        <f>IF(B824=120,"NULL",IF(AND(V824="High Stress", W824="High Risk", Y824="Low"),"High Risk : Reject", IF(AND(V824="Healthy", W824="Good",Y824&lt;&gt;"Low"), "Low Risk : Approve", "Medium Risk : Review")))</f>
        <v>Low Risk : Approve</v>
      </c>
      <c r="AA824" s="5" t="str">
        <f t="shared" si="168"/>
        <v>Medium</v>
      </c>
    </row>
    <row r="825" spans="1:27" x14ac:dyDescent="0.2">
      <c r="A825">
        <v>22251</v>
      </c>
      <c r="B825">
        <v>27</v>
      </c>
      <c r="C825">
        <f t="shared" si="156"/>
        <v>27</v>
      </c>
      <c r="D825" t="s">
        <v>21</v>
      </c>
      <c r="E825" t="str">
        <f t="shared" si="157"/>
        <v>Salaried</v>
      </c>
      <c r="F825">
        <v>3685.4</v>
      </c>
      <c r="G825">
        <f>ABS(Table1[[#This Row],[Monthly_Income]])</f>
        <v>3685.4</v>
      </c>
      <c r="H825">
        <v>7783.74</v>
      </c>
      <c r="I825" s="5">
        <f t="shared" si="158"/>
        <v>7783.74</v>
      </c>
      <c r="J825">
        <v>12</v>
      </c>
      <c r="K825">
        <v>15.51</v>
      </c>
      <c r="L825">
        <v>2</v>
      </c>
      <c r="M825">
        <f t="shared" si="159"/>
        <v>2</v>
      </c>
      <c r="N825">
        <v>11.5</v>
      </c>
      <c r="O825">
        <f t="shared" si="160"/>
        <v>11.5</v>
      </c>
      <c r="Q825" t="str">
        <f t="shared" si="161"/>
        <v>NULL</v>
      </c>
      <c r="R825" t="s">
        <v>13</v>
      </c>
      <c r="S825" t="str">
        <f t="shared" si="162"/>
        <v>Performing</v>
      </c>
      <c r="T825" t="s">
        <v>16</v>
      </c>
      <c r="U825" s="3">
        <f t="shared" si="163"/>
        <v>0.17600396157811904</v>
      </c>
      <c r="V825" t="str">
        <f t="shared" si="164"/>
        <v>Healthy</v>
      </c>
      <c r="W825" t="str">
        <f t="shared" si="165"/>
        <v>NULL</v>
      </c>
      <c r="X825" s="5" t="str">
        <f t="shared" si="166"/>
        <v>Small</v>
      </c>
      <c r="Y825" s="5" t="str">
        <f t="shared" si="167"/>
        <v>High</v>
      </c>
      <c r="Z825" s="5" t="str">
        <f>IF(B825=120,"NULL",IF(AND(V825="High Stress", W825="High Risk", Y825="Low"),"High Risk : Reject", IF(AND(V825="Healthy", W825="Good",Y825&lt;&gt;"Low"), "Low Risk : Approve", "Medium Risk : Review")))</f>
        <v>Medium Risk : Review</v>
      </c>
      <c r="AA825" s="5" t="str">
        <f t="shared" si="168"/>
        <v>Medium</v>
      </c>
    </row>
    <row r="826" spans="1:27" x14ac:dyDescent="0.2">
      <c r="A826">
        <v>20561</v>
      </c>
      <c r="B826">
        <v>61</v>
      </c>
      <c r="C826">
        <f t="shared" si="156"/>
        <v>61</v>
      </c>
      <c r="D826" t="s">
        <v>27</v>
      </c>
      <c r="E826" t="str">
        <f t="shared" si="157"/>
        <v>Unemployed</v>
      </c>
      <c r="F826">
        <v>7973.86</v>
      </c>
      <c r="G826">
        <f>ABS(Table1[[#This Row],[Monthly_Income]])</f>
        <v>7973.86</v>
      </c>
      <c r="H826">
        <v>17225.71</v>
      </c>
      <c r="I826" s="5">
        <f t="shared" si="158"/>
        <v>17225.71</v>
      </c>
      <c r="J826">
        <v>48</v>
      </c>
      <c r="K826">
        <v>18.239999999999998</v>
      </c>
      <c r="L826">
        <v>3</v>
      </c>
      <c r="M826">
        <f t="shared" si="159"/>
        <v>3</v>
      </c>
      <c r="N826">
        <v>3.5</v>
      </c>
      <c r="O826">
        <f t="shared" si="160"/>
        <v>3.5</v>
      </c>
      <c r="P826">
        <v>15</v>
      </c>
      <c r="Q826">
        <f t="shared" si="161"/>
        <v>15</v>
      </c>
      <c r="R826" t="s">
        <v>13</v>
      </c>
      <c r="S826" t="str">
        <f t="shared" si="162"/>
        <v>Performing</v>
      </c>
      <c r="T826" t="s">
        <v>25</v>
      </c>
      <c r="U826" s="3">
        <f t="shared" si="163"/>
        <v>4.5005675837465585E-2</v>
      </c>
      <c r="V826" t="str">
        <f t="shared" si="164"/>
        <v>Healthy</v>
      </c>
      <c r="W826" t="str">
        <f t="shared" si="165"/>
        <v>Good</v>
      </c>
      <c r="X826" s="5" t="str">
        <f t="shared" si="166"/>
        <v>Medium</v>
      </c>
      <c r="Y826" s="5" t="str">
        <f t="shared" si="167"/>
        <v>Low</v>
      </c>
      <c r="Z826" s="5" t="str">
        <f>IF(B826=120,"NULL",IF(AND(V826="High Stress", W826="High Risk", Y826="Low"),"High Risk : Reject", IF(AND(V826="Healthy", W826="Good",Y826&lt;&gt;"Low"), "Low Risk : Approve", "Medium Risk : Review")))</f>
        <v>Medium Risk : Review</v>
      </c>
      <c r="AA826" s="5" t="str">
        <f t="shared" si="168"/>
        <v>Medium</v>
      </c>
    </row>
    <row r="827" spans="1:27" x14ac:dyDescent="0.2">
      <c r="A827">
        <v>25123</v>
      </c>
      <c r="B827">
        <v>55</v>
      </c>
      <c r="C827">
        <f t="shared" si="156"/>
        <v>55</v>
      </c>
      <c r="D827" t="s">
        <v>17</v>
      </c>
      <c r="E827" t="str">
        <f t="shared" si="157"/>
        <v>Contract</v>
      </c>
      <c r="F827">
        <v>5318.29</v>
      </c>
      <c r="G827">
        <f>ABS(Table1[[#This Row],[Monthly_Income]])</f>
        <v>5318.29</v>
      </c>
      <c r="H827">
        <v>16199.56</v>
      </c>
      <c r="I827" s="5">
        <f t="shared" si="158"/>
        <v>16199.56</v>
      </c>
      <c r="J827">
        <v>12</v>
      </c>
      <c r="K827">
        <v>26.78</v>
      </c>
      <c r="L827">
        <v>0</v>
      </c>
      <c r="M827">
        <f t="shared" si="159"/>
        <v>0</v>
      </c>
      <c r="N827">
        <v>4.5999999999999996</v>
      </c>
      <c r="O827">
        <f t="shared" si="160"/>
        <v>4.5999999999999996</v>
      </c>
      <c r="P827">
        <v>15</v>
      </c>
      <c r="Q827">
        <f t="shared" si="161"/>
        <v>15</v>
      </c>
      <c r="R827" t="s">
        <v>15</v>
      </c>
      <c r="S827" t="str">
        <f t="shared" si="162"/>
        <v xml:space="preserve">Performing </v>
      </c>
      <c r="T827" t="s">
        <v>22</v>
      </c>
      <c r="U827" s="3">
        <f t="shared" si="163"/>
        <v>0.25383409579645588</v>
      </c>
      <c r="V827" t="str">
        <f t="shared" si="164"/>
        <v>Healthy</v>
      </c>
      <c r="W827" t="str">
        <f t="shared" si="165"/>
        <v>Good</v>
      </c>
      <c r="X827" s="5" t="str">
        <f t="shared" si="166"/>
        <v>Medium</v>
      </c>
      <c r="Y827" s="5" t="str">
        <f t="shared" si="167"/>
        <v>Low</v>
      </c>
      <c r="Z827" s="5" t="str">
        <f>IF(B827=120,"NULL",IF(AND(V827="High Stress", W827="High Risk", Y827="Low"),"High Risk : Reject", IF(AND(V827="Healthy", W827="Good",Y827&lt;&gt;"Low"), "Low Risk : Approve", "Medium Risk : Review")))</f>
        <v>Medium Risk : Review</v>
      </c>
      <c r="AA827" s="5" t="str">
        <f t="shared" si="168"/>
        <v>Medium</v>
      </c>
    </row>
    <row r="828" spans="1:27" x14ac:dyDescent="0.2">
      <c r="A828">
        <v>23872</v>
      </c>
      <c r="B828">
        <v>22</v>
      </c>
      <c r="C828">
        <f t="shared" si="156"/>
        <v>22</v>
      </c>
      <c r="D828" t="s">
        <v>17</v>
      </c>
      <c r="E828" t="str">
        <f t="shared" si="157"/>
        <v>Contract</v>
      </c>
      <c r="F828">
        <v>3008.08</v>
      </c>
      <c r="G828">
        <f>ABS(Table1[[#This Row],[Monthly_Income]])</f>
        <v>3008.08</v>
      </c>
      <c r="H828">
        <v>21157.09</v>
      </c>
      <c r="I828" s="5">
        <f t="shared" si="158"/>
        <v>21157.09</v>
      </c>
      <c r="J828">
        <v>24</v>
      </c>
      <c r="K828">
        <v>17.309999999999999</v>
      </c>
      <c r="L828">
        <v>4</v>
      </c>
      <c r="M828">
        <f t="shared" si="159"/>
        <v>4</v>
      </c>
      <c r="N828">
        <v>11.1</v>
      </c>
      <c r="O828">
        <f t="shared" si="160"/>
        <v>11.1</v>
      </c>
      <c r="P828">
        <v>0</v>
      </c>
      <c r="Q828">
        <f t="shared" si="161"/>
        <v>0</v>
      </c>
      <c r="R828" t="s">
        <v>15</v>
      </c>
      <c r="S828" t="str">
        <f t="shared" si="162"/>
        <v xml:space="preserve">Performing </v>
      </c>
      <c r="T828" t="s">
        <v>16</v>
      </c>
      <c r="U828" s="3">
        <f t="shared" si="163"/>
        <v>0.2930591662012535</v>
      </c>
      <c r="V828" t="str">
        <f t="shared" si="164"/>
        <v>Healthy</v>
      </c>
      <c r="W828" t="str">
        <f t="shared" si="165"/>
        <v>Good</v>
      </c>
      <c r="X828" s="5" t="str">
        <f t="shared" si="166"/>
        <v>Medium</v>
      </c>
      <c r="Y828" s="5" t="str">
        <f t="shared" si="167"/>
        <v>Low</v>
      </c>
      <c r="Z828" s="5" t="str">
        <f>IF(B828=120,"NULL",IF(AND(V828="High Stress", W828="High Risk", Y828="Low"),"High Risk : Reject", IF(AND(V828="Healthy", W828="Good",Y828&lt;&gt;"Low"), "Low Risk : Approve", "Medium Risk : Review")))</f>
        <v>Medium Risk : Review</v>
      </c>
      <c r="AA828" s="5" t="str">
        <f t="shared" si="168"/>
        <v>Medium</v>
      </c>
    </row>
    <row r="829" spans="1:27" x14ac:dyDescent="0.2">
      <c r="A829">
        <v>25096</v>
      </c>
      <c r="B829">
        <v>49</v>
      </c>
      <c r="C829">
        <f t="shared" si="156"/>
        <v>49</v>
      </c>
      <c r="D829" t="s">
        <v>23</v>
      </c>
      <c r="E829" t="str">
        <f t="shared" si="157"/>
        <v>Self-Employed</v>
      </c>
      <c r="F829">
        <v>5336.36</v>
      </c>
      <c r="G829">
        <f>ABS(Table1[[#This Row],[Monthly_Income]])</f>
        <v>5336.36</v>
      </c>
      <c r="H829">
        <v>21243.32</v>
      </c>
      <c r="I829" s="5">
        <f t="shared" si="158"/>
        <v>21243.32</v>
      </c>
      <c r="J829">
        <v>36</v>
      </c>
      <c r="K829">
        <v>17.09</v>
      </c>
      <c r="L829">
        <v>4</v>
      </c>
      <c r="M829">
        <f t="shared" si="159"/>
        <v>4</v>
      </c>
      <c r="N829">
        <v>2.8</v>
      </c>
      <c r="O829">
        <f t="shared" si="160"/>
        <v>2.8</v>
      </c>
      <c r="P829">
        <v>30</v>
      </c>
      <c r="Q829">
        <f t="shared" si="161"/>
        <v>30</v>
      </c>
      <c r="R829" t="s">
        <v>13</v>
      </c>
      <c r="S829" t="str">
        <f t="shared" si="162"/>
        <v>Performing</v>
      </c>
      <c r="T829" t="s">
        <v>22</v>
      </c>
      <c r="U829" s="3">
        <f t="shared" si="163"/>
        <v>0.1105795377789771</v>
      </c>
      <c r="V829" t="str">
        <f t="shared" si="164"/>
        <v>Healthy</v>
      </c>
      <c r="W829" t="str">
        <f t="shared" si="165"/>
        <v>At Risk</v>
      </c>
      <c r="X829" s="5" t="str">
        <f t="shared" si="166"/>
        <v>Medium</v>
      </c>
      <c r="Y829" s="5" t="str">
        <f t="shared" si="167"/>
        <v>Medium</v>
      </c>
      <c r="Z829" s="5" t="str">
        <f>IF(B829=120,"NULL",IF(AND(V829="High Stress", W829="High Risk", Y829="Low"),"High Risk : Reject", IF(AND(V829="Healthy", W829="Good",Y829&lt;&gt;"Low"), "Low Risk : Approve", "Medium Risk : Review")))</f>
        <v>Medium Risk : Review</v>
      </c>
      <c r="AA829" s="5" t="str">
        <f t="shared" si="168"/>
        <v>Medium</v>
      </c>
    </row>
    <row r="830" spans="1:27" x14ac:dyDescent="0.2">
      <c r="A830">
        <v>24256</v>
      </c>
      <c r="B830">
        <v>18</v>
      </c>
      <c r="C830">
        <f t="shared" si="156"/>
        <v>18</v>
      </c>
      <c r="D830" t="s">
        <v>26</v>
      </c>
      <c r="E830" t="str">
        <f t="shared" si="157"/>
        <v>Salaried</v>
      </c>
      <c r="F830">
        <v>7181.13</v>
      </c>
      <c r="G830">
        <f>ABS(Table1[[#This Row],[Monthly_Income]])</f>
        <v>7181.13</v>
      </c>
      <c r="H830">
        <v>17490.12</v>
      </c>
      <c r="I830" s="5">
        <f t="shared" si="158"/>
        <v>17490.12</v>
      </c>
      <c r="J830">
        <v>36</v>
      </c>
      <c r="K830">
        <v>23.56</v>
      </c>
      <c r="L830">
        <v>2</v>
      </c>
      <c r="M830">
        <f t="shared" si="159"/>
        <v>2</v>
      </c>
      <c r="N830">
        <v>5.2</v>
      </c>
      <c r="O830">
        <f t="shared" si="160"/>
        <v>5.2</v>
      </c>
      <c r="P830">
        <v>0</v>
      </c>
      <c r="Q830">
        <f t="shared" si="161"/>
        <v>0</v>
      </c>
      <c r="R830" t="s">
        <v>20</v>
      </c>
      <c r="S830" t="str">
        <f t="shared" si="162"/>
        <v>Written Off</v>
      </c>
      <c r="T830" t="s">
        <v>16</v>
      </c>
      <c r="U830" s="3">
        <f t="shared" si="163"/>
        <v>6.7654626314614358E-2</v>
      </c>
      <c r="V830" t="str">
        <f t="shared" si="164"/>
        <v>Healthy</v>
      </c>
      <c r="W830" t="str">
        <f t="shared" si="165"/>
        <v>Good</v>
      </c>
      <c r="X830" s="5" t="str">
        <f t="shared" si="166"/>
        <v>Medium</v>
      </c>
      <c r="Y830" s="5" t="str">
        <f t="shared" si="167"/>
        <v>High</v>
      </c>
      <c r="Z830" s="5" t="str">
        <f>IF(B830=120,"NULL",IF(AND(V830="High Stress", W830="High Risk", Y830="Low"),"High Risk : Reject", IF(AND(V830="Healthy", W830="Good",Y830&lt;&gt;"Low"), "Low Risk : Approve", "Medium Risk : Review")))</f>
        <v>Low Risk : Approve</v>
      </c>
      <c r="AA830" s="5" t="str">
        <f t="shared" si="168"/>
        <v>Medium</v>
      </c>
    </row>
    <row r="831" spans="1:27" x14ac:dyDescent="0.2">
      <c r="A831">
        <v>21552</v>
      </c>
      <c r="B831">
        <v>45</v>
      </c>
      <c r="C831">
        <f t="shared" si="156"/>
        <v>45</v>
      </c>
      <c r="D831" t="s">
        <v>23</v>
      </c>
      <c r="E831" t="str">
        <f t="shared" si="157"/>
        <v>Self-Employed</v>
      </c>
      <c r="F831">
        <v>3580.97</v>
      </c>
      <c r="G831">
        <f>ABS(Table1[[#This Row],[Monthly_Income]])</f>
        <v>3580.97</v>
      </c>
      <c r="H831">
        <v>9869.7199999999993</v>
      </c>
      <c r="I831" s="5">
        <f t="shared" si="158"/>
        <v>9869.7199999999993</v>
      </c>
      <c r="J831">
        <v>12</v>
      </c>
      <c r="K831">
        <v>11.44</v>
      </c>
      <c r="L831">
        <v>1</v>
      </c>
      <c r="M831">
        <f t="shared" si="159"/>
        <v>1</v>
      </c>
      <c r="N831">
        <v>12.4</v>
      </c>
      <c r="O831">
        <f t="shared" si="160"/>
        <v>12.4</v>
      </c>
      <c r="P831">
        <v>0</v>
      </c>
      <c r="Q831">
        <f t="shared" si="161"/>
        <v>0</v>
      </c>
      <c r="R831" t="s">
        <v>18</v>
      </c>
      <c r="S831" t="str">
        <f t="shared" si="162"/>
        <v>Non-Performing</v>
      </c>
      <c r="T831" t="s">
        <v>22</v>
      </c>
      <c r="U831" s="3">
        <f t="shared" si="163"/>
        <v>0.22967985396880361</v>
      </c>
      <c r="V831" t="str">
        <f t="shared" si="164"/>
        <v>Healthy</v>
      </c>
      <c r="W831" t="str">
        <f t="shared" si="165"/>
        <v>Good</v>
      </c>
      <c r="X831" s="5" t="str">
        <f t="shared" si="166"/>
        <v>Small</v>
      </c>
      <c r="Y831" s="5" t="str">
        <f t="shared" si="167"/>
        <v>Medium</v>
      </c>
      <c r="Z831" s="5" t="str">
        <f>IF(B831=120,"NULL",IF(AND(V831="High Stress", W831="High Risk", Y831="Low"),"High Risk : Reject", IF(AND(V831="Healthy", W831="Good",Y831&lt;&gt;"Low"), "Low Risk : Approve", "Medium Risk : Review")))</f>
        <v>Low Risk : Approve</v>
      </c>
      <c r="AA831" s="5" t="str">
        <f t="shared" si="168"/>
        <v>Medium</v>
      </c>
    </row>
    <row r="832" spans="1:27" x14ac:dyDescent="0.2">
      <c r="A832">
        <v>20686</v>
      </c>
      <c r="B832">
        <v>54</v>
      </c>
      <c r="C832">
        <f t="shared" si="156"/>
        <v>54</v>
      </c>
      <c r="D832" t="s">
        <v>23</v>
      </c>
      <c r="E832" t="str">
        <f t="shared" si="157"/>
        <v>Self-Employed</v>
      </c>
      <c r="F832">
        <v>10567.91</v>
      </c>
      <c r="G832">
        <f>ABS(Table1[[#This Row],[Monthly_Income]])</f>
        <v>10567.91</v>
      </c>
      <c r="H832">
        <v>17549.189999999999</v>
      </c>
      <c r="I832" s="5">
        <f t="shared" si="158"/>
        <v>17549.189999999999</v>
      </c>
      <c r="J832">
        <v>48</v>
      </c>
      <c r="K832">
        <v>22.46</v>
      </c>
      <c r="L832">
        <v>4</v>
      </c>
      <c r="M832">
        <f t="shared" si="159"/>
        <v>4</v>
      </c>
      <c r="N832">
        <v>15.5</v>
      </c>
      <c r="O832">
        <f t="shared" si="160"/>
        <v>15.5</v>
      </c>
      <c r="Q832" t="str">
        <f t="shared" si="161"/>
        <v>NULL</v>
      </c>
      <c r="R832" t="s">
        <v>20</v>
      </c>
      <c r="S832" t="str">
        <f t="shared" si="162"/>
        <v>Written Off</v>
      </c>
      <c r="T832" t="s">
        <v>16</v>
      </c>
      <c r="U832" s="3">
        <f t="shared" si="163"/>
        <v>3.4596067245084412E-2</v>
      </c>
      <c r="V832" t="str">
        <f t="shared" si="164"/>
        <v>Healthy</v>
      </c>
      <c r="W832" t="str">
        <f t="shared" si="165"/>
        <v>NULL</v>
      </c>
      <c r="X832" s="5" t="str">
        <f t="shared" si="166"/>
        <v>Medium</v>
      </c>
      <c r="Y832" s="5" t="str">
        <f t="shared" si="167"/>
        <v>Medium</v>
      </c>
      <c r="Z832" s="5" t="str">
        <f>IF(B832=120,"NULL",IF(AND(V832="High Stress", W832="High Risk", Y832="Low"),"High Risk : Reject", IF(AND(V832="Healthy", W832="Good",Y832&lt;&gt;"Low"), "Low Risk : Approve", "Medium Risk : Review")))</f>
        <v>Medium Risk : Review</v>
      </c>
      <c r="AA832" s="5" t="str">
        <f t="shared" si="168"/>
        <v>High</v>
      </c>
    </row>
    <row r="833" spans="1:27" x14ac:dyDescent="0.2">
      <c r="A833">
        <v>22810</v>
      </c>
      <c r="B833">
        <v>64</v>
      </c>
      <c r="C833">
        <f t="shared" si="156"/>
        <v>64</v>
      </c>
      <c r="D833" t="s">
        <v>17</v>
      </c>
      <c r="E833" t="str">
        <f t="shared" si="157"/>
        <v>Contract</v>
      </c>
      <c r="F833">
        <v>5536.76</v>
      </c>
      <c r="G833">
        <f>ABS(Table1[[#This Row],[Monthly_Income]])</f>
        <v>5536.76</v>
      </c>
      <c r="H833">
        <v>22478.41</v>
      </c>
      <c r="I833" s="5">
        <f t="shared" si="158"/>
        <v>22478.41</v>
      </c>
      <c r="J833">
        <v>24</v>
      </c>
      <c r="K833">
        <v>12.69</v>
      </c>
      <c r="L833">
        <v>3</v>
      </c>
      <c r="M833">
        <f t="shared" si="159"/>
        <v>3</v>
      </c>
      <c r="N833">
        <v>8.3000000000000007</v>
      </c>
      <c r="O833">
        <f t="shared" si="160"/>
        <v>8.3000000000000007</v>
      </c>
      <c r="P833">
        <v>0</v>
      </c>
      <c r="Q833">
        <f t="shared" si="161"/>
        <v>0</v>
      </c>
      <c r="R833" t="s">
        <v>15</v>
      </c>
      <c r="S833" t="str">
        <f t="shared" si="162"/>
        <v xml:space="preserve">Performing </v>
      </c>
      <c r="T833" t="s">
        <v>25</v>
      </c>
      <c r="U833" s="3">
        <f t="shared" si="163"/>
        <v>0.16916037839217643</v>
      </c>
      <c r="V833" t="str">
        <f t="shared" si="164"/>
        <v>Healthy</v>
      </c>
      <c r="W833" t="str">
        <f t="shared" si="165"/>
        <v>Good</v>
      </c>
      <c r="X833" s="5" t="str">
        <f t="shared" si="166"/>
        <v>Medium</v>
      </c>
      <c r="Y833" s="5" t="str">
        <f t="shared" si="167"/>
        <v>Low</v>
      </c>
      <c r="Z833" s="5" t="str">
        <f>IF(B833=120,"NULL",IF(AND(V833="High Stress", W833="High Risk", Y833="Low"),"High Risk : Reject", IF(AND(V833="Healthy", W833="Good",Y833&lt;&gt;"Low"), "Low Risk : Approve", "Medium Risk : Review")))</f>
        <v>Medium Risk : Review</v>
      </c>
      <c r="AA833" s="5" t="str">
        <f t="shared" si="168"/>
        <v>Medium</v>
      </c>
    </row>
    <row r="834" spans="1:27" x14ac:dyDescent="0.2">
      <c r="A834">
        <v>24999</v>
      </c>
      <c r="B834">
        <v>43</v>
      </c>
      <c r="C834">
        <f t="shared" ref="C834:C897" si="169">IF(B834=120,"NULL",B834)</f>
        <v>43</v>
      </c>
      <c r="D834" t="s">
        <v>21</v>
      </c>
      <c r="E834" t="str">
        <f t="shared" ref="E834:E897" si="170">TRIM(IF(D834="Self employed","Self-Employed",D834))</f>
        <v>Salaried</v>
      </c>
      <c r="F834">
        <v>7166.38</v>
      </c>
      <c r="G834">
        <f>ABS(Table1[[#This Row],[Monthly_Income]])</f>
        <v>7166.38</v>
      </c>
      <c r="H834">
        <v>32120.07</v>
      </c>
      <c r="I834" s="5">
        <f t="shared" ref="I834:I897" si="171">IF(H834="","NULL",ABS(H834))</f>
        <v>32120.07</v>
      </c>
      <c r="J834">
        <v>6</v>
      </c>
      <c r="K834">
        <v>16.079999999999998</v>
      </c>
      <c r="L834">
        <v>1</v>
      </c>
      <c r="M834">
        <f t="shared" ref="M834:M897" si="172">IF(L834="","NULL",L834)</f>
        <v>1</v>
      </c>
      <c r="N834">
        <v>0.5</v>
      </c>
      <c r="O834">
        <f t="shared" ref="O834:O897" si="173">IF(N834="","NULL",ABS(N834))</f>
        <v>0.5</v>
      </c>
      <c r="P834">
        <v>60</v>
      </c>
      <c r="Q834">
        <f t="shared" ref="Q834:Q897" si="174">IF(P834="","NULL",P834)</f>
        <v>60</v>
      </c>
      <c r="R834" t="s">
        <v>24</v>
      </c>
      <c r="S834" t="str">
        <f t="shared" ref="S834:S897" si="175">IF(R834="Non performing","Non-Performing",R834)</f>
        <v>Non-Performing</v>
      </c>
      <c r="T834" t="s">
        <v>14</v>
      </c>
      <c r="U834" s="3">
        <f t="shared" ref="U834:U897" si="176">IFERROR(I834/(G834*J834),"NULL")</f>
        <v>0.74700825242312019</v>
      </c>
      <c r="V834" t="str">
        <f t="shared" ref="V834:V897" si="177">IF(U834="NULL","NULL",IF(U834&lt;=0.3,"Healthy",IF(U834&lt;=0.45,"Stretched","High Stress")))</f>
        <v>High Stress</v>
      </c>
      <c r="W834" t="str">
        <f t="shared" ref="W834:W897" si="178">IF(Q834="NULL","NULL",IF(Q834&lt;30,"Good",IF(Q834&lt;60,"At Risk","High Risk")))</f>
        <v>High Risk</v>
      </c>
      <c r="X834" s="5" t="str">
        <f t="shared" ref="X834:X897" si="179">IF(I834&lt;10000,"Small",IF(I834&lt;=30000,"Medium","High"))</f>
        <v>High</v>
      </c>
      <c r="Y834" s="5" t="str">
        <f t="shared" ref="Y834:Y897" si="180">IF(E834="Salaried","High",IF(E834="Self-Employed","Medium","Low"))</f>
        <v>High</v>
      </c>
      <c r="Z834" s="5" t="str">
        <f>IF(B834=120,"NULL",IF(AND(V834="High Stress", W834="High Risk", Y834="Low"),"High Risk : Reject", IF(AND(V834="Healthy", W834="Good",Y834&lt;&gt;"Low"), "Low Risk : Approve", "Medium Risk : Review")))</f>
        <v>Medium Risk : Review</v>
      </c>
      <c r="AA834" s="5" t="str">
        <f t="shared" ref="AA834:AA897" si="181">IF(G834="NULL","NULL",IF(G834&gt;8000,"High",IF(G834&gt;2000,"Medium","Low")))</f>
        <v>Medium</v>
      </c>
    </row>
    <row r="835" spans="1:27" x14ac:dyDescent="0.2">
      <c r="A835">
        <v>21530</v>
      </c>
      <c r="B835">
        <v>22</v>
      </c>
      <c r="C835">
        <f t="shared" si="169"/>
        <v>22</v>
      </c>
      <c r="D835" t="s">
        <v>26</v>
      </c>
      <c r="E835" t="str">
        <f t="shared" si="170"/>
        <v>Salaried</v>
      </c>
      <c r="F835">
        <v>1903.63</v>
      </c>
      <c r="G835">
        <f>ABS(Table1[[#This Row],[Monthly_Income]])</f>
        <v>1903.63</v>
      </c>
      <c r="H835">
        <v>13832.48</v>
      </c>
      <c r="I835" s="5">
        <f t="shared" si="171"/>
        <v>13832.48</v>
      </c>
      <c r="J835">
        <v>18</v>
      </c>
      <c r="K835">
        <v>21.34</v>
      </c>
      <c r="L835">
        <v>1</v>
      </c>
      <c r="M835">
        <f t="shared" si="172"/>
        <v>1</v>
      </c>
      <c r="N835">
        <v>10</v>
      </c>
      <c r="O835">
        <f t="shared" si="173"/>
        <v>10</v>
      </c>
      <c r="P835">
        <v>15</v>
      </c>
      <c r="Q835">
        <f t="shared" si="174"/>
        <v>15</v>
      </c>
      <c r="R835" t="s">
        <v>15</v>
      </c>
      <c r="S835" t="str">
        <f t="shared" si="175"/>
        <v xml:space="preserve">Performing </v>
      </c>
      <c r="T835" t="s">
        <v>25</v>
      </c>
      <c r="U835" s="3">
        <f t="shared" si="176"/>
        <v>0.40368722446647248</v>
      </c>
      <c r="V835" t="str">
        <f t="shared" si="177"/>
        <v>Stretched</v>
      </c>
      <c r="W835" t="str">
        <f t="shared" si="178"/>
        <v>Good</v>
      </c>
      <c r="X835" s="5" t="str">
        <f t="shared" si="179"/>
        <v>Medium</v>
      </c>
      <c r="Y835" s="5" t="str">
        <f t="shared" si="180"/>
        <v>High</v>
      </c>
      <c r="Z835" s="5" t="str">
        <f>IF(B835=120,"NULL",IF(AND(V835="High Stress", W835="High Risk", Y835="Low"),"High Risk : Reject", IF(AND(V835="Healthy", W835="Good",Y835&lt;&gt;"Low"), "Low Risk : Approve", "Medium Risk : Review")))</f>
        <v>Medium Risk : Review</v>
      </c>
      <c r="AA835" s="5" t="str">
        <f t="shared" si="181"/>
        <v>Low</v>
      </c>
    </row>
    <row r="836" spans="1:27" x14ac:dyDescent="0.2">
      <c r="A836">
        <v>25717</v>
      </c>
      <c r="B836">
        <v>50</v>
      </c>
      <c r="C836">
        <f t="shared" si="169"/>
        <v>50</v>
      </c>
      <c r="D836" t="s">
        <v>23</v>
      </c>
      <c r="E836" t="str">
        <f t="shared" si="170"/>
        <v>Self-Employed</v>
      </c>
      <c r="F836">
        <v>4442.16</v>
      </c>
      <c r="G836">
        <f>ABS(Table1[[#This Row],[Monthly_Income]])</f>
        <v>4442.16</v>
      </c>
      <c r="H836">
        <v>14635.57</v>
      </c>
      <c r="I836" s="5">
        <f t="shared" si="171"/>
        <v>14635.57</v>
      </c>
      <c r="J836">
        <v>18</v>
      </c>
      <c r="K836">
        <v>19.77</v>
      </c>
      <c r="L836">
        <v>4</v>
      </c>
      <c r="M836">
        <f t="shared" si="172"/>
        <v>4</v>
      </c>
      <c r="N836">
        <v>3.3</v>
      </c>
      <c r="O836">
        <f t="shared" si="173"/>
        <v>3.3</v>
      </c>
      <c r="P836">
        <v>0</v>
      </c>
      <c r="Q836">
        <f t="shared" si="174"/>
        <v>0</v>
      </c>
      <c r="R836" t="s">
        <v>20</v>
      </c>
      <c r="S836" t="str">
        <f t="shared" si="175"/>
        <v>Written Off</v>
      </c>
      <c r="T836" t="s">
        <v>16</v>
      </c>
      <c r="U836" s="3">
        <f t="shared" si="176"/>
        <v>0.18303870689534418</v>
      </c>
      <c r="V836" t="str">
        <f t="shared" si="177"/>
        <v>Healthy</v>
      </c>
      <c r="W836" t="str">
        <f t="shared" si="178"/>
        <v>Good</v>
      </c>
      <c r="X836" s="5" t="str">
        <f t="shared" si="179"/>
        <v>Medium</v>
      </c>
      <c r="Y836" s="5" t="str">
        <f t="shared" si="180"/>
        <v>Medium</v>
      </c>
      <c r="Z836" s="5" t="str">
        <f>IF(B836=120,"NULL",IF(AND(V836="High Stress", W836="High Risk", Y836="Low"),"High Risk : Reject", IF(AND(V836="Healthy", W836="Good",Y836&lt;&gt;"Low"), "Low Risk : Approve", "Medium Risk : Review")))</f>
        <v>Low Risk : Approve</v>
      </c>
      <c r="AA836" s="5" t="str">
        <f t="shared" si="181"/>
        <v>Medium</v>
      </c>
    </row>
    <row r="837" spans="1:27" x14ac:dyDescent="0.2">
      <c r="A837">
        <v>22711</v>
      </c>
      <c r="B837">
        <v>63</v>
      </c>
      <c r="C837">
        <f t="shared" si="169"/>
        <v>63</v>
      </c>
      <c r="D837" t="s">
        <v>27</v>
      </c>
      <c r="E837" t="str">
        <f t="shared" si="170"/>
        <v>Unemployed</v>
      </c>
      <c r="F837">
        <v>962.63</v>
      </c>
      <c r="G837">
        <f>ABS(Table1[[#This Row],[Monthly_Income]])</f>
        <v>962.63</v>
      </c>
      <c r="H837">
        <v>8842.7000000000007</v>
      </c>
      <c r="I837" s="5">
        <f t="shared" si="171"/>
        <v>8842.7000000000007</v>
      </c>
      <c r="J837">
        <v>18</v>
      </c>
      <c r="K837">
        <v>24.31</v>
      </c>
      <c r="L837">
        <v>3</v>
      </c>
      <c r="M837">
        <f t="shared" si="172"/>
        <v>3</v>
      </c>
      <c r="N837">
        <v>5.0999999999999996</v>
      </c>
      <c r="O837">
        <f t="shared" si="173"/>
        <v>5.0999999999999996</v>
      </c>
      <c r="P837">
        <v>120</v>
      </c>
      <c r="Q837">
        <f t="shared" si="174"/>
        <v>120</v>
      </c>
      <c r="R837" t="s">
        <v>13</v>
      </c>
      <c r="S837" t="str">
        <f t="shared" si="175"/>
        <v>Performing</v>
      </c>
      <c r="T837" t="s">
        <v>22</v>
      </c>
      <c r="U837" s="3">
        <f t="shared" si="176"/>
        <v>0.51033222641213249</v>
      </c>
      <c r="V837" t="str">
        <f t="shared" si="177"/>
        <v>High Stress</v>
      </c>
      <c r="W837" t="str">
        <f t="shared" si="178"/>
        <v>High Risk</v>
      </c>
      <c r="X837" s="5" t="str">
        <f t="shared" si="179"/>
        <v>Small</v>
      </c>
      <c r="Y837" s="5" t="str">
        <f t="shared" si="180"/>
        <v>Low</v>
      </c>
      <c r="Z837" s="5" t="str">
        <f>IF(B837=120,"NULL",IF(AND(V837="High Stress", W837="High Risk", Y837="Low"),"High Risk : Reject", IF(AND(V837="Healthy", W837="Good",Y837&lt;&gt;"Low"), "Low Risk : Approve", "Medium Risk : Review")))</f>
        <v>High Risk : Reject</v>
      </c>
      <c r="AA837" s="5" t="str">
        <f t="shared" si="181"/>
        <v>Low</v>
      </c>
    </row>
    <row r="838" spans="1:27" x14ac:dyDescent="0.2">
      <c r="A838">
        <v>22592</v>
      </c>
      <c r="B838">
        <v>27</v>
      </c>
      <c r="C838">
        <f t="shared" si="169"/>
        <v>27</v>
      </c>
      <c r="D838" t="s">
        <v>26</v>
      </c>
      <c r="E838" t="str">
        <f t="shared" si="170"/>
        <v>Salaried</v>
      </c>
      <c r="F838">
        <v>6520.06</v>
      </c>
      <c r="G838">
        <f>ABS(Table1[[#This Row],[Monthly_Income]])</f>
        <v>6520.06</v>
      </c>
      <c r="H838">
        <v>24937.56</v>
      </c>
      <c r="I838" s="5">
        <f t="shared" si="171"/>
        <v>24937.56</v>
      </c>
      <c r="J838">
        <v>18</v>
      </c>
      <c r="K838">
        <v>12.64</v>
      </c>
      <c r="L838">
        <v>4</v>
      </c>
      <c r="M838">
        <f t="shared" si="172"/>
        <v>4</v>
      </c>
      <c r="N838">
        <v>8.6999999999999993</v>
      </c>
      <c r="O838">
        <f t="shared" si="173"/>
        <v>8.6999999999999993</v>
      </c>
      <c r="P838">
        <v>0</v>
      </c>
      <c r="Q838">
        <f t="shared" si="174"/>
        <v>0</v>
      </c>
      <c r="R838" t="s">
        <v>13</v>
      </c>
      <c r="S838" t="str">
        <f t="shared" si="175"/>
        <v>Performing</v>
      </c>
      <c r="T838" t="s">
        <v>25</v>
      </c>
      <c r="U838" s="3">
        <f t="shared" si="176"/>
        <v>0.21248577467078525</v>
      </c>
      <c r="V838" t="str">
        <f t="shared" si="177"/>
        <v>Healthy</v>
      </c>
      <c r="W838" t="str">
        <f t="shared" si="178"/>
        <v>Good</v>
      </c>
      <c r="X838" s="5" t="str">
        <f t="shared" si="179"/>
        <v>Medium</v>
      </c>
      <c r="Y838" s="5" t="str">
        <f t="shared" si="180"/>
        <v>High</v>
      </c>
      <c r="Z838" s="5" t="str">
        <f>IF(B838=120,"NULL",IF(AND(V838="High Stress", W838="High Risk", Y838="Low"),"High Risk : Reject", IF(AND(V838="Healthy", W838="Good",Y838&lt;&gt;"Low"), "Low Risk : Approve", "Medium Risk : Review")))</f>
        <v>Low Risk : Approve</v>
      </c>
      <c r="AA838" s="5" t="str">
        <f t="shared" si="181"/>
        <v>Medium</v>
      </c>
    </row>
    <row r="839" spans="1:27" x14ac:dyDescent="0.2">
      <c r="A839">
        <v>25576</v>
      </c>
      <c r="B839">
        <v>55</v>
      </c>
      <c r="C839">
        <f t="shared" si="169"/>
        <v>55</v>
      </c>
      <c r="D839" t="s">
        <v>12</v>
      </c>
      <c r="E839" t="str">
        <f t="shared" si="170"/>
        <v>Self-Employed</v>
      </c>
      <c r="F839">
        <v>1888.34</v>
      </c>
      <c r="G839">
        <f>ABS(Table1[[#This Row],[Monthly_Income]])</f>
        <v>1888.34</v>
      </c>
      <c r="H839">
        <v>28827.34</v>
      </c>
      <c r="I839" s="5">
        <f t="shared" si="171"/>
        <v>28827.34</v>
      </c>
      <c r="J839">
        <v>12</v>
      </c>
      <c r="K839">
        <v>22.06</v>
      </c>
      <c r="L839">
        <v>1</v>
      </c>
      <c r="M839">
        <f t="shared" si="172"/>
        <v>1</v>
      </c>
      <c r="N839">
        <v>1.9</v>
      </c>
      <c r="O839">
        <f t="shared" si="173"/>
        <v>1.9</v>
      </c>
      <c r="P839">
        <v>0</v>
      </c>
      <c r="Q839">
        <f t="shared" si="174"/>
        <v>0</v>
      </c>
      <c r="R839" t="s">
        <v>13</v>
      </c>
      <c r="S839" t="str">
        <f t="shared" si="175"/>
        <v>Performing</v>
      </c>
      <c r="T839" t="s">
        <v>14</v>
      </c>
      <c r="U839" s="3">
        <f t="shared" si="176"/>
        <v>1.27216408768195</v>
      </c>
      <c r="V839" t="str">
        <f t="shared" si="177"/>
        <v>High Stress</v>
      </c>
      <c r="W839" t="str">
        <f t="shared" si="178"/>
        <v>Good</v>
      </c>
      <c r="X839" s="5" t="str">
        <f t="shared" si="179"/>
        <v>Medium</v>
      </c>
      <c r="Y839" s="5" t="str">
        <f t="shared" si="180"/>
        <v>Medium</v>
      </c>
      <c r="Z839" s="5" t="str">
        <f>IF(B839=120,"NULL",IF(AND(V839="High Stress", W839="High Risk", Y839="Low"),"High Risk : Reject", IF(AND(V839="Healthy", W839="Good",Y839&lt;&gt;"Low"), "Low Risk : Approve", "Medium Risk : Review")))</f>
        <v>Medium Risk : Review</v>
      </c>
      <c r="AA839" s="5" t="str">
        <f t="shared" si="181"/>
        <v>Low</v>
      </c>
    </row>
    <row r="840" spans="1:27" x14ac:dyDescent="0.2">
      <c r="A840">
        <v>23371</v>
      </c>
      <c r="B840">
        <v>55</v>
      </c>
      <c r="C840">
        <f t="shared" si="169"/>
        <v>55</v>
      </c>
      <c r="D840" t="s">
        <v>12</v>
      </c>
      <c r="E840" t="str">
        <f t="shared" si="170"/>
        <v>Self-Employed</v>
      </c>
      <c r="F840">
        <v>7303.21</v>
      </c>
      <c r="G840">
        <f>ABS(Table1[[#This Row],[Monthly_Income]])</f>
        <v>7303.21</v>
      </c>
      <c r="H840">
        <v>14348.48</v>
      </c>
      <c r="I840" s="5">
        <f t="shared" si="171"/>
        <v>14348.48</v>
      </c>
      <c r="J840">
        <v>6</v>
      </c>
      <c r="K840">
        <v>19.239999999999998</v>
      </c>
      <c r="L840">
        <v>4</v>
      </c>
      <c r="M840">
        <f t="shared" si="172"/>
        <v>4</v>
      </c>
      <c r="N840">
        <v>2.2000000000000002</v>
      </c>
      <c r="O840">
        <f t="shared" si="173"/>
        <v>2.2000000000000002</v>
      </c>
      <c r="P840">
        <v>0</v>
      </c>
      <c r="Q840">
        <f t="shared" si="174"/>
        <v>0</v>
      </c>
      <c r="R840" t="s">
        <v>18</v>
      </c>
      <c r="S840" t="str">
        <f t="shared" si="175"/>
        <v>Non-Performing</v>
      </c>
      <c r="T840" t="s">
        <v>14</v>
      </c>
      <c r="U840" s="3">
        <f t="shared" si="176"/>
        <v>0.32744688066389072</v>
      </c>
      <c r="V840" t="str">
        <f t="shared" si="177"/>
        <v>Stretched</v>
      </c>
      <c r="W840" t="str">
        <f t="shared" si="178"/>
        <v>Good</v>
      </c>
      <c r="X840" s="5" t="str">
        <f t="shared" si="179"/>
        <v>Medium</v>
      </c>
      <c r="Y840" s="5" t="str">
        <f t="shared" si="180"/>
        <v>Medium</v>
      </c>
      <c r="Z840" s="5" t="str">
        <f>IF(B840=120,"NULL",IF(AND(V840="High Stress", W840="High Risk", Y840="Low"),"High Risk : Reject", IF(AND(V840="Healthy", W840="Good",Y840&lt;&gt;"Low"), "Low Risk : Approve", "Medium Risk : Review")))</f>
        <v>Medium Risk : Review</v>
      </c>
      <c r="AA840" s="5" t="str">
        <f t="shared" si="181"/>
        <v>Medium</v>
      </c>
    </row>
    <row r="841" spans="1:27" x14ac:dyDescent="0.2">
      <c r="A841">
        <v>21866</v>
      </c>
      <c r="B841">
        <v>59</v>
      </c>
      <c r="C841">
        <f t="shared" si="169"/>
        <v>59</v>
      </c>
      <c r="D841" t="s">
        <v>23</v>
      </c>
      <c r="E841" t="str">
        <f t="shared" si="170"/>
        <v>Self-Employed</v>
      </c>
      <c r="F841">
        <v>2142.1799999999998</v>
      </c>
      <c r="G841">
        <f>ABS(Table1[[#This Row],[Monthly_Income]])</f>
        <v>2142.1799999999998</v>
      </c>
      <c r="H841">
        <v>22920.04</v>
      </c>
      <c r="I841" s="5">
        <f t="shared" si="171"/>
        <v>22920.04</v>
      </c>
      <c r="J841">
        <v>48</v>
      </c>
      <c r="K841">
        <v>19.87</v>
      </c>
      <c r="L841">
        <v>3</v>
      </c>
      <c r="M841">
        <f t="shared" si="172"/>
        <v>3</v>
      </c>
      <c r="N841">
        <v>8.1</v>
      </c>
      <c r="O841">
        <f t="shared" si="173"/>
        <v>8.1</v>
      </c>
      <c r="P841">
        <v>15</v>
      </c>
      <c r="Q841">
        <f t="shared" si="174"/>
        <v>15</v>
      </c>
      <c r="R841" t="s">
        <v>24</v>
      </c>
      <c r="S841" t="str">
        <f t="shared" si="175"/>
        <v>Non-Performing</v>
      </c>
      <c r="T841" t="s">
        <v>25</v>
      </c>
      <c r="U841" s="3">
        <f t="shared" si="176"/>
        <v>0.22290415993676227</v>
      </c>
      <c r="V841" t="str">
        <f t="shared" si="177"/>
        <v>Healthy</v>
      </c>
      <c r="W841" t="str">
        <f t="shared" si="178"/>
        <v>Good</v>
      </c>
      <c r="X841" s="5" t="str">
        <f t="shared" si="179"/>
        <v>Medium</v>
      </c>
      <c r="Y841" s="5" t="str">
        <f t="shared" si="180"/>
        <v>Medium</v>
      </c>
      <c r="Z841" s="5" t="str">
        <f>IF(B841=120,"NULL",IF(AND(V841="High Stress", W841="High Risk", Y841="Low"),"High Risk : Reject", IF(AND(V841="Healthy", W841="Good",Y841&lt;&gt;"Low"), "Low Risk : Approve", "Medium Risk : Review")))</f>
        <v>Low Risk : Approve</v>
      </c>
      <c r="AA841" s="5" t="str">
        <f t="shared" si="181"/>
        <v>Medium</v>
      </c>
    </row>
    <row r="842" spans="1:27" x14ac:dyDescent="0.2">
      <c r="A842">
        <v>25980</v>
      </c>
      <c r="B842">
        <v>51</v>
      </c>
      <c r="C842">
        <f t="shared" si="169"/>
        <v>51</v>
      </c>
      <c r="D842" t="s">
        <v>27</v>
      </c>
      <c r="E842" t="str">
        <f t="shared" si="170"/>
        <v>Unemployed</v>
      </c>
      <c r="F842">
        <v>7496.69</v>
      </c>
      <c r="G842">
        <f>ABS(Table1[[#This Row],[Monthly_Income]])</f>
        <v>7496.69</v>
      </c>
      <c r="H842">
        <v>8935.01</v>
      </c>
      <c r="I842" s="5">
        <f t="shared" si="171"/>
        <v>8935.01</v>
      </c>
      <c r="J842">
        <v>24</v>
      </c>
      <c r="K842">
        <v>22.48</v>
      </c>
      <c r="L842">
        <v>4</v>
      </c>
      <c r="M842">
        <f t="shared" si="172"/>
        <v>4</v>
      </c>
      <c r="N842">
        <v>6.6</v>
      </c>
      <c r="O842">
        <f t="shared" si="173"/>
        <v>6.6</v>
      </c>
      <c r="P842">
        <v>0</v>
      </c>
      <c r="Q842">
        <f t="shared" si="174"/>
        <v>0</v>
      </c>
      <c r="R842" t="s">
        <v>18</v>
      </c>
      <c r="S842" t="str">
        <f t="shared" si="175"/>
        <v>Non-Performing</v>
      </c>
      <c r="T842" t="s">
        <v>16</v>
      </c>
      <c r="U842" s="3">
        <f t="shared" si="176"/>
        <v>4.9660861437959065E-2</v>
      </c>
      <c r="V842" t="str">
        <f t="shared" si="177"/>
        <v>Healthy</v>
      </c>
      <c r="W842" t="str">
        <f t="shared" si="178"/>
        <v>Good</v>
      </c>
      <c r="X842" s="5" t="str">
        <f t="shared" si="179"/>
        <v>Small</v>
      </c>
      <c r="Y842" s="5" t="str">
        <f t="shared" si="180"/>
        <v>Low</v>
      </c>
      <c r="Z842" s="5" t="str">
        <f>IF(B842=120,"NULL",IF(AND(V842="High Stress", W842="High Risk", Y842="Low"),"High Risk : Reject", IF(AND(V842="Healthy", W842="Good",Y842&lt;&gt;"Low"), "Low Risk : Approve", "Medium Risk : Review")))</f>
        <v>Medium Risk : Review</v>
      </c>
      <c r="AA842" s="5" t="str">
        <f t="shared" si="181"/>
        <v>Medium</v>
      </c>
    </row>
    <row r="843" spans="1:27" x14ac:dyDescent="0.2">
      <c r="A843">
        <v>23430</v>
      </c>
      <c r="B843">
        <v>75</v>
      </c>
      <c r="C843">
        <f t="shared" si="169"/>
        <v>75</v>
      </c>
      <c r="D843" t="s">
        <v>17</v>
      </c>
      <c r="E843" t="str">
        <f t="shared" si="170"/>
        <v>Contract</v>
      </c>
      <c r="F843">
        <v>5847.11</v>
      </c>
      <c r="G843">
        <f>ABS(Table1[[#This Row],[Monthly_Income]])</f>
        <v>5847.11</v>
      </c>
      <c r="H843">
        <v>16398.740000000002</v>
      </c>
      <c r="I843" s="5">
        <f t="shared" si="171"/>
        <v>16398.740000000002</v>
      </c>
      <c r="J843">
        <v>18</v>
      </c>
      <c r="K843">
        <v>19.11</v>
      </c>
      <c r="M843" t="str">
        <f t="shared" si="172"/>
        <v>NULL</v>
      </c>
      <c r="N843">
        <v>0</v>
      </c>
      <c r="O843">
        <f t="shared" si="173"/>
        <v>0</v>
      </c>
      <c r="P843">
        <v>120</v>
      </c>
      <c r="Q843">
        <f t="shared" si="174"/>
        <v>120</v>
      </c>
      <c r="R843" t="s">
        <v>24</v>
      </c>
      <c r="S843" t="str">
        <f t="shared" si="175"/>
        <v>Non-Performing</v>
      </c>
      <c r="T843" t="s">
        <v>22</v>
      </c>
      <c r="U843" s="3">
        <f t="shared" si="176"/>
        <v>0.15581049631546376</v>
      </c>
      <c r="V843" t="str">
        <f t="shared" si="177"/>
        <v>Healthy</v>
      </c>
      <c r="W843" t="str">
        <f t="shared" si="178"/>
        <v>High Risk</v>
      </c>
      <c r="X843" s="5" t="str">
        <f t="shared" si="179"/>
        <v>Medium</v>
      </c>
      <c r="Y843" s="5" t="str">
        <f t="shared" si="180"/>
        <v>Low</v>
      </c>
      <c r="Z843" s="5" t="str">
        <f>IF(B843=120,"NULL",IF(AND(V843="High Stress", W843="High Risk", Y843="Low"),"High Risk : Reject", IF(AND(V843="Healthy", W843="Good",Y843&lt;&gt;"Low"), "Low Risk : Approve", "Medium Risk : Review")))</f>
        <v>Medium Risk : Review</v>
      </c>
      <c r="AA843" s="5" t="str">
        <f t="shared" si="181"/>
        <v>Medium</v>
      </c>
    </row>
    <row r="844" spans="1:27" x14ac:dyDescent="0.2">
      <c r="A844">
        <v>23070</v>
      </c>
      <c r="B844">
        <v>46</v>
      </c>
      <c r="C844">
        <f t="shared" si="169"/>
        <v>46</v>
      </c>
      <c r="D844" t="s">
        <v>23</v>
      </c>
      <c r="E844" t="str">
        <f t="shared" si="170"/>
        <v>Self-Employed</v>
      </c>
      <c r="F844">
        <v>7287.43</v>
      </c>
      <c r="G844">
        <f>ABS(Table1[[#This Row],[Monthly_Income]])</f>
        <v>7287.43</v>
      </c>
      <c r="H844">
        <v>-1636.18</v>
      </c>
      <c r="I844" s="5">
        <f t="shared" si="171"/>
        <v>1636.18</v>
      </c>
      <c r="J844">
        <v>24</v>
      </c>
      <c r="K844">
        <v>14.71</v>
      </c>
      <c r="L844">
        <v>1</v>
      </c>
      <c r="M844">
        <f t="shared" si="172"/>
        <v>1</v>
      </c>
      <c r="N844">
        <v>7.4</v>
      </c>
      <c r="O844">
        <f t="shared" si="173"/>
        <v>7.4</v>
      </c>
      <c r="P844">
        <v>90</v>
      </c>
      <c r="Q844">
        <f t="shared" si="174"/>
        <v>90</v>
      </c>
      <c r="R844" t="s">
        <v>13</v>
      </c>
      <c r="S844" t="str">
        <f t="shared" si="175"/>
        <v>Performing</v>
      </c>
      <c r="T844" t="s">
        <v>22</v>
      </c>
      <c r="U844" s="3">
        <f t="shared" si="176"/>
        <v>9.3550355429371755E-3</v>
      </c>
      <c r="V844" t="str">
        <f t="shared" si="177"/>
        <v>Healthy</v>
      </c>
      <c r="W844" t="str">
        <f t="shared" si="178"/>
        <v>High Risk</v>
      </c>
      <c r="X844" s="5" t="str">
        <f t="shared" si="179"/>
        <v>Small</v>
      </c>
      <c r="Y844" s="5" t="str">
        <f t="shared" si="180"/>
        <v>Medium</v>
      </c>
      <c r="Z844" s="5" t="str">
        <f>IF(B844=120,"NULL",IF(AND(V844="High Stress", W844="High Risk", Y844="Low"),"High Risk : Reject", IF(AND(V844="Healthy", W844="Good",Y844&lt;&gt;"Low"), "Low Risk : Approve", "Medium Risk : Review")))</f>
        <v>Medium Risk : Review</v>
      </c>
      <c r="AA844" s="5" t="str">
        <f t="shared" si="181"/>
        <v>Medium</v>
      </c>
    </row>
    <row r="845" spans="1:27" x14ac:dyDescent="0.2">
      <c r="A845">
        <v>22363</v>
      </c>
      <c r="B845">
        <v>44</v>
      </c>
      <c r="C845">
        <f t="shared" si="169"/>
        <v>44</v>
      </c>
      <c r="D845" t="s">
        <v>26</v>
      </c>
      <c r="E845" t="str">
        <f t="shared" si="170"/>
        <v>Salaried</v>
      </c>
      <c r="F845">
        <v>6320.71</v>
      </c>
      <c r="G845">
        <f>ABS(Table1[[#This Row],[Monthly_Income]])</f>
        <v>6320.71</v>
      </c>
      <c r="H845">
        <v>12575.26</v>
      </c>
      <c r="I845" s="5">
        <f t="shared" si="171"/>
        <v>12575.26</v>
      </c>
      <c r="J845">
        <v>6</v>
      </c>
      <c r="K845">
        <v>22.44</v>
      </c>
      <c r="L845">
        <v>1</v>
      </c>
      <c r="M845">
        <f t="shared" si="172"/>
        <v>1</v>
      </c>
      <c r="N845">
        <v>5.7</v>
      </c>
      <c r="O845">
        <f t="shared" si="173"/>
        <v>5.7</v>
      </c>
      <c r="Q845" t="str">
        <f t="shared" si="174"/>
        <v>NULL</v>
      </c>
      <c r="R845" t="s">
        <v>15</v>
      </c>
      <c r="S845" t="str">
        <f t="shared" si="175"/>
        <v xml:space="preserve">Performing </v>
      </c>
      <c r="T845" t="s">
        <v>25</v>
      </c>
      <c r="U845" s="3">
        <f t="shared" si="176"/>
        <v>0.3315888035785009</v>
      </c>
      <c r="V845" t="str">
        <f t="shared" si="177"/>
        <v>Stretched</v>
      </c>
      <c r="W845" t="str">
        <f t="shared" si="178"/>
        <v>NULL</v>
      </c>
      <c r="X845" s="5" t="str">
        <f t="shared" si="179"/>
        <v>Medium</v>
      </c>
      <c r="Y845" s="5" t="str">
        <f t="shared" si="180"/>
        <v>High</v>
      </c>
      <c r="Z845" s="5" t="str">
        <f>IF(B845=120,"NULL",IF(AND(V845="High Stress", W845="High Risk", Y845="Low"),"High Risk : Reject", IF(AND(V845="Healthy", W845="Good",Y845&lt;&gt;"Low"), "Low Risk : Approve", "Medium Risk : Review")))</f>
        <v>Medium Risk : Review</v>
      </c>
      <c r="AA845" s="5" t="str">
        <f t="shared" si="181"/>
        <v>Medium</v>
      </c>
    </row>
    <row r="846" spans="1:27" x14ac:dyDescent="0.2">
      <c r="A846">
        <v>23913</v>
      </c>
      <c r="B846">
        <v>58</v>
      </c>
      <c r="C846">
        <f t="shared" si="169"/>
        <v>58</v>
      </c>
      <c r="D846" t="s">
        <v>27</v>
      </c>
      <c r="E846" t="str">
        <f t="shared" si="170"/>
        <v>Unemployed</v>
      </c>
      <c r="F846">
        <v>-1500</v>
      </c>
      <c r="G846">
        <f>ABS(Table1[[#This Row],[Monthly_Income]])</f>
        <v>1500</v>
      </c>
      <c r="H846">
        <v>24980.09</v>
      </c>
      <c r="I846" s="5">
        <f t="shared" si="171"/>
        <v>24980.09</v>
      </c>
      <c r="J846">
        <v>18</v>
      </c>
      <c r="K846">
        <v>24.99</v>
      </c>
      <c r="L846">
        <v>4</v>
      </c>
      <c r="M846">
        <f t="shared" si="172"/>
        <v>4</v>
      </c>
      <c r="N846">
        <v>6.7</v>
      </c>
      <c r="O846">
        <f t="shared" si="173"/>
        <v>6.7</v>
      </c>
      <c r="P846">
        <v>90</v>
      </c>
      <c r="Q846">
        <f t="shared" si="174"/>
        <v>90</v>
      </c>
      <c r="R846" t="s">
        <v>15</v>
      </c>
      <c r="S846" t="str">
        <f t="shared" si="175"/>
        <v xml:space="preserve">Performing </v>
      </c>
      <c r="T846" t="s">
        <v>16</v>
      </c>
      <c r="U846" s="3">
        <f t="shared" si="176"/>
        <v>0.92518851851851858</v>
      </c>
      <c r="V846" t="str">
        <f t="shared" si="177"/>
        <v>High Stress</v>
      </c>
      <c r="W846" t="str">
        <f t="shared" si="178"/>
        <v>High Risk</v>
      </c>
      <c r="X846" s="5" t="str">
        <f t="shared" si="179"/>
        <v>Medium</v>
      </c>
      <c r="Y846" s="5" t="str">
        <f t="shared" si="180"/>
        <v>Low</v>
      </c>
      <c r="Z846" s="5" t="str">
        <f>IF(B846=120,"NULL",IF(AND(V846="High Stress", W846="High Risk", Y846="Low"),"High Risk : Reject", IF(AND(V846="Healthy", W846="Good",Y846&lt;&gt;"Low"), "Low Risk : Approve", "Medium Risk : Review")))</f>
        <v>High Risk : Reject</v>
      </c>
      <c r="AA846" s="5" t="str">
        <f t="shared" si="181"/>
        <v>Low</v>
      </c>
    </row>
    <row r="847" spans="1:27" x14ac:dyDescent="0.2">
      <c r="A847">
        <v>24519</v>
      </c>
      <c r="B847">
        <v>60</v>
      </c>
      <c r="C847">
        <f t="shared" si="169"/>
        <v>60</v>
      </c>
      <c r="D847" t="s">
        <v>21</v>
      </c>
      <c r="E847" t="str">
        <f t="shared" si="170"/>
        <v>Salaried</v>
      </c>
      <c r="F847">
        <v>7416.62</v>
      </c>
      <c r="G847">
        <f>ABS(Table1[[#This Row],[Monthly_Income]])</f>
        <v>7416.62</v>
      </c>
      <c r="H847">
        <v>22717.45</v>
      </c>
      <c r="I847" s="5">
        <f t="shared" si="171"/>
        <v>22717.45</v>
      </c>
      <c r="J847">
        <v>60</v>
      </c>
      <c r="K847">
        <v>27.96</v>
      </c>
      <c r="L847">
        <v>1</v>
      </c>
      <c r="M847">
        <f t="shared" si="172"/>
        <v>1</v>
      </c>
      <c r="N847">
        <v>5.7</v>
      </c>
      <c r="O847">
        <f t="shared" si="173"/>
        <v>5.7</v>
      </c>
      <c r="Q847" t="str">
        <f t="shared" si="174"/>
        <v>NULL</v>
      </c>
      <c r="R847" t="s">
        <v>24</v>
      </c>
      <c r="S847" t="str">
        <f t="shared" si="175"/>
        <v>Non-Performing</v>
      </c>
      <c r="T847" t="s">
        <v>22</v>
      </c>
      <c r="U847" s="3">
        <f t="shared" si="176"/>
        <v>5.1050770656534468E-2</v>
      </c>
      <c r="V847" t="str">
        <f t="shared" si="177"/>
        <v>Healthy</v>
      </c>
      <c r="W847" t="str">
        <f t="shared" si="178"/>
        <v>NULL</v>
      </c>
      <c r="X847" s="5" t="str">
        <f t="shared" si="179"/>
        <v>Medium</v>
      </c>
      <c r="Y847" s="5" t="str">
        <f t="shared" si="180"/>
        <v>High</v>
      </c>
      <c r="Z847" s="5" t="str">
        <f>IF(B847=120,"NULL",IF(AND(V847="High Stress", W847="High Risk", Y847="Low"),"High Risk : Reject", IF(AND(V847="Healthy", W847="Good",Y847&lt;&gt;"Low"), "Low Risk : Approve", "Medium Risk : Review")))</f>
        <v>Medium Risk : Review</v>
      </c>
      <c r="AA847" s="5" t="str">
        <f t="shared" si="181"/>
        <v>Medium</v>
      </c>
    </row>
    <row r="848" spans="1:27" x14ac:dyDescent="0.2">
      <c r="A848">
        <v>21202</v>
      </c>
      <c r="B848">
        <v>55</v>
      </c>
      <c r="C848">
        <f t="shared" si="169"/>
        <v>55</v>
      </c>
      <c r="D848" t="s">
        <v>26</v>
      </c>
      <c r="E848" t="str">
        <f t="shared" si="170"/>
        <v>Salaried</v>
      </c>
      <c r="F848">
        <v>4583.42</v>
      </c>
      <c r="G848">
        <f>ABS(Table1[[#This Row],[Monthly_Income]])</f>
        <v>4583.42</v>
      </c>
      <c r="H848">
        <v>27497.88</v>
      </c>
      <c r="I848" s="5">
        <f t="shared" si="171"/>
        <v>27497.88</v>
      </c>
      <c r="J848">
        <v>24</v>
      </c>
      <c r="K848">
        <v>17.11</v>
      </c>
      <c r="L848">
        <v>4</v>
      </c>
      <c r="M848">
        <f t="shared" si="172"/>
        <v>4</v>
      </c>
      <c r="N848">
        <v>-2.8</v>
      </c>
      <c r="O848">
        <f t="shared" si="173"/>
        <v>2.8</v>
      </c>
      <c r="P848">
        <v>90</v>
      </c>
      <c r="Q848">
        <f t="shared" si="174"/>
        <v>90</v>
      </c>
      <c r="R848" t="s">
        <v>20</v>
      </c>
      <c r="S848" t="str">
        <f t="shared" si="175"/>
        <v>Written Off</v>
      </c>
      <c r="T848" t="s">
        <v>19</v>
      </c>
      <c r="U848" s="3">
        <f t="shared" si="176"/>
        <v>0.2499760004538096</v>
      </c>
      <c r="V848" t="str">
        <f t="shared" si="177"/>
        <v>Healthy</v>
      </c>
      <c r="W848" t="str">
        <f t="shared" si="178"/>
        <v>High Risk</v>
      </c>
      <c r="X848" s="5" t="str">
        <f t="shared" si="179"/>
        <v>Medium</v>
      </c>
      <c r="Y848" s="5" t="str">
        <f t="shared" si="180"/>
        <v>High</v>
      </c>
      <c r="Z848" s="5" t="str">
        <f>IF(B848=120,"NULL",IF(AND(V848="High Stress", W848="High Risk", Y848="Low"),"High Risk : Reject", IF(AND(V848="Healthy", W848="Good",Y848&lt;&gt;"Low"), "Low Risk : Approve", "Medium Risk : Review")))</f>
        <v>Medium Risk : Review</v>
      </c>
      <c r="AA848" s="5" t="str">
        <f t="shared" si="181"/>
        <v>Medium</v>
      </c>
    </row>
    <row r="849" spans="1:27" x14ac:dyDescent="0.2">
      <c r="A849">
        <v>24896</v>
      </c>
      <c r="B849">
        <v>29</v>
      </c>
      <c r="C849">
        <f t="shared" si="169"/>
        <v>29</v>
      </c>
      <c r="D849" t="s">
        <v>27</v>
      </c>
      <c r="E849" t="str">
        <f t="shared" si="170"/>
        <v>Unemployed</v>
      </c>
      <c r="F849">
        <v>2375.12</v>
      </c>
      <c r="G849">
        <f>ABS(Table1[[#This Row],[Monthly_Income]])</f>
        <v>2375.12</v>
      </c>
      <c r="H849">
        <v>27347.93</v>
      </c>
      <c r="I849" s="5">
        <f t="shared" si="171"/>
        <v>27347.93</v>
      </c>
      <c r="J849">
        <v>60</v>
      </c>
      <c r="K849">
        <v>20.81</v>
      </c>
      <c r="L849">
        <v>3</v>
      </c>
      <c r="M849">
        <f t="shared" si="172"/>
        <v>3</v>
      </c>
      <c r="N849">
        <v>9.5</v>
      </c>
      <c r="O849">
        <f t="shared" si="173"/>
        <v>9.5</v>
      </c>
      <c r="P849">
        <v>90</v>
      </c>
      <c r="Q849">
        <f t="shared" si="174"/>
        <v>90</v>
      </c>
      <c r="R849" t="s">
        <v>13</v>
      </c>
      <c r="S849" t="str">
        <f t="shared" si="175"/>
        <v>Performing</v>
      </c>
      <c r="T849" t="s">
        <v>19</v>
      </c>
      <c r="U849" s="3">
        <f t="shared" si="176"/>
        <v>0.19190560196256753</v>
      </c>
      <c r="V849" t="str">
        <f t="shared" si="177"/>
        <v>Healthy</v>
      </c>
      <c r="W849" t="str">
        <f t="shared" si="178"/>
        <v>High Risk</v>
      </c>
      <c r="X849" s="5" t="str">
        <f t="shared" si="179"/>
        <v>Medium</v>
      </c>
      <c r="Y849" s="5" t="str">
        <f t="shared" si="180"/>
        <v>Low</v>
      </c>
      <c r="Z849" s="5" t="str">
        <f>IF(B849=120,"NULL",IF(AND(V849="High Stress", W849="High Risk", Y849="Low"),"High Risk : Reject", IF(AND(V849="Healthy", W849="Good",Y849&lt;&gt;"Low"), "Low Risk : Approve", "Medium Risk : Review")))</f>
        <v>Medium Risk : Review</v>
      </c>
      <c r="AA849" s="5" t="str">
        <f t="shared" si="181"/>
        <v>Medium</v>
      </c>
    </row>
    <row r="850" spans="1:27" x14ac:dyDescent="0.2">
      <c r="A850">
        <v>20792</v>
      </c>
      <c r="B850">
        <v>29</v>
      </c>
      <c r="C850">
        <f t="shared" si="169"/>
        <v>29</v>
      </c>
      <c r="D850" t="s">
        <v>12</v>
      </c>
      <c r="E850" t="str">
        <f t="shared" si="170"/>
        <v>Self-Employed</v>
      </c>
      <c r="F850">
        <v>9762.86</v>
      </c>
      <c r="G850">
        <f>ABS(Table1[[#This Row],[Monthly_Income]])</f>
        <v>9762.86</v>
      </c>
      <c r="H850">
        <v>17759</v>
      </c>
      <c r="I850" s="5">
        <f t="shared" si="171"/>
        <v>17759</v>
      </c>
      <c r="J850">
        <v>24</v>
      </c>
      <c r="K850">
        <v>10.3</v>
      </c>
      <c r="L850">
        <v>4</v>
      </c>
      <c r="M850">
        <f t="shared" si="172"/>
        <v>4</v>
      </c>
      <c r="N850">
        <v>7.8</v>
      </c>
      <c r="O850">
        <f t="shared" si="173"/>
        <v>7.8</v>
      </c>
      <c r="P850">
        <v>90</v>
      </c>
      <c r="Q850">
        <f t="shared" si="174"/>
        <v>90</v>
      </c>
      <c r="R850" t="s">
        <v>20</v>
      </c>
      <c r="S850" t="str">
        <f t="shared" si="175"/>
        <v>Written Off</v>
      </c>
      <c r="T850" t="s">
        <v>19</v>
      </c>
      <c r="U850" s="3">
        <f t="shared" si="176"/>
        <v>7.5793193114859103E-2</v>
      </c>
      <c r="V850" t="str">
        <f t="shared" si="177"/>
        <v>Healthy</v>
      </c>
      <c r="W850" t="str">
        <f t="shared" si="178"/>
        <v>High Risk</v>
      </c>
      <c r="X850" s="5" t="str">
        <f t="shared" si="179"/>
        <v>Medium</v>
      </c>
      <c r="Y850" s="5" t="str">
        <f t="shared" si="180"/>
        <v>Medium</v>
      </c>
      <c r="Z850" s="5" t="str">
        <f>IF(B850=120,"NULL",IF(AND(V850="High Stress", W850="High Risk", Y850="Low"),"High Risk : Reject", IF(AND(V850="Healthy", W850="Good",Y850&lt;&gt;"Low"), "Low Risk : Approve", "Medium Risk : Review")))</f>
        <v>Medium Risk : Review</v>
      </c>
      <c r="AA850" s="5" t="str">
        <f t="shared" si="181"/>
        <v>High</v>
      </c>
    </row>
    <row r="851" spans="1:27" x14ac:dyDescent="0.2">
      <c r="A851">
        <v>23681</v>
      </c>
      <c r="B851">
        <v>56</v>
      </c>
      <c r="C851">
        <f t="shared" si="169"/>
        <v>56</v>
      </c>
      <c r="D851" t="s">
        <v>12</v>
      </c>
      <c r="E851" t="str">
        <f t="shared" si="170"/>
        <v>Self-Employed</v>
      </c>
      <c r="F851">
        <v>4682.17</v>
      </c>
      <c r="G851">
        <f>ABS(Table1[[#This Row],[Monthly_Income]])</f>
        <v>4682.17</v>
      </c>
      <c r="H851">
        <v>32497.23</v>
      </c>
      <c r="I851" s="5">
        <f t="shared" si="171"/>
        <v>32497.23</v>
      </c>
      <c r="J851">
        <v>36</v>
      </c>
      <c r="K851">
        <v>14.54</v>
      </c>
      <c r="L851">
        <v>0</v>
      </c>
      <c r="M851">
        <f t="shared" si="172"/>
        <v>0</v>
      </c>
      <c r="N851">
        <v>7.9</v>
      </c>
      <c r="O851">
        <f t="shared" si="173"/>
        <v>7.9</v>
      </c>
      <c r="P851">
        <v>0</v>
      </c>
      <c r="Q851">
        <f t="shared" si="174"/>
        <v>0</v>
      </c>
      <c r="R851" t="s">
        <v>24</v>
      </c>
      <c r="S851" t="str">
        <f t="shared" si="175"/>
        <v>Non-Performing</v>
      </c>
      <c r="T851" t="s">
        <v>25</v>
      </c>
      <c r="U851" s="3">
        <f t="shared" si="176"/>
        <v>0.19279539899946677</v>
      </c>
      <c r="V851" t="str">
        <f t="shared" si="177"/>
        <v>Healthy</v>
      </c>
      <c r="W851" t="str">
        <f t="shared" si="178"/>
        <v>Good</v>
      </c>
      <c r="X851" s="5" t="str">
        <f t="shared" si="179"/>
        <v>High</v>
      </c>
      <c r="Y851" s="5" t="str">
        <f t="shared" si="180"/>
        <v>Medium</v>
      </c>
      <c r="Z851" s="5" t="str">
        <f>IF(B851=120,"NULL",IF(AND(V851="High Stress", W851="High Risk", Y851="Low"),"High Risk : Reject", IF(AND(V851="Healthy", W851="Good",Y851&lt;&gt;"Low"), "Low Risk : Approve", "Medium Risk : Review")))</f>
        <v>Low Risk : Approve</v>
      </c>
      <c r="AA851" s="5" t="str">
        <f t="shared" si="181"/>
        <v>Medium</v>
      </c>
    </row>
    <row r="852" spans="1:27" x14ac:dyDescent="0.2">
      <c r="A852">
        <v>25128</v>
      </c>
      <c r="B852">
        <v>32</v>
      </c>
      <c r="C852">
        <f t="shared" si="169"/>
        <v>32</v>
      </c>
      <c r="D852" t="s">
        <v>23</v>
      </c>
      <c r="E852" t="str">
        <f t="shared" si="170"/>
        <v>Self-Employed</v>
      </c>
      <c r="F852">
        <v>7582.2</v>
      </c>
      <c r="G852">
        <f>ABS(Table1[[#This Row],[Monthly_Income]])</f>
        <v>7582.2</v>
      </c>
      <c r="H852">
        <v>10695.34</v>
      </c>
      <c r="I852" s="5">
        <f t="shared" si="171"/>
        <v>10695.34</v>
      </c>
      <c r="J852">
        <v>12</v>
      </c>
      <c r="K852">
        <v>10.78</v>
      </c>
      <c r="M852" t="str">
        <f t="shared" si="172"/>
        <v>NULL</v>
      </c>
      <c r="N852">
        <v>14.5</v>
      </c>
      <c r="O852">
        <f t="shared" si="173"/>
        <v>14.5</v>
      </c>
      <c r="P852">
        <v>0</v>
      </c>
      <c r="Q852">
        <f t="shared" si="174"/>
        <v>0</v>
      </c>
      <c r="R852" t="s">
        <v>15</v>
      </c>
      <c r="S852" t="str">
        <f t="shared" si="175"/>
        <v xml:space="preserve">Performing </v>
      </c>
      <c r="T852" t="s">
        <v>14</v>
      </c>
      <c r="U852" s="3">
        <f t="shared" si="176"/>
        <v>0.11754877652044703</v>
      </c>
      <c r="V852" t="str">
        <f t="shared" si="177"/>
        <v>Healthy</v>
      </c>
      <c r="W852" t="str">
        <f t="shared" si="178"/>
        <v>Good</v>
      </c>
      <c r="X852" s="5" t="str">
        <f t="shared" si="179"/>
        <v>Medium</v>
      </c>
      <c r="Y852" s="5" t="str">
        <f t="shared" si="180"/>
        <v>Medium</v>
      </c>
      <c r="Z852" s="5" t="str">
        <f>IF(B852=120,"NULL",IF(AND(V852="High Stress", W852="High Risk", Y852="Low"),"High Risk : Reject", IF(AND(V852="Healthy", W852="Good",Y852&lt;&gt;"Low"), "Low Risk : Approve", "Medium Risk : Review")))</f>
        <v>Low Risk : Approve</v>
      </c>
      <c r="AA852" s="5" t="str">
        <f t="shared" si="181"/>
        <v>Medium</v>
      </c>
    </row>
    <row r="853" spans="1:27" x14ac:dyDescent="0.2">
      <c r="A853">
        <v>21281</v>
      </c>
      <c r="B853">
        <v>64</v>
      </c>
      <c r="C853">
        <f t="shared" si="169"/>
        <v>64</v>
      </c>
      <c r="D853" t="s">
        <v>26</v>
      </c>
      <c r="E853" t="str">
        <f t="shared" si="170"/>
        <v>Salaried</v>
      </c>
      <c r="F853">
        <v>6428.58</v>
      </c>
      <c r="G853">
        <f>ABS(Table1[[#This Row],[Monthly_Income]])</f>
        <v>6428.58</v>
      </c>
      <c r="H853">
        <v>8744.9699999999993</v>
      </c>
      <c r="I853" s="5">
        <f t="shared" si="171"/>
        <v>8744.9699999999993</v>
      </c>
      <c r="J853">
        <v>36</v>
      </c>
      <c r="K853">
        <v>20.149999999999999</v>
      </c>
      <c r="L853">
        <v>2</v>
      </c>
      <c r="M853">
        <f t="shared" si="172"/>
        <v>2</v>
      </c>
      <c r="N853">
        <v>6.2</v>
      </c>
      <c r="O853">
        <f t="shared" si="173"/>
        <v>6.2</v>
      </c>
      <c r="Q853" t="str">
        <f t="shared" si="174"/>
        <v>NULL</v>
      </c>
      <c r="R853" t="s">
        <v>15</v>
      </c>
      <c r="S853" t="str">
        <f t="shared" si="175"/>
        <v xml:space="preserve">Performing </v>
      </c>
      <c r="T853" t="s">
        <v>14</v>
      </c>
      <c r="U853" s="3">
        <f t="shared" si="176"/>
        <v>3.778685702493137E-2</v>
      </c>
      <c r="V853" t="str">
        <f t="shared" si="177"/>
        <v>Healthy</v>
      </c>
      <c r="W853" t="str">
        <f t="shared" si="178"/>
        <v>NULL</v>
      </c>
      <c r="X853" s="5" t="str">
        <f t="shared" si="179"/>
        <v>Small</v>
      </c>
      <c r="Y853" s="5" t="str">
        <f t="shared" si="180"/>
        <v>High</v>
      </c>
      <c r="Z853" s="5" t="str">
        <f>IF(B853=120,"NULL",IF(AND(V853="High Stress", W853="High Risk", Y853="Low"),"High Risk : Reject", IF(AND(V853="Healthy", W853="Good",Y853&lt;&gt;"Low"), "Low Risk : Approve", "Medium Risk : Review")))</f>
        <v>Medium Risk : Review</v>
      </c>
      <c r="AA853" s="5" t="str">
        <f t="shared" si="181"/>
        <v>Medium</v>
      </c>
    </row>
    <row r="854" spans="1:27" x14ac:dyDescent="0.2">
      <c r="A854">
        <v>25436</v>
      </c>
      <c r="B854">
        <v>31</v>
      </c>
      <c r="C854">
        <f t="shared" si="169"/>
        <v>31</v>
      </c>
      <c r="D854" t="s">
        <v>17</v>
      </c>
      <c r="E854" t="str">
        <f t="shared" si="170"/>
        <v>Contract</v>
      </c>
      <c r="F854">
        <v>5037.1899999999996</v>
      </c>
      <c r="G854">
        <f>ABS(Table1[[#This Row],[Monthly_Income]])</f>
        <v>5037.1899999999996</v>
      </c>
      <c r="H854">
        <v>26453.81</v>
      </c>
      <c r="I854" s="5">
        <f t="shared" si="171"/>
        <v>26453.81</v>
      </c>
      <c r="J854">
        <v>6</v>
      </c>
      <c r="K854">
        <v>18.89</v>
      </c>
      <c r="L854">
        <v>4</v>
      </c>
      <c r="M854">
        <f t="shared" si="172"/>
        <v>4</v>
      </c>
      <c r="N854">
        <v>10.5</v>
      </c>
      <c r="O854">
        <f t="shared" si="173"/>
        <v>10.5</v>
      </c>
      <c r="P854">
        <v>30</v>
      </c>
      <c r="Q854">
        <f t="shared" si="174"/>
        <v>30</v>
      </c>
      <c r="R854" t="s">
        <v>24</v>
      </c>
      <c r="S854" t="str">
        <f t="shared" si="175"/>
        <v>Non-Performing</v>
      </c>
      <c r="T854" t="s">
        <v>25</v>
      </c>
      <c r="U854" s="3">
        <f t="shared" si="176"/>
        <v>0.87528330941126575</v>
      </c>
      <c r="V854" t="str">
        <f t="shared" si="177"/>
        <v>High Stress</v>
      </c>
      <c r="W854" t="str">
        <f t="shared" si="178"/>
        <v>At Risk</v>
      </c>
      <c r="X854" s="5" t="str">
        <f t="shared" si="179"/>
        <v>Medium</v>
      </c>
      <c r="Y854" s="5" t="str">
        <f t="shared" si="180"/>
        <v>Low</v>
      </c>
      <c r="Z854" s="5" t="str">
        <f>IF(B854=120,"NULL",IF(AND(V854="High Stress", W854="High Risk", Y854="Low"),"High Risk : Reject", IF(AND(V854="Healthy", W854="Good",Y854&lt;&gt;"Low"), "Low Risk : Approve", "Medium Risk : Review")))</f>
        <v>Medium Risk : Review</v>
      </c>
      <c r="AA854" s="5" t="str">
        <f t="shared" si="181"/>
        <v>Medium</v>
      </c>
    </row>
    <row r="855" spans="1:27" x14ac:dyDescent="0.2">
      <c r="A855">
        <v>25279</v>
      </c>
      <c r="B855">
        <v>42</v>
      </c>
      <c r="C855">
        <f t="shared" si="169"/>
        <v>42</v>
      </c>
      <c r="D855" t="s">
        <v>23</v>
      </c>
      <c r="E855" t="str">
        <f t="shared" si="170"/>
        <v>Self-Employed</v>
      </c>
      <c r="F855">
        <v>5743.87</v>
      </c>
      <c r="G855">
        <f>ABS(Table1[[#This Row],[Monthly_Income]])</f>
        <v>5743.87</v>
      </c>
      <c r="H855">
        <v>17518.240000000002</v>
      </c>
      <c r="I855" s="5">
        <f t="shared" si="171"/>
        <v>17518.240000000002</v>
      </c>
      <c r="J855">
        <v>18</v>
      </c>
      <c r="K855">
        <v>25.23</v>
      </c>
      <c r="L855">
        <v>4</v>
      </c>
      <c r="M855">
        <f t="shared" si="172"/>
        <v>4</v>
      </c>
      <c r="N855">
        <v>7.5</v>
      </c>
      <c r="O855">
        <f t="shared" si="173"/>
        <v>7.5</v>
      </c>
      <c r="P855">
        <v>60</v>
      </c>
      <c r="Q855">
        <f t="shared" si="174"/>
        <v>60</v>
      </c>
      <c r="R855" t="s">
        <v>15</v>
      </c>
      <c r="S855" t="str">
        <f t="shared" si="175"/>
        <v xml:space="preserve">Performing </v>
      </c>
      <c r="T855" t="s">
        <v>25</v>
      </c>
      <c r="U855" s="3">
        <f t="shared" si="176"/>
        <v>0.16943899418955435</v>
      </c>
      <c r="V855" t="str">
        <f t="shared" si="177"/>
        <v>Healthy</v>
      </c>
      <c r="W855" t="str">
        <f t="shared" si="178"/>
        <v>High Risk</v>
      </c>
      <c r="X855" s="5" t="str">
        <f t="shared" si="179"/>
        <v>Medium</v>
      </c>
      <c r="Y855" s="5" t="str">
        <f t="shared" si="180"/>
        <v>Medium</v>
      </c>
      <c r="Z855" s="5" t="str">
        <f>IF(B855=120,"NULL",IF(AND(V855="High Stress", W855="High Risk", Y855="Low"),"High Risk : Reject", IF(AND(V855="Healthy", W855="Good",Y855&lt;&gt;"Low"), "Low Risk : Approve", "Medium Risk : Review")))</f>
        <v>Medium Risk : Review</v>
      </c>
      <c r="AA855" s="5" t="str">
        <f t="shared" si="181"/>
        <v>Medium</v>
      </c>
    </row>
    <row r="856" spans="1:27" x14ac:dyDescent="0.2">
      <c r="A856">
        <v>20484</v>
      </c>
      <c r="B856">
        <v>46</v>
      </c>
      <c r="C856">
        <f t="shared" si="169"/>
        <v>46</v>
      </c>
      <c r="D856" t="s">
        <v>23</v>
      </c>
      <c r="E856" t="str">
        <f t="shared" si="170"/>
        <v>Self-Employed</v>
      </c>
      <c r="F856">
        <v>5449.85</v>
      </c>
      <c r="G856">
        <f>ABS(Table1[[#This Row],[Monthly_Income]])</f>
        <v>5449.85</v>
      </c>
      <c r="H856">
        <v>21592.77</v>
      </c>
      <c r="I856" s="5">
        <f t="shared" si="171"/>
        <v>21592.77</v>
      </c>
      <c r="J856">
        <v>36</v>
      </c>
      <c r="K856">
        <v>16.190000000000001</v>
      </c>
      <c r="L856">
        <v>0</v>
      </c>
      <c r="M856">
        <f t="shared" si="172"/>
        <v>0</v>
      </c>
      <c r="N856">
        <v>9</v>
      </c>
      <c r="O856">
        <f t="shared" si="173"/>
        <v>9</v>
      </c>
      <c r="P856">
        <v>60</v>
      </c>
      <c r="Q856">
        <f t="shared" si="174"/>
        <v>60</v>
      </c>
      <c r="R856" t="s">
        <v>15</v>
      </c>
      <c r="S856" t="str">
        <f t="shared" si="175"/>
        <v xml:space="preserve">Performing </v>
      </c>
      <c r="T856" t="s">
        <v>14</v>
      </c>
      <c r="U856" s="3">
        <f t="shared" si="176"/>
        <v>0.11005792208348242</v>
      </c>
      <c r="V856" t="str">
        <f t="shared" si="177"/>
        <v>Healthy</v>
      </c>
      <c r="W856" t="str">
        <f t="shared" si="178"/>
        <v>High Risk</v>
      </c>
      <c r="X856" s="5" t="str">
        <f t="shared" si="179"/>
        <v>Medium</v>
      </c>
      <c r="Y856" s="5" t="str">
        <f t="shared" si="180"/>
        <v>Medium</v>
      </c>
      <c r="Z856" s="5" t="str">
        <f>IF(B856=120,"NULL",IF(AND(V856="High Stress", W856="High Risk", Y856="Low"),"High Risk : Reject", IF(AND(V856="Healthy", W856="Good",Y856&lt;&gt;"Low"), "Low Risk : Approve", "Medium Risk : Review")))</f>
        <v>Medium Risk : Review</v>
      </c>
      <c r="AA856" s="5" t="str">
        <f t="shared" si="181"/>
        <v>Medium</v>
      </c>
    </row>
    <row r="857" spans="1:27" x14ac:dyDescent="0.2">
      <c r="A857">
        <v>22299</v>
      </c>
      <c r="B857">
        <v>61</v>
      </c>
      <c r="C857">
        <f t="shared" si="169"/>
        <v>61</v>
      </c>
      <c r="D857" t="s">
        <v>26</v>
      </c>
      <c r="E857" t="str">
        <f t="shared" si="170"/>
        <v>Salaried</v>
      </c>
      <c r="F857">
        <v>5853.39</v>
      </c>
      <c r="G857">
        <f>ABS(Table1[[#This Row],[Monthly_Income]])</f>
        <v>5853.39</v>
      </c>
      <c r="H857">
        <v>20914.48</v>
      </c>
      <c r="I857" s="5">
        <f t="shared" si="171"/>
        <v>20914.48</v>
      </c>
      <c r="J857">
        <v>18</v>
      </c>
      <c r="K857">
        <v>19.600000000000001</v>
      </c>
      <c r="L857">
        <v>4</v>
      </c>
      <c r="M857">
        <f t="shared" si="172"/>
        <v>4</v>
      </c>
      <c r="N857">
        <v>8.9</v>
      </c>
      <c r="O857">
        <f t="shared" si="173"/>
        <v>8.9</v>
      </c>
      <c r="P857">
        <v>0</v>
      </c>
      <c r="Q857">
        <f t="shared" si="174"/>
        <v>0</v>
      </c>
      <c r="R857" t="s">
        <v>24</v>
      </c>
      <c r="S857" t="str">
        <f t="shared" si="175"/>
        <v>Non-Performing</v>
      </c>
      <c r="T857" t="s">
        <v>19</v>
      </c>
      <c r="U857" s="3">
        <f t="shared" si="176"/>
        <v>0.1985030137331624</v>
      </c>
      <c r="V857" t="str">
        <f t="shared" si="177"/>
        <v>Healthy</v>
      </c>
      <c r="W857" t="str">
        <f t="shared" si="178"/>
        <v>Good</v>
      </c>
      <c r="X857" s="5" t="str">
        <f t="shared" si="179"/>
        <v>Medium</v>
      </c>
      <c r="Y857" s="5" t="str">
        <f t="shared" si="180"/>
        <v>High</v>
      </c>
      <c r="Z857" s="5" t="str">
        <f>IF(B857=120,"NULL",IF(AND(V857="High Stress", W857="High Risk", Y857="Low"),"High Risk : Reject", IF(AND(V857="Healthy", W857="Good",Y857&lt;&gt;"Low"), "Low Risk : Approve", "Medium Risk : Review")))</f>
        <v>Low Risk : Approve</v>
      </c>
      <c r="AA857" s="5" t="str">
        <f t="shared" si="181"/>
        <v>Medium</v>
      </c>
    </row>
    <row r="858" spans="1:27" x14ac:dyDescent="0.2">
      <c r="A858">
        <v>25041</v>
      </c>
      <c r="B858">
        <v>75</v>
      </c>
      <c r="C858">
        <f t="shared" si="169"/>
        <v>75</v>
      </c>
      <c r="D858" t="s">
        <v>12</v>
      </c>
      <c r="E858" t="str">
        <f t="shared" si="170"/>
        <v>Self-Employed</v>
      </c>
      <c r="F858">
        <v>3538.3</v>
      </c>
      <c r="G858">
        <f>ABS(Table1[[#This Row],[Monthly_Income]])</f>
        <v>3538.3</v>
      </c>
      <c r="H858">
        <v>12625.1</v>
      </c>
      <c r="I858" s="5">
        <f t="shared" si="171"/>
        <v>12625.1</v>
      </c>
      <c r="J858">
        <v>24</v>
      </c>
      <c r="K858">
        <v>18.059999999999999</v>
      </c>
      <c r="L858">
        <v>4</v>
      </c>
      <c r="M858">
        <f t="shared" si="172"/>
        <v>4</v>
      </c>
      <c r="N858">
        <v>4.2</v>
      </c>
      <c r="O858">
        <f t="shared" si="173"/>
        <v>4.2</v>
      </c>
      <c r="P858">
        <v>15</v>
      </c>
      <c r="Q858">
        <f t="shared" si="174"/>
        <v>15</v>
      </c>
      <c r="R858" t="s">
        <v>13</v>
      </c>
      <c r="S858" t="str">
        <f t="shared" si="175"/>
        <v>Performing</v>
      </c>
      <c r="T858" t="s">
        <v>16</v>
      </c>
      <c r="U858" s="3">
        <f t="shared" si="176"/>
        <v>0.14867191400766844</v>
      </c>
      <c r="V858" t="str">
        <f t="shared" si="177"/>
        <v>Healthy</v>
      </c>
      <c r="W858" t="str">
        <f t="shared" si="178"/>
        <v>Good</v>
      </c>
      <c r="X858" s="5" t="str">
        <f t="shared" si="179"/>
        <v>Medium</v>
      </c>
      <c r="Y858" s="5" t="str">
        <f t="shared" si="180"/>
        <v>Medium</v>
      </c>
      <c r="Z858" s="5" t="str">
        <f>IF(B858=120,"NULL",IF(AND(V858="High Stress", W858="High Risk", Y858="Low"),"High Risk : Reject", IF(AND(V858="Healthy", W858="Good",Y858&lt;&gt;"Low"), "Low Risk : Approve", "Medium Risk : Review")))</f>
        <v>Low Risk : Approve</v>
      </c>
      <c r="AA858" s="5" t="str">
        <f t="shared" si="181"/>
        <v>Medium</v>
      </c>
    </row>
    <row r="859" spans="1:27" x14ac:dyDescent="0.2">
      <c r="A859">
        <v>24501</v>
      </c>
      <c r="B859">
        <v>30</v>
      </c>
      <c r="C859">
        <f t="shared" si="169"/>
        <v>30</v>
      </c>
      <c r="D859" t="s">
        <v>26</v>
      </c>
      <c r="E859" t="str">
        <f t="shared" si="170"/>
        <v>Salaried</v>
      </c>
      <c r="F859">
        <v>3528.79</v>
      </c>
      <c r="G859">
        <f>ABS(Table1[[#This Row],[Monthly_Income]])</f>
        <v>3528.79</v>
      </c>
      <c r="H859">
        <v>23671.27</v>
      </c>
      <c r="I859" s="5">
        <f t="shared" si="171"/>
        <v>23671.27</v>
      </c>
      <c r="J859">
        <v>12</v>
      </c>
      <c r="K859">
        <v>23.08</v>
      </c>
      <c r="M859" t="str">
        <f t="shared" si="172"/>
        <v>NULL</v>
      </c>
      <c r="N859">
        <v>12.3</v>
      </c>
      <c r="O859">
        <f t="shared" si="173"/>
        <v>12.3</v>
      </c>
      <c r="Q859" t="str">
        <f t="shared" si="174"/>
        <v>NULL</v>
      </c>
      <c r="R859" t="s">
        <v>24</v>
      </c>
      <c r="S859" t="str">
        <f t="shared" si="175"/>
        <v>Non-Performing</v>
      </c>
      <c r="T859" t="s">
        <v>19</v>
      </c>
      <c r="U859" s="3">
        <f t="shared" si="176"/>
        <v>0.55900346388799949</v>
      </c>
      <c r="V859" t="str">
        <f t="shared" si="177"/>
        <v>High Stress</v>
      </c>
      <c r="W859" t="str">
        <f t="shared" si="178"/>
        <v>NULL</v>
      </c>
      <c r="X859" s="5" t="str">
        <f t="shared" si="179"/>
        <v>Medium</v>
      </c>
      <c r="Y859" s="5" t="str">
        <f t="shared" si="180"/>
        <v>High</v>
      </c>
      <c r="Z859" s="5" t="str">
        <f>IF(B859=120,"NULL",IF(AND(V859="High Stress", W859="High Risk", Y859="Low"),"High Risk : Reject", IF(AND(V859="Healthy", W859="Good",Y859&lt;&gt;"Low"), "Low Risk : Approve", "Medium Risk : Review")))</f>
        <v>Medium Risk : Review</v>
      </c>
      <c r="AA859" s="5" t="str">
        <f t="shared" si="181"/>
        <v>Medium</v>
      </c>
    </row>
    <row r="860" spans="1:27" x14ac:dyDescent="0.2">
      <c r="A860">
        <v>22241</v>
      </c>
      <c r="B860">
        <v>53</v>
      </c>
      <c r="C860">
        <f t="shared" si="169"/>
        <v>53</v>
      </c>
      <c r="D860" t="s">
        <v>17</v>
      </c>
      <c r="E860" t="str">
        <f t="shared" si="170"/>
        <v>Contract</v>
      </c>
      <c r="F860">
        <v>1571.47</v>
      </c>
      <c r="G860">
        <f>ABS(Table1[[#This Row],[Monthly_Income]])</f>
        <v>1571.47</v>
      </c>
      <c r="H860">
        <v>8871.58</v>
      </c>
      <c r="I860" s="5">
        <f t="shared" si="171"/>
        <v>8871.58</v>
      </c>
      <c r="J860">
        <v>18</v>
      </c>
      <c r="K860">
        <v>14.39</v>
      </c>
      <c r="M860" t="str">
        <f t="shared" si="172"/>
        <v>NULL</v>
      </c>
      <c r="N860">
        <v>7.7</v>
      </c>
      <c r="O860">
        <f t="shared" si="173"/>
        <v>7.7</v>
      </c>
      <c r="P860">
        <v>0</v>
      </c>
      <c r="Q860">
        <f t="shared" si="174"/>
        <v>0</v>
      </c>
      <c r="R860" t="s">
        <v>15</v>
      </c>
      <c r="S860" t="str">
        <f t="shared" si="175"/>
        <v xml:space="preserve">Performing </v>
      </c>
      <c r="T860" t="s">
        <v>22</v>
      </c>
      <c r="U860" s="3">
        <f t="shared" si="176"/>
        <v>0.31363344865352538</v>
      </c>
      <c r="V860" t="str">
        <f t="shared" si="177"/>
        <v>Stretched</v>
      </c>
      <c r="W860" t="str">
        <f t="shared" si="178"/>
        <v>Good</v>
      </c>
      <c r="X860" s="5" t="str">
        <f t="shared" si="179"/>
        <v>Small</v>
      </c>
      <c r="Y860" s="5" t="str">
        <f t="shared" si="180"/>
        <v>Low</v>
      </c>
      <c r="Z860" s="5" t="str">
        <f>IF(B860=120,"NULL",IF(AND(V860="High Stress", W860="High Risk", Y860="Low"),"High Risk : Reject", IF(AND(V860="Healthy", W860="Good",Y860&lt;&gt;"Low"), "Low Risk : Approve", "Medium Risk : Review")))</f>
        <v>Medium Risk : Review</v>
      </c>
      <c r="AA860" s="5" t="str">
        <f t="shared" si="181"/>
        <v>Low</v>
      </c>
    </row>
    <row r="861" spans="1:27" x14ac:dyDescent="0.2">
      <c r="A861">
        <v>22876</v>
      </c>
      <c r="B861">
        <v>32</v>
      </c>
      <c r="C861">
        <f t="shared" si="169"/>
        <v>32</v>
      </c>
      <c r="D861" t="s">
        <v>26</v>
      </c>
      <c r="E861" t="str">
        <f t="shared" si="170"/>
        <v>Salaried</v>
      </c>
      <c r="F861">
        <v>6577.19</v>
      </c>
      <c r="G861">
        <f>ABS(Table1[[#This Row],[Monthly_Income]])</f>
        <v>6577.19</v>
      </c>
      <c r="H861">
        <v>9557.49</v>
      </c>
      <c r="I861" s="5">
        <f t="shared" si="171"/>
        <v>9557.49</v>
      </c>
      <c r="J861">
        <v>48</v>
      </c>
      <c r="K861">
        <v>55</v>
      </c>
      <c r="L861">
        <v>2</v>
      </c>
      <c r="M861">
        <f t="shared" si="172"/>
        <v>2</v>
      </c>
      <c r="N861">
        <v>8.1</v>
      </c>
      <c r="O861">
        <f t="shared" si="173"/>
        <v>8.1</v>
      </c>
      <c r="P861">
        <v>60</v>
      </c>
      <c r="Q861">
        <f t="shared" si="174"/>
        <v>60</v>
      </c>
      <c r="R861" t="s">
        <v>13</v>
      </c>
      <c r="S861" t="str">
        <f t="shared" si="175"/>
        <v>Performing</v>
      </c>
      <c r="T861" t="s">
        <v>22</v>
      </c>
      <c r="U861" s="3">
        <f t="shared" si="176"/>
        <v>3.0273471649747079E-2</v>
      </c>
      <c r="V861" t="str">
        <f t="shared" si="177"/>
        <v>Healthy</v>
      </c>
      <c r="W861" t="str">
        <f t="shared" si="178"/>
        <v>High Risk</v>
      </c>
      <c r="X861" s="5" t="str">
        <f t="shared" si="179"/>
        <v>Small</v>
      </c>
      <c r="Y861" s="5" t="str">
        <f t="shared" si="180"/>
        <v>High</v>
      </c>
      <c r="Z861" s="5" t="str">
        <f>IF(B861=120,"NULL",IF(AND(V861="High Stress", W861="High Risk", Y861="Low"),"High Risk : Reject", IF(AND(V861="Healthy", W861="Good",Y861&lt;&gt;"Low"), "Low Risk : Approve", "Medium Risk : Review")))</f>
        <v>Medium Risk : Review</v>
      </c>
      <c r="AA861" s="5" t="str">
        <f t="shared" si="181"/>
        <v>Medium</v>
      </c>
    </row>
    <row r="862" spans="1:27" x14ac:dyDescent="0.2">
      <c r="A862">
        <v>21769</v>
      </c>
      <c r="B862">
        <v>63</v>
      </c>
      <c r="C862">
        <f t="shared" si="169"/>
        <v>63</v>
      </c>
      <c r="D862" t="s">
        <v>23</v>
      </c>
      <c r="E862" t="str">
        <f t="shared" si="170"/>
        <v>Self-Employed</v>
      </c>
      <c r="F862">
        <v>-1500</v>
      </c>
      <c r="G862">
        <f>ABS(Table1[[#This Row],[Monthly_Income]])</f>
        <v>1500</v>
      </c>
      <c r="H862">
        <v>21730.67</v>
      </c>
      <c r="I862" s="5">
        <f t="shared" si="171"/>
        <v>21730.67</v>
      </c>
      <c r="J862">
        <v>60</v>
      </c>
      <c r="K862">
        <v>26.14</v>
      </c>
      <c r="L862">
        <v>2</v>
      </c>
      <c r="M862">
        <f t="shared" si="172"/>
        <v>2</v>
      </c>
      <c r="N862">
        <v>7.8</v>
      </c>
      <c r="O862">
        <f t="shared" si="173"/>
        <v>7.8</v>
      </c>
      <c r="P862">
        <v>60</v>
      </c>
      <c r="Q862">
        <f t="shared" si="174"/>
        <v>60</v>
      </c>
      <c r="R862" t="s">
        <v>24</v>
      </c>
      <c r="S862" t="str">
        <f t="shared" si="175"/>
        <v>Non-Performing</v>
      </c>
      <c r="T862" t="s">
        <v>19</v>
      </c>
      <c r="U862" s="3">
        <f t="shared" si="176"/>
        <v>0.24145188888888888</v>
      </c>
      <c r="V862" t="str">
        <f t="shared" si="177"/>
        <v>Healthy</v>
      </c>
      <c r="W862" t="str">
        <f t="shared" si="178"/>
        <v>High Risk</v>
      </c>
      <c r="X862" s="5" t="str">
        <f t="shared" si="179"/>
        <v>Medium</v>
      </c>
      <c r="Y862" s="5" t="str">
        <f t="shared" si="180"/>
        <v>Medium</v>
      </c>
      <c r="Z862" s="5" t="str">
        <f>IF(B862=120,"NULL",IF(AND(V862="High Stress", W862="High Risk", Y862="Low"),"High Risk : Reject", IF(AND(V862="Healthy", W862="Good",Y862&lt;&gt;"Low"), "Low Risk : Approve", "Medium Risk : Review")))</f>
        <v>Medium Risk : Review</v>
      </c>
      <c r="AA862" s="5" t="str">
        <f t="shared" si="181"/>
        <v>Low</v>
      </c>
    </row>
    <row r="863" spans="1:27" x14ac:dyDescent="0.2">
      <c r="A863">
        <v>23575</v>
      </c>
      <c r="B863">
        <v>59</v>
      </c>
      <c r="C863">
        <f t="shared" si="169"/>
        <v>59</v>
      </c>
      <c r="D863" t="s">
        <v>27</v>
      </c>
      <c r="E863" t="str">
        <f t="shared" si="170"/>
        <v>Unemployed</v>
      </c>
      <c r="F863">
        <v>1691.67</v>
      </c>
      <c r="G863">
        <f>ABS(Table1[[#This Row],[Monthly_Income]])</f>
        <v>1691.67</v>
      </c>
      <c r="H863">
        <v>22409.040000000001</v>
      </c>
      <c r="I863" s="5">
        <f t="shared" si="171"/>
        <v>22409.040000000001</v>
      </c>
      <c r="J863">
        <v>6</v>
      </c>
      <c r="K863">
        <v>19.079999999999998</v>
      </c>
      <c r="L863">
        <v>0</v>
      </c>
      <c r="M863">
        <f t="shared" si="172"/>
        <v>0</v>
      </c>
      <c r="N863">
        <v>6.4</v>
      </c>
      <c r="O863">
        <f t="shared" si="173"/>
        <v>6.4</v>
      </c>
      <c r="Q863" t="str">
        <f t="shared" si="174"/>
        <v>NULL</v>
      </c>
      <c r="R863" t="s">
        <v>24</v>
      </c>
      <c r="S863" t="str">
        <f t="shared" si="175"/>
        <v>Non-Performing</v>
      </c>
      <c r="T863" t="s">
        <v>16</v>
      </c>
      <c r="U863" s="3">
        <f t="shared" si="176"/>
        <v>2.2077828418072083</v>
      </c>
      <c r="V863" t="str">
        <f t="shared" si="177"/>
        <v>High Stress</v>
      </c>
      <c r="W863" t="str">
        <f t="shared" si="178"/>
        <v>NULL</v>
      </c>
      <c r="X863" s="5" t="str">
        <f t="shared" si="179"/>
        <v>Medium</v>
      </c>
      <c r="Y863" s="5" t="str">
        <f t="shared" si="180"/>
        <v>Low</v>
      </c>
      <c r="Z863" s="5" t="str">
        <f>IF(B863=120,"NULL",IF(AND(V863="High Stress", W863="High Risk", Y863="Low"),"High Risk : Reject", IF(AND(V863="Healthy", W863="Good",Y863&lt;&gt;"Low"), "Low Risk : Approve", "Medium Risk : Review")))</f>
        <v>Medium Risk : Review</v>
      </c>
      <c r="AA863" s="5" t="str">
        <f t="shared" si="181"/>
        <v>Low</v>
      </c>
    </row>
    <row r="864" spans="1:27" x14ac:dyDescent="0.2">
      <c r="A864">
        <v>23843</v>
      </c>
      <c r="B864">
        <v>53</v>
      </c>
      <c r="C864">
        <f t="shared" si="169"/>
        <v>53</v>
      </c>
      <c r="D864" t="s">
        <v>23</v>
      </c>
      <c r="E864" t="str">
        <f t="shared" si="170"/>
        <v>Self-Employed</v>
      </c>
      <c r="F864">
        <v>-71.03</v>
      </c>
      <c r="G864">
        <f>ABS(Table1[[#This Row],[Monthly_Income]])</f>
        <v>71.03</v>
      </c>
      <c r="H864">
        <v>3756.11</v>
      </c>
      <c r="I864" s="5">
        <f t="shared" si="171"/>
        <v>3756.11</v>
      </c>
      <c r="J864">
        <v>24</v>
      </c>
      <c r="K864">
        <v>12.93</v>
      </c>
      <c r="L864">
        <v>1</v>
      </c>
      <c r="M864">
        <f t="shared" si="172"/>
        <v>1</v>
      </c>
      <c r="N864">
        <v>10.199999999999999</v>
      </c>
      <c r="O864">
        <f t="shared" si="173"/>
        <v>10.199999999999999</v>
      </c>
      <c r="P864">
        <v>30</v>
      </c>
      <c r="Q864">
        <f t="shared" si="174"/>
        <v>30</v>
      </c>
      <c r="R864" t="s">
        <v>20</v>
      </c>
      <c r="S864" t="str">
        <f t="shared" si="175"/>
        <v>Written Off</v>
      </c>
      <c r="T864" t="s">
        <v>16</v>
      </c>
      <c r="U864" s="3">
        <f t="shared" si="176"/>
        <v>2.2033589093810129</v>
      </c>
      <c r="V864" t="str">
        <f t="shared" si="177"/>
        <v>High Stress</v>
      </c>
      <c r="W864" t="str">
        <f t="shared" si="178"/>
        <v>At Risk</v>
      </c>
      <c r="X864" s="5" t="str">
        <f t="shared" si="179"/>
        <v>Small</v>
      </c>
      <c r="Y864" s="5" t="str">
        <f t="shared" si="180"/>
        <v>Medium</v>
      </c>
      <c r="Z864" s="5" t="str">
        <f>IF(B864=120,"NULL",IF(AND(V864="High Stress", W864="High Risk", Y864="Low"),"High Risk : Reject", IF(AND(V864="Healthy", W864="Good",Y864&lt;&gt;"Low"), "Low Risk : Approve", "Medium Risk : Review")))</f>
        <v>Medium Risk : Review</v>
      </c>
      <c r="AA864" s="5" t="str">
        <f t="shared" si="181"/>
        <v>Low</v>
      </c>
    </row>
    <row r="865" spans="1:27" x14ac:dyDescent="0.2">
      <c r="A865">
        <v>24295</v>
      </c>
      <c r="B865">
        <v>61</v>
      </c>
      <c r="C865">
        <f t="shared" si="169"/>
        <v>61</v>
      </c>
      <c r="D865" t="s">
        <v>23</v>
      </c>
      <c r="E865" t="str">
        <f t="shared" si="170"/>
        <v>Self-Employed</v>
      </c>
      <c r="F865">
        <v>608.54999999999995</v>
      </c>
      <c r="G865">
        <f>ABS(Table1[[#This Row],[Monthly_Income]])</f>
        <v>608.54999999999995</v>
      </c>
      <c r="H865">
        <v>23950.23</v>
      </c>
      <c r="I865" s="5">
        <f t="shared" si="171"/>
        <v>23950.23</v>
      </c>
      <c r="J865">
        <v>60</v>
      </c>
      <c r="K865">
        <v>13.24</v>
      </c>
      <c r="L865">
        <v>4</v>
      </c>
      <c r="M865">
        <f t="shared" si="172"/>
        <v>4</v>
      </c>
      <c r="N865">
        <v>3.4</v>
      </c>
      <c r="O865">
        <f t="shared" si="173"/>
        <v>3.4</v>
      </c>
      <c r="P865">
        <v>0</v>
      </c>
      <c r="Q865">
        <f t="shared" si="174"/>
        <v>0</v>
      </c>
      <c r="R865" t="s">
        <v>18</v>
      </c>
      <c r="S865" t="str">
        <f t="shared" si="175"/>
        <v>Non-Performing</v>
      </c>
      <c r="T865" t="s">
        <v>25</v>
      </c>
      <c r="U865" s="3">
        <f t="shared" si="176"/>
        <v>0.65593706351162595</v>
      </c>
      <c r="V865" t="str">
        <f t="shared" si="177"/>
        <v>High Stress</v>
      </c>
      <c r="W865" t="str">
        <f t="shared" si="178"/>
        <v>Good</v>
      </c>
      <c r="X865" s="5" t="str">
        <f t="shared" si="179"/>
        <v>Medium</v>
      </c>
      <c r="Y865" s="5" t="str">
        <f t="shared" si="180"/>
        <v>Medium</v>
      </c>
      <c r="Z865" s="5" t="str">
        <f>IF(B865=120,"NULL",IF(AND(V865="High Stress", W865="High Risk", Y865="Low"),"High Risk : Reject", IF(AND(V865="Healthy", W865="Good",Y865&lt;&gt;"Low"), "Low Risk : Approve", "Medium Risk : Review")))</f>
        <v>Medium Risk : Review</v>
      </c>
      <c r="AA865" s="5" t="str">
        <f t="shared" si="181"/>
        <v>Low</v>
      </c>
    </row>
    <row r="866" spans="1:27" x14ac:dyDescent="0.2">
      <c r="A866">
        <v>22211</v>
      </c>
      <c r="B866">
        <v>31</v>
      </c>
      <c r="C866">
        <f t="shared" si="169"/>
        <v>31</v>
      </c>
      <c r="D866" t="s">
        <v>21</v>
      </c>
      <c r="E866" t="str">
        <f t="shared" si="170"/>
        <v>Salaried</v>
      </c>
      <c r="F866">
        <v>3173.04</v>
      </c>
      <c r="G866">
        <f>ABS(Table1[[#This Row],[Monthly_Income]])</f>
        <v>3173.04</v>
      </c>
      <c r="H866">
        <v>15305.11</v>
      </c>
      <c r="I866" s="5">
        <f t="shared" si="171"/>
        <v>15305.11</v>
      </c>
      <c r="J866">
        <v>12</v>
      </c>
      <c r="K866">
        <v>13.47</v>
      </c>
      <c r="L866">
        <v>0</v>
      </c>
      <c r="M866">
        <f t="shared" si="172"/>
        <v>0</v>
      </c>
      <c r="N866">
        <v>13.1</v>
      </c>
      <c r="O866">
        <f t="shared" si="173"/>
        <v>13.1</v>
      </c>
      <c r="P866">
        <v>15</v>
      </c>
      <c r="Q866">
        <f t="shared" si="174"/>
        <v>15</v>
      </c>
      <c r="R866" t="s">
        <v>24</v>
      </c>
      <c r="S866" t="str">
        <f t="shared" si="175"/>
        <v>Non-Performing</v>
      </c>
      <c r="T866" t="s">
        <v>14</v>
      </c>
      <c r="U866" s="3">
        <f t="shared" si="176"/>
        <v>0.40195706115691371</v>
      </c>
      <c r="V866" t="str">
        <f t="shared" si="177"/>
        <v>Stretched</v>
      </c>
      <c r="W866" t="str">
        <f t="shared" si="178"/>
        <v>Good</v>
      </c>
      <c r="X866" s="5" t="str">
        <f t="shared" si="179"/>
        <v>Medium</v>
      </c>
      <c r="Y866" s="5" t="str">
        <f t="shared" si="180"/>
        <v>High</v>
      </c>
      <c r="Z866" s="5" t="str">
        <f>IF(B866=120,"NULL",IF(AND(V866="High Stress", W866="High Risk", Y866="Low"),"High Risk : Reject", IF(AND(V866="Healthy", W866="Good",Y866&lt;&gt;"Low"), "Low Risk : Approve", "Medium Risk : Review")))</f>
        <v>Medium Risk : Review</v>
      </c>
      <c r="AA866" s="5" t="str">
        <f t="shared" si="181"/>
        <v>Medium</v>
      </c>
    </row>
    <row r="867" spans="1:27" x14ac:dyDescent="0.2">
      <c r="A867">
        <v>21905</v>
      </c>
      <c r="B867">
        <v>52</v>
      </c>
      <c r="C867">
        <f t="shared" si="169"/>
        <v>52</v>
      </c>
      <c r="D867" t="s">
        <v>17</v>
      </c>
      <c r="E867" t="str">
        <f t="shared" si="170"/>
        <v>Contract</v>
      </c>
      <c r="F867">
        <v>2499.85</v>
      </c>
      <c r="G867">
        <f>ABS(Table1[[#This Row],[Monthly_Income]])</f>
        <v>2499.85</v>
      </c>
      <c r="H867">
        <v>522.58000000000004</v>
      </c>
      <c r="I867" s="5">
        <f t="shared" si="171"/>
        <v>522.58000000000004</v>
      </c>
      <c r="J867">
        <v>36</v>
      </c>
      <c r="K867">
        <v>21.79</v>
      </c>
      <c r="M867" t="str">
        <f t="shared" si="172"/>
        <v>NULL</v>
      </c>
      <c r="N867">
        <v>11.8</v>
      </c>
      <c r="O867">
        <f t="shared" si="173"/>
        <v>11.8</v>
      </c>
      <c r="P867">
        <v>30</v>
      </c>
      <c r="Q867">
        <f t="shared" si="174"/>
        <v>30</v>
      </c>
      <c r="R867" t="s">
        <v>18</v>
      </c>
      <c r="S867" t="str">
        <f t="shared" si="175"/>
        <v>Non-Performing</v>
      </c>
      <c r="T867" t="s">
        <v>19</v>
      </c>
      <c r="U867" s="3">
        <f t="shared" si="176"/>
        <v>5.8067928520155665E-3</v>
      </c>
      <c r="V867" t="str">
        <f t="shared" si="177"/>
        <v>Healthy</v>
      </c>
      <c r="W867" t="str">
        <f t="shared" si="178"/>
        <v>At Risk</v>
      </c>
      <c r="X867" s="5" t="str">
        <f t="shared" si="179"/>
        <v>Small</v>
      </c>
      <c r="Y867" s="5" t="str">
        <f t="shared" si="180"/>
        <v>Low</v>
      </c>
      <c r="Z867" s="5" t="str">
        <f>IF(B867=120,"NULL",IF(AND(V867="High Stress", W867="High Risk", Y867="Low"),"High Risk : Reject", IF(AND(V867="Healthy", W867="Good",Y867&lt;&gt;"Low"), "Low Risk : Approve", "Medium Risk : Review")))</f>
        <v>Medium Risk : Review</v>
      </c>
      <c r="AA867" s="5" t="str">
        <f t="shared" si="181"/>
        <v>Medium</v>
      </c>
    </row>
    <row r="868" spans="1:27" x14ac:dyDescent="0.2">
      <c r="A868">
        <v>25810</v>
      </c>
      <c r="B868">
        <v>30</v>
      </c>
      <c r="C868">
        <f t="shared" si="169"/>
        <v>30</v>
      </c>
      <c r="D868" t="s">
        <v>27</v>
      </c>
      <c r="E868" t="str">
        <f t="shared" si="170"/>
        <v>Unemployed</v>
      </c>
      <c r="F868">
        <v>4341.95</v>
      </c>
      <c r="G868">
        <f>ABS(Table1[[#This Row],[Monthly_Income]])</f>
        <v>4341.95</v>
      </c>
      <c r="H868">
        <v>17915.11</v>
      </c>
      <c r="I868" s="5">
        <f t="shared" si="171"/>
        <v>17915.11</v>
      </c>
      <c r="J868">
        <v>36</v>
      </c>
      <c r="K868">
        <v>25.57</v>
      </c>
      <c r="L868">
        <v>3</v>
      </c>
      <c r="M868">
        <f t="shared" si="172"/>
        <v>3</v>
      </c>
      <c r="N868">
        <v>10.6</v>
      </c>
      <c r="O868">
        <f t="shared" si="173"/>
        <v>10.6</v>
      </c>
      <c r="P868">
        <v>0</v>
      </c>
      <c r="Q868">
        <f t="shared" si="174"/>
        <v>0</v>
      </c>
      <c r="R868" t="s">
        <v>13</v>
      </c>
      <c r="S868" t="str">
        <f t="shared" si="175"/>
        <v>Performing</v>
      </c>
      <c r="T868" t="s">
        <v>16</v>
      </c>
      <c r="U868" s="3">
        <f t="shared" si="176"/>
        <v>0.11461254607824699</v>
      </c>
      <c r="V868" t="str">
        <f t="shared" si="177"/>
        <v>Healthy</v>
      </c>
      <c r="W868" t="str">
        <f t="shared" si="178"/>
        <v>Good</v>
      </c>
      <c r="X868" s="5" t="str">
        <f t="shared" si="179"/>
        <v>Medium</v>
      </c>
      <c r="Y868" s="5" t="str">
        <f t="shared" si="180"/>
        <v>Low</v>
      </c>
      <c r="Z868" s="5" t="str">
        <f>IF(B868=120,"NULL",IF(AND(V868="High Stress", W868="High Risk", Y868="Low"),"High Risk : Reject", IF(AND(V868="Healthy", W868="Good",Y868&lt;&gt;"Low"), "Low Risk : Approve", "Medium Risk : Review")))</f>
        <v>Medium Risk : Review</v>
      </c>
      <c r="AA868" s="5" t="str">
        <f t="shared" si="181"/>
        <v>Medium</v>
      </c>
    </row>
    <row r="869" spans="1:27" x14ac:dyDescent="0.2">
      <c r="A869">
        <v>22638</v>
      </c>
      <c r="B869">
        <v>31</v>
      </c>
      <c r="C869">
        <f t="shared" si="169"/>
        <v>31</v>
      </c>
      <c r="D869" t="s">
        <v>12</v>
      </c>
      <c r="E869" t="str">
        <f t="shared" si="170"/>
        <v>Self-Employed</v>
      </c>
      <c r="F869">
        <v>1209.6300000000001</v>
      </c>
      <c r="G869">
        <f>ABS(Table1[[#This Row],[Monthly_Income]])</f>
        <v>1209.6300000000001</v>
      </c>
      <c r="H869">
        <v>15342.34</v>
      </c>
      <c r="I869" s="5">
        <f t="shared" si="171"/>
        <v>15342.34</v>
      </c>
      <c r="J869">
        <v>6</v>
      </c>
      <c r="K869">
        <v>29.19</v>
      </c>
      <c r="L869">
        <v>4</v>
      </c>
      <c r="M869">
        <f t="shared" si="172"/>
        <v>4</v>
      </c>
      <c r="N869">
        <v>6.4</v>
      </c>
      <c r="O869">
        <f t="shared" si="173"/>
        <v>6.4</v>
      </c>
      <c r="P869">
        <v>15</v>
      </c>
      <c r="Q869">
        <f t="shared" si="174"/>
        <v>15</v>
      </c>
      <c r="R869" t="s">
        <v>20</v>
      </c>
      <c r="S869" t="str">
        <f t="shared" si="175"/>
        <v>Written Off</v>
      </c>
      <c r="T869" t="s">
        <v>14</v>
      </c>
      <c r="U869" s="3">
        <f t="shared" si="176"/>
        <v>2.1139163766330751</v>
      </c>
      <c r="V869" t="str">
        <f t="shared" si="177"/>
        <v>High Stress</v>
      </c>
      <c r="W869" t="str">
        <f t="shared" si="178"/>
        <v>Good</v>
      </c>
      <c r="X869" s="5" t="str">
        <f t="shared" si="179"/>
        <v>Medium</v>
      </c>
      <c r="Y869" s="5" t="str">
        <f t="shared" si="180"/>
        <v>Medium</v>
      </c>
      <c r="Z869" s="5" t="str">
        <f>IF(B869=120,"NULL",IF(AND(V869="High Stress", W869="High Risk", Y869="Low"),"High Risk : Reject", IF(AND(V869="Healthy", W869="Good",Y869&lt;&gt;"Low"), "Low Risk : Approve", "Medium Risk : Review")))</f>
        <v>Medium Risk : Review</v>
      </c>
      <c r="AA869" s="5" t="str">
        <f t="shared" si="181"/>
        <v>Low</v>
      </c>
    </row>
    <row r="870" spans="1:27" x14ac:dyDescent="0.2">
      <c r="A870">
        <v>21271</v>
      </c>
      <c r="B870">
        <v>25</v>
      </c>
      <c r="C870">
        <f t="shared" si="169"/>
        <v>25</v>
      </c>
      <c r="D870" t="s">
        <v>27</v>
      </c>
      <c r="E870" t="str">
        <f t="shared" si="170"/>
        <v>Unemployed</v>
      </c>
      <c r="F870">
        <v>6127.56</v>
      </c>
      <c r="G870">
        <f>ABS(Table1[[#This Row],[Monthly_Income]])</f>
        <v>6127.56</v>
      </c>
      <c r="H870">
        <v>3525.13</v>
      </c>
      <c r="I870" s="5">
        <f t="shared" si="171"/>
        <v>3525.13</v>
      </c>
      <c r="J870">
        <v>60</v>
      </c>
      <c r="K870">
        <v>17.32</v>
      </c>
      <c r="L870">
        <v>0</v>
      </c>
      <c r="M870">
        <f t="shared" si="172"/>
        <v>0</v>
      </c>
      <c r="N870">
        <v>3.9</v>
      </c>
      <c r="O870">
        <f t="shared" si="173"/>
        <v>3.9</v>
      </c>
      <c r="P870">
        <v>0</v>
      </c>
      <c r="Q870">
        <f t="shared" si="174"/>
        <v>0</v>
      </c>
      <c r="R870" t="s">
        <v>24</v>
      </c>
      <c r="S870" t="str">
        <f t="shared" si="175"/>
        <v>Non-Performing</v>
      </c>
      <c r="T870" t="s">
        <v>19</v>
      </c>
      <c r="U870" s="3">
        <f t="shared" si="176"/>
        <v>9.5881830070479387E-3</v>
      </c>
      <c r="V870" t="str">
        <f t="shared" si="177"/>
        <v>Healthy</v>
      </c>
      <c r="W870" t="str">
        <f t="shared" si="178"/>
        <v>Good</v>
      </c>
      <c r="X870" s="5" t="str">
        <f t="shared" si="179"/>
        <v>Small</v>
      </c>
      <c r="Y870" s="5" t="str">
        <f t="shared" si="180"/>
        <v>Low</v>
      </c>
      <c r="Z870" s="5" t="str">
        <f>IF(B870=120,"NULL",IF(AND(V870="High Stress", W870="High Risk", Y870="Low"),"High Risk : Reject", IF(AND(V870="Healthy", W870="Good",Y870&lt;&gt;"Low"), "Low Risk : Approve", "Medium Risk : Review")))</f>
        <v>Medium Risk : Review</v>
      </c>
      <c r="AA870" s="5" t="str">
        <f t="shared" si="181"/>
        <v>Medium</v>
      </c>
    </row>
    <row r="871" spans="1:27" x14ac:dyDescent="0.2">
      <c r="A871">
        <v>25149</v>
      </c>
      <c r="B871">
        <v>43</v>
      </c>
      <c r="C871">
        <f t="shared" si="169"/>
        <v>43</v>
      </c>
      <c r="D871" t="s">
        <v>17</v>
      </c>
      <c r="E871" t="str">
        <f t="shared" si="170"/>
        <v>Contract</v>
      </c>
      <c r="F871">
        <v>3755.31</v>
      </c>
      <c r="G871">
        <f>ABS(Table1[[#This Row],[Monthly_Income]])</f>
        <v>3755.31</v>
      </c>
      <c r="H871">
        <v>12321.44</v>
      </c>
      <c r="I871" s="5">
        <f t="shared" si="171"/>
        <v>12321.44</v>
      </c>
      <c r="J871">
        <v>12</v>
      </c>
      <c r="K871">
        <v>22.22</v>
      </c>
      <c r="L871">
        <v>0</v>
      </c>
      <c r="M871">
        <f t="shared" si="172"/>
        <v>0</v>
      </c>
      <c r="N871">
        <v>3.1</v>
      </c>
      <c r="O871">
        <f t="shared" si="173"/>
        <v>3.1</v>
      </c>
      <c r="P871">
        <v>0</v>
      </c>
      <c r="Q871">
        <f t="shared" si="174"/>
        <v>0</v>
      </c>
      <c r="R871" t="s">
        <v>24</v>
      </c>
      <c r="S871" t="str">
        <f t="shared" si="175"/>
        <v>Non-Performing</v>
      </c>
      <c r="T871" t="s">
        <v>14</v>
      </c>
      <c r="U871" s="3">
        <f t="shared" si="176"/>
        <v>0.27342261136009188</v>
      </c>
      <c r="V871" t="str">
        <f t="shared" si="177"/>
        <v>Healthy</v>
      </c>
      <c r="W871" t="str">
        <f t="shared" si="178"/>
        <v>Good</v>
      </c>
      <c r="X871" s="5" t="str">
        <f t="shared" si="179"/>
        <v>Medium</v>
      </c>
      <c r="Y871" s="5" t="str">
        <f t="shared" si="180"/>
        <v>Low</v>
      </c>
      <c r="Z871" s="5" t="str">
        <f>IF(B871=120,"NULL",IF(AND(V871="High Stress", W871="High Risk", Y871="Low"),"High Risk : Reject", IF(AND(V871="Healthy", W871="Good",Y871&lt;&gt;"Low"), "Low Risk : Approve", "Medium Risk : Review")))</f>
        <v>Medium Risk : Review</v>
      </c>
      <c r="AA871" s="5" t="str">
        <f t="shared" si="181"/>
        <v>Medium</v>
      </c>
    </row>
    <row r="872" spans="1:27" x14ac:dyDescent="0.2">
      <c r="A872">
        <v>21925</v>
      </c>
      <c r="B872">
        <v>41</v>
      </c>
      <c r="C872">
        <f t="shared" si="169"/>
        <v>41</v>
      </c>
      <c r="D872" t="s">
        <v>23</v>
      </c>
      <c r="E872" t="str">
        <f t="shared" si="170"/>
        <v>Self-Employed</v>
      </c>
      <c r="F872">
        <v>7443.6</v>
      </c>
      <c r="G872">
        <f>ABS(Table1[[#This Row],[Monthly_Income]])</f>
        <v>7443.6</v>
      </c>
      <c r="H872">
        <v>5961.95</v>
      </c>
      <c r="I872" s="5">
        <f t="shared" si="171"/>
        <v>5961.95</v>
      </c>
      <c r="J872">
        <v>48</v>
      </c>
      <c r="K872">
        <v>17.75</v>
      </c>
      <c r="M872" t="str">
        <f t="shared" si="172"/>
        <v>NULL</v>
      </c>
      <c r="N872">
        <v>7.3</v>
      </c>
      <c r="O872">
        <f t="shared" si="173"/>
        <v>7.3</v>
      </c>
      <c r="P872">
        <v>0</v>
      </c>
      <c r="Q872">
        <f t="shared" si="174"/>
        <v>0</v>
      </c>
      <c r="R872" t="s">
        <v>13</v>
      </c>
      <c r="S872" t="str">
        <f t="shared" si="175"/>
        <v>Performing</v>
      </c>
      <c r="T872" t="s">
        <v>25</v>
      </c>
      <c r="U872" s="3">
        <f t="shared" si="176"/>
        <v>1.6686454359001915E-2</v>
      </c>
      <c r="V872" t="str">
        <f t="shared" si="177"/>
        <v>Healthy</v>
      </c>
      <c r="W872" t="str">
        <f t="shared" si="178"/>
        <v>Good</v>
      </c>
      <c r="X872" s="5" t="str">
        <f t="shared" si="179"/>
        <v>Small</v>
      </c>
      <c r="Y872" s="5" t="str">
        <f t="shared" si="180"/>
        <v>Medium</v>
      </c>
      <c r="Z872" s="5" t="str">
        <f>IF(B872=120,"NULL",IF(AND(V872="High Stress", W872="High Risk", Y872="Low"),"High Risk : Reject", IF(AND(V872="Healthy", W872="Good",Y872&lt;&gt;"Low"), "Low Risk : Approve", "Medium Risk : Review")))</f>
        <v>Low Risk : Approve</v>
      </c>
      <c r="AA872" s="5" t="str">
        <f t="shared" si="181"/>
        <v>Medium</v>
      </c>
    </row>
    <row r="873" spans="1:27" x14ac:dyDescent="0.2">
      <c r="A873">
        <v>25114</v>
      </c>
      <c r="B873">
        <v>62</v>
      </c>
      <c r="C873">
        <f t="shared" si="169"/>
        <v>62</v>
      </c>
      <c r="D873" t="s">
        <v>27</v>
      </c>
      <c r="E873" t="str">
        <f t="shared" si="170"/>
        <v>Unemployed</v>
      </c>
      <c r="F873">
        <v>6345.9</v>
      </c>
      <c r="G873">
        <f>ABS(Table1[[#This Row],[Monthly_Income]])</f>
        <v>6345.9</v>
      </c>
      <c r="H873">
        <v>10910.05</v>
      </c>
      <c r="I873" s="5">
        <f t="shared" si="171"/>
        <v>10910.05</v>
      </c>
      <c r="J873">
        <v>36</v>
      </c>
      <c r="K873">
        <v>12.71</v>
      </c>
      <c r="L873">
        <v>3</v>
      </c>
      <c r="M873">
        <f t="shared" si="172"/>
        <v>3</v>
      </c>
      <c r="N873">
        <v>12.1</v>
      </c>
      <c r="O873">
        <f t="shared" si="173"/>
        <v>12.1</v>
      </c>
      <c r="P873">
        <v>0</v>
      </c>
      <c r="Q873">
        <f t="shared" si="174"/>
        <v>0</v>
      </c>
      <c r="R873" t="s">
        <v>18</v>
      </c>
      <c r="S873" t="str">
        <f t="shared" si="175"/>
        <v>Non-Performing</v>
      </c>
      <c r="T873" t="s">
        <v>25</v>
      </c>
      <c r="U873" s="3">
        <f t="shared" si="176"/>
        <v>4.7756337862942123E-2</v>
      </c>
      <c r="V873" t="str">
        <f t="shared" si="177"/>
        <v>Healthy</v>
      </c>
      <c r="W873" t="str">
        <f t="shared" si="178"/>
        <v>Good</v>
      </c>
      <c r="X873" s="5" t="str">
        <f t="shared" si="179"/>
        <v>Medium</v>
      </c>
      <c r="Y873" s="5" t="str">
        <f t="shared" si="180"/>
        <v>Low</v>
      </c>
      <c r="Z873" s="5" t="str">
        <f>IF(B873=120,"NULL",IF(AND(V873="High Stress", W873="High Risk", Y873="Low"),"High Risk : Reject", IF(AND(V873="Healthy", W873="Good",Y873&lt;&gt;"Low"), "Low Risk : Approve", "Medium Risk : Review")))</f>
        <v>Medium Risk : Review</v>
      </c>
      <c r="AA873" s="5" t="str">
        <f t="shared" si="181"/>
        <v>Medium</v>
      </c>
    </row>
    <row r="874" spans="1:27" x14ac:dyDescent="0.2">
      <c r="A874">
        <v>20304</v>
      </c>
      <c r="B874">
        <v>38</v>
      </c>
      <c r="C874">
        <f t="shared" si="169"/>
        <v>38</v>
      </c>
      <c r="D874" t="s">
        <v>17</v>
      </c>
      <c r="E874" t="str">
        <f t="shared" si="170"/>
        <v>Contract</v>
      </c>
      <c r="F874">
        <v>10953.67</v>
      </c>
      <c r="G874">
        <f>ABS(Table1[[#This Row],[Monthly_Income]])</f>
        <v>10953.67</v>
      </c>
      <c r="H874">
        <v>35963.14</v>
      </c>
      <c r="I874" s="5">
        <f t="shared" si="171"/>
        <v>35963.14</v>
      </c>
      <c r="J874">
        <v>60</v>
      </c>
      <c r="K874">
        <v>13.75</v>
      </c>
      <c r="L874">
        <v>2</v>
      </c>
      <c r="M874">
        <f t="shared" si="172"/>
        <v>2</v>
      </c>
      <c r="N874">
        <v>13.4</v>
      </c>
      <c r="O874">
        <f t="shared" si="173"/>
        <v>13.4</v>
      </c>
      <c r="P874">
        <v>15</v>
      </c>
      <c r="Q874">
        <f t="shared" si="174"/>
        <v>15</v>
      </c>
      <c r="R874" t="s">
        <v>20</v>
      </c>
      <c r="S874" t="str">
        <f t="shared" si="175"/>
        <v>Written Off</v>
      </c>
      <c r="T874" t="s">
        <v>25</v>
      </c>
      <c r="U874" s="3">
        <f t="shared" si="176"/>
        <v>5.4720077076145866E-2</v>
      </c>
      <c r="V874" t="str">
        <f t="shared" si="177"/>
        <v>Healthy</v>
      </c>
      <c r="W874" t="str">
        <f t="shared" si="178"/>
        <v>Good</v>
      </c>
      <c r="X874" s="5" t="str">
        <f t="shared" si="179"/>
        <v>High</v>
      </c>
      <c r="Y874" s="5" t="str">
        <f t="shared" si="180"/>
        <v>Low</v>
      </c>
      <c r="Z874" s="5" t="str">
        <f>IF(B874=120,"NULL",IF(AND(V874="High Stress", W874="High Risk", Y874="Low"),"High Risk : Reject", IF(AND(V874="Healthy", W874="Good",Y874&lt;&gt;"Low"), "Low Risk : Approve", "Medium Risk : Review")))</f>
        <v>Medium Risk : Review</v>
      </c>
      <c r="AA874" s="5" t="str">
        <f t="shared" si="181"/>
        <v>High</v>
      </c>
    </row>
    <row r="875" spans="1:27" x14ac:dyDescent="0.2">
      <c r="A875">
        <v>20149</v>
      </c>
      <c r="B875">
        <v>45</v>
      </c>
      <c r="C875">
        <f t="shared" si="169"/>
        <v>45</v>
      </c>
      <c r="D875" t="s">
        <v>26</v>
      </c>
      <c r="E875" t="str">
        <f t="shared" si="170"/>
        <v>Salaried</v>
      </c>
      <c r="F875">
        <v>8011.85</v>
      </c>
      <c r="G875">
        <f>ABS(Table1[[#This Row],[Monthly_Income]])</f>
        <v>8011.85</v>
      </c>
      <c r="H875">
        <v>19273.099999999999</v>
      </c>
      <c r="I875" s="5">
        <f t="shared" si="171"/>
        <v>19273.099999999999</v>
      </c>
      <c r="J875">
        <v>48</v>
      </c>
      <c r="K875">
        <v>19.940000000000001</v>
      </c>
      <c r="L875">
        <v>1</v>
      </c>
      <c r="M875">
        <f t="shared" si="172"/>
        <v>1</v>
      </c>
      <c r="N875">
        <v>6.2</v>
      </c>
      <c r="O875">
        <f t="shared" si="173"/>
        <v>6.2</v>
      </c>
      <c r="Q875" t="str">
        <f t="shared" si="174"/>
        <v>NULL</v>
      </c>
      <c r="R875" t="s">
        <v>24</v>
      </c>
      <c r="S875" t="str">
        <f t="shared" si="175"/>
        <v>Non-Performing</v>
      </c>
      <c r="T875" t="s">
        <v>19</v>
      </c>
      <c r="U875" s="3">
        <f t="shared" si="176"/>
        <v>5.0116130065673545E-2</v>
      </c>
      <c r="V875" t="str">
        <f t="shared" si="177"/>
        <v>Healthy</v>
      </c>
      <c r="W875" t="str">
        <f t="shared" si="178"/>
        <v>NULL</v>
      </c>
      <c r="X875" s="5" t="str">
        <f t="shared" si="179"/>
        <v>Medium</v>
      </c>
      <c r="Y875" s="5" t="str">
        <f t="shared" si="180"/>
        <v>High</v>
      </c>
      <c r="Z875" s="5" t="str">
        <f>IF(B875=120,"NULL",IF(AND(V875="High Stress", W875="High Risk", Y875="Low"),"High Risk : Reject", IF(AND(V875="Healthy", W875="Good",Y875&lt;&gt;"Low"), "Low Risk : Approve", "Medium Risk : Review")))</f>
        <v>Medium Risk : Review</v>
      </c>
      <c r="AA875" s="5" t="str">
        <f t="shared" si="181"/>
        <v>High</v>
      </c>
    </row>
    <row r="876" spans="1:27" x14ac:dyDescent="0.2">
      <c r="A876">
        <v>23730</v>
      </c>
      <c r="B876">
        <v>40</v>
      </c>
      <c r="C876">
        <f t="shared" si="169"/>
        <v>40</v>
      </c>
      <c r="D876" t="s">
        <v>12</v>
      </c>
      <c r="E876" t="str">
        <f t="shared" si="170"/>
        <v>Self-Employed</v>
      </c>
      <c r="F876">
        <v>4597.6899999999996</v>
      </c>
      <c r="G876">
        <f>ABS(Table1[[#This Row],[Monthly_Income]])</f>
        <v>4597.6899999999996</v>
      </c>
      <c r="H876">
        <v>12531.35</v>
      </c>
      <c r="I876" s="5">
        <f t="shared" si="171"/>
        <v>12531.35</v>
      </c>
      <c r="J876">
        <v>18</v>
      </c>
      <c r="K876">
        <v>11.15</v>
      </c>
      <c r="L876">
        <v>4</v>
      </c>
      <c r="M876">
        <f t="shared" si="172"/>
        <v>4</v>
      </c>
      <c r="N876">
        <v>5</v>
      </c>
      <c r="O876">
        <f t="shared" si="173"/>
        <v>5</v>
      </c>
      <c r="P876">
        <v>90</v>
      </c>
      <c r="Q876">
        <f t="shared" si="174"/>
        <v>90</v>
      </c>
      <c r="R876" t="s">
        <v>24</v>
      </c>
      <c r="S876" t="str">
        <f t="shared" si="175"/>
        <v>Non-Performing</v>
      </c>
      <c r="T876" t="s">
        <v>19</v>
      </c>
      <c r="U876" s="3">
        <f t="shared" si="176"/>
        <v>0.15142084636221911</v>
      </c>
      <c r="V876" t="str">
        <f t="shared" si="177"/>
        <v>Healthy</v>
      </c>
      <c r="W876" t="str">
        <f t="shared" si="178"/>
        <v>High Risk</v>
      </c>
      <c r="X876" s="5" t="str">
        <f t="shared" si="179"/>
        <v>Medium</v>
      </c>
      <c r="Y876" s="5" t="str">
        <f t="shared" si="180"/>
        <v>Medium</v>
      </c>
      <c r="Z876" s="5" t="str">
        <f>IF(B876=120,"NULL",IF(AND(V876="High Stress", W876="High Risk", Y876="Low"),"High Risk : Reject", IF(AND(V876="Healthy", W876="Good",Y876&lt;&gt;"Low"), "Low Risk : Approve", "Medium Risk : Review")))</f>
        <v>Medium Risk : Review</v>
      </c>
      <c r="AA876" s="5" t="str">
        <f t="shared" si="181"/>
        <v>Medium</v>
      </c>
    </row>
    <row r="877" spans="1:27" x14ac:dyDescent="0.2">
      <c r="A877">
        <v>23368</v>
      </c>
      <c r="B877">
        <v>50</v>
      </c>
      <c r="C877">
        <f t="shared" si="169"/>
        <v>50</v>
      </c>
      <c r="D877" t="s">
        <v>21</v>
      </c>
      <c r="E877" t="str">
        <f t="shared" si="170"/>
        <v>Salaried</v>
      </c>
      <c r="F877">
        <v>7279.15</v>
      </c>
      <c r="G877">
        <f>ABS(Table1[[#This Row],[Monthly_Income]])</f>
        <v>7279.15</v>
      </c>
      <c r="H877">
        <v>1004.5</v>
      </c>
      <c r="I877" s="5">
        <f t="shared" si="171"/>
        <v>1004.5</v>
      </c>
      <c r="J877">
        <v>36</v>
      </c>
      <c r="K877">
        <v>15.05</v>
      </c>
      <c r="L877">
        <v>1</v>
      </c>
      <c r="M877">
        <f t="shared" si="172"/>
        <v>1</v>
      </c>
      <c r="N877">
        <v>1</v>
      </c>
      <c r="O877">
        <f t="shared" si="173"/>
        <v>1</v>
      </c>
      <c r="Q877" t="str">
        <f t="shared" si="174"/>
        <v>NULL</v>
      </c>
      <c r="R877" t="s">
        <v>18</v>
      </c>
      <c r="S877" t="str">
        <f t="shared" si="175"/>
        <v>Non-Performing</v>
      </c>
      <c r="T877" t="s">
        <v>22</v>
      </c>
      <c r="U877" s="3">
        <f t="shared" si="176"/>
        <v>3.8332467084450489E-3</v>
      </c>
      <c r="V877" t="str">
        <f t="shared" si="177"/>
        <v>Healthy</v>
      </c>
      <c r="W877" t="str">
        <f t="shared" si="178"/>
        <v>NULL</v>
      </c>
      <c r="X877" s="5" t="str">
        <f t="shared" si="179"/>
        <v>Small</v>
      </c>
      <c r="Y877" s="5" t="str">
        <f t="shared" si="180"/>
        <v>High</v>
      </c>
      <c r="Z877" s="5" t="str">
        <f>IF(B877=120,"NULL",IF(AND(V877="High Stress", W877="High Risk", Y877="Low"),"High Risk : Reject", IF(AND(V877="Healthy", W877="Good",Y877&lt;&gt;"Low"), "Low Risk : Approve", "Medium Risk : Review")))</f>
        <v>Medium Risk : Review</v>
      </c>
      <c r="AA877" s="5" t="str">
        <f t="shared" si="181"/>
        <v>Medium</v>
      </c>
    </row>
    <row r="878" spans="1:27" x14ac:dyDescent="0.2">
      <c r="A878">
        <v>25079</v>
      </c>
      <c r="B878">
        <v>61</v>
      </c>
      <c r="C878">
        <f t="shared" si="169"/>
        <v>61</v>
      </c>
      <c r="D878" t="s">
        <v>26</v>
      </c>
      <c r="E878" t="str">
        <f t="shared" si="170"/>
        <v>Salaried</v>
      </c>
      <c r="F878">
        <v>5458.04</v>
      </c>
      <c r="G878">
        <f>ABS(Table1[[#This Row],[Monthly_Income]])</f>
        <v>5458.04</v>
      </c>
      <c r="H878">
        <v>30520.68</v>
      </c>
      <c r="I878" s="5">
        <f t="shared" si="171"/>
        <v>30520.68</v>
      </c>
      <c r="J878">
        <v>24</v>
      </c>
      <c r="K878">
        <v>12.2</v>
      </c>
      <c r="L878">
        <v>2</v>
      </c>
      <c r="M878">
        <f t="shared" si="172"/>
        <v>2</v>
      </c>
      <c r="N878">
        <v>5</v>
      </c>
      <c r="O878">
        <f t="shared" si="173"/>
        <v>5</v>
      </c>
      <c r="P878">
        <v>60</v>
      </c>
      <c r="Q878">
        <f t="shared" si="174"/>
        <v>60</v>
      </c>
      <c r="R878" t="s">
        <v>15</v>
      </c>
      <c r="S878" t="str">
        <f t="shared" si="175"/>
        <v xml:space="preserve">Performing </v>
      </c>
      <c r="T878" t="s">
        <v>19</v>
      </c>
      <c r="U878" s="3">
        <f t="shared" si="176"/>
        <v>0.23299481132421163</v>
      </c>
      <c r="V878" t="str">
        <f t="shared" si="177"/>
        <v>Healthy</v>
      </c>
      <c r="W878" t="str">
        <f t="shared" si="178"/>
        <v>High Risk</v>
      </c>
      <c r="X878" s="5" t="str">
        <f t="shared" si="179"/>
        <v>High</v>
      </c>
      <c r="Y878" s="5" t="str">
        <f t="shared" si="180"/>
        <v>High</v>
      </c>
      <c r="Z878" s="5" t="str">
        <f>IF(B878=120,"NULL",IF(AND(V878="High Stress", W878="High Risk", Y878="Low"),"High Risk : Reject", IF(AND(V878="Healthy", W878="Good",Y878&lt;&gt;"Low"), "Low Risk : Approve", "Medium Risk : Review")))</f>
        <v>Medium Risk : Review</v>
      </c>
      <c r="AA878" s="5" t="str">
        <f t="shared" si="181"/>
        <v>Medium</v>
      </c>
    </row>
    <row r="879" spans="1:27" x14ac:dyDescent="0.2">
      <c r="A879">
        <v>25459</v>
      </c>
      <c r="B879">
        <v>62</v>
      </c>
      <c r="C879">
        <f t="shared" si="169"/>
        <v>62</v>
      </c>
      <c r="D879" t="s">
        <v>27</v>
      </c>
      <c r="E879" t="str">
        <f t="shared" si="170"/>
        <v>Unemployed</v>
      </c>
      <c r="F879">
        <v>2485.1999999999998</v>
      </c>
      <c r="G879">
        <f>ABS(Table1[[#This Row],[Monthly_Income]])</f>
        <v>2485.1999999999998</v>
      </c>
      <c r="H879">
        <v>24809.67</v>
      </c>
      <c r="I879" s="5">
        <f t="shared" si="171"/>
        <v>24809.67</v>
      </c>
      <c r="J879">
        <v>24</v>
      </c>
      <c r="K879">
        <v>11.75</v>
      </c>
      <c r="L879">
        <v>2</v>
      </c>
      <c r="M879">
        <f t="shared" si="172"/>
        <v>2</v>
      </c>
      <c r="N879">
        <v>6.1</v>
      </c>
      <c r="O879">
        <f t="shared" si="173"/>
        <v>6.1</v>
      </c>
      <c r="P879">
        <v>90</v>
      </c>
      <c r="Q879">
        <f t="shared" si="174"/>
        <v>90</v>
      </c>
      <c r="R879" t="s">
        <v>15</v>
      </c>
      <c r="S879" t="str">
        <f t="shared" si="175"/>
        <v xml:space="preserve">Performing </v>
      </c>
      <c r="T879" t="s">
        <v>22</v>
      </c>
      <c r="U879" s="3">
        <f t="shared" si="176"/>
        <v>0.4159569652341864</v>
      </c>
      <c r="V879" t="str">
        <f t="shared" si="177"/>
        <v>Stretched</v>
      </c>
      <c r="W879" t="str">
        <f t="shared" si="178"/>
        <v>High Risk</v>
      </c>
      <c r="X879" s="5" t="str">
        <f t="shared" si="179"/>
        <v>Medium</v>
      </c>
      <c r="Y879" s="5" t="str">
        <f t="shared" si="180"/>
        <v>Low</v>
      </c>
      <c r="Z879" s="5" t="str">
        <f>IF(B879=120,"NULL",IF(AND(V879="High Stress", W879="High Risk", Y879="Low"),"High Risk : Reject", IF(AND(V879="Healthy", W879="Good",Y879&lt;&gt;"Low"), "Low Risk : Approve", "Medium Risk : Review")))</f>
        <v>Medium Risk : Review</v>
      </c>
      <c r="AA879" s="5" t="str">
        <f t="shared" si="181"/>
        <v>Medium</v>
      </c>
    </row>
    <row r="880" spans="1:27" x14ac:dyDescent="0.2">
      <c r="A880">
        <v>21504</v>
      </c>
      <c r="B880">
        <v>33</v>
      </c>
      <c r="C880">
        <f t="shared" si="169"/>
        <v>33</v>
      </c>
      <c r="D880" t="s">
        <v>27</v>
      </c>
      <c r="E880" t="str">
        <f t="shared" si="170"/>
        <v>Unemployed</v>
      </c>
      <c r="F880">
        <v>5481.32</v>
      </c>
      <c r="G880">
        <f>ABS(Table1[[#This Row],[Monthly_Income]])</f>
        <v>5481.32</v>
      </c>
      <c r="H880">
        <v>6445.16</v>
      </c>
      <c r="I880" s="5">
        <f t="shared" si="171"/>
        <v>6445.16</v>
      </c>
      <c r="J880">
        <v>6</v>
      </c>
      <c r="K880">
        <v>14.92</v>
      </c>
      <c r="L880">
        <v>0</v>
      </c>
      <c r="M880">
        <f t="shared" si="172"/>
        <v>0</v>
      </c>
      <c r="N880">
        <v>12.3</v>
      </c>
      <c r="O880">
        <f t="shared" si="173"/>
        <v>12.3</v>
      </c>
      <c r="Q880" t="str">
        <f t="shared" si="174"/>
        <v>NULL</v>
      </c>
      <c r="R880" t="s">
        <v>13</v>
      </c>
      <c r="S880" t="str">
        <f t="shared" si="175"/>
        <v>Performing</v>
      </c>
      <c r="T880" t="s">
        <v>25</v>
      </c>
      <c r="U880" s="3">
        <f t="shared" si="176"/>
        <v>0.19597347597537335</v>
      </c>
      <c r="V880" t="str">
        <f t="shared" si="177"/>
        <v>Healthy</v>
      </c>
      <c r="W880" t="str">
        <f t="shared" si="178"/>
        <v>NULL</v>
      </c>
      <c r="X880" s="5" t="str">
        <f t="shared" si="179"/>
        <v>Small</v>
      </c>
      <c r="Y880" s="5" t="str">
        <f t="shared" si="180"/>
        <v>Low</v>
      </c>
      <c r="Z880" s="5" t="str">
        <f>IF(B880=120,"NULL",IF(AND(V880="High Stress", W880="High Risk", Y880="Low"),"High Risk : Reject", IF(AND(V880="Healthy", W880="Good",Y880&lt;&gt;"Low"), "Low Risk : Approve", "Medium Risk : Review")))</f>
        <v>Medium Risk : Review</v>
      </c>
      <c r="AA880" s="5" t="str">
        <f t="shared" si="181"/>
        <v>Medium</v>
      </c>
    </row>
    <row r="881" spans="1:27" x14ac:dyDescent="0.2">
      <c r="A881">
        <v>22136</v>
      </c>
      <c r="B881">
        <v>44</v>
      </c>
      <c r="C881">
        <f t="shared" si="169"/>
        <v>44</v>
      </c>
      <c r="D881" t="s">
        <v>17</v>
      </c>
      <c r="E881" t="str">
        <f t="shared" si="170"/>
        <v>Contract</v>
      </c>
      <c r="F881">
        <v>3371.14</v>
      </c>
      <c r="G881">
        <f>ABS(Table1[[#This Row],[Monthly_Income]])</f>
        <v>3371.14</v>
      </c>
      <c r="H881">
        <v>26292.799999999999</v>
      </c>
      <c r="I881" s="5">
        <f t="shared" si="171"/>
        <v>26292.799999999999</v>
      </c>
      <c r="J881">
        <v>36</v>
      </c>
      <c r="K881">
        <v>12.5</v>
      </c>
      <c r="M881" t="str">
        <f t="shared" si="172"/>
        <v>NULL</v>
      </c>
      <c r="N881">
        <v>5.7</v>
      </c>
      <c r="O881">
        <f t="shared" si="173"/>
        <v>5.7</v>
      </c>
      <c r="P881">
        <v>60</v>
      </c>
      <c r="Q881">
        <f t="shared" si="174"/>
        <v>60</v>
      </c>
      <c r="R881" t="s">
        <v>24</v>
      </c>
      <c r="S881" t="str">
        <f t="shared" si="175"/>
        <v>Non-Performing</v>
      </c>
      <c r="T881" t="s">
        <v>22</v>
      </c>
      <c r="U881" s="3">
        <f t="shared" si="176"/>
        <v>0.21664942884470997</v>
      </c>
      <c r="V881" t="str">
        <f t="shared" si="177"/>
        <v>Healthy</v>
      </c>
      <c r="W881" t="str">
        <f t="shared" si="178"/>
        <v>High Risk</v>
      </c>
      <c r="X881" s="5" t="str">
        <f t="shared" si="179"/>
        <v>Medium</v>
      </c>
      <c r="Y881" s="5" t="str">
        <f t="shared" si="180"/>
        <v>Low</v>
      </c>
      <c r="Z881" s="5" t="str">
        <f>IF(B881=120,"NULL",IF(AND(V881="High Stress", W881="High Risk", Y881="Low"),"High Risk : Reject", IF(AND(V881="Healthy", W881="Good",Y881&lt;&gt;"Low"), "Low Risk : Approve", "Medium Risk : Review")))</f>
        <v>Medium Risk : Review</v>
      </c>
      <c r="AA881" s="5" t="str">
        <f t="shared" si="181"/>
        <v>Medium</v>
      </c>
    </row>
    <row r="882" spans="1:27" x14ac:dyDescent="0.2">
      <c r="A882">
        <v>22575</v>
      </c>
      <c r="B882">
        <v>18</v>
      </c>
      <c r="C882">
        <f t="shared" si="169"/>
        <v>18</v>
      </c>
      <c r="D882" t="s">
        <v>23</v>
      </c>
      <c r="E882" t="str">
        <f t="shared" si="170"/>
        <v>Self-Employed</v>
      </c>
      <c r="F882">
        <v>6314.62</v>
      </c>
      <c r="G882">
        <f>ABS(Table1[[#This Row],[Monthly_Income]])</f>
        <v>6314.62</v>
      </c>
      <c r="H882">
        <v>159.87</v>
      </c>
      <c r="I882" s="5">
        <f t="shared" si="171"/>
        <v>159.87</v>
      </c>
      <c r="J882">
        <v>12</v>
      </c>
      <c r="K882">
        <v>21.58</v>
      </c>
      <c r="L882">
        <v>0</v>
      </c>
      <c r="M882">
        <f t="shared" si="172"/>
        <v>0</v>
      </c>
      <c r="N882">
        <v>11.1</v>
      </c>
      <c r="O882">
        <f t="shared" si="173"/>
        <v>11.1</v>
      </c>
      <c r="P882">
        <v>90</v>
      </c>
      <c r="Q882">
        <f t="shared" si="174"/>
        <v>90</v>
      </c>
      <c r="R882" t="s">
        <v>18</v>
      </c>
      <c r="S882" t="str">
        <f t="shared" si="175"/>
        <v>Non-Performing</v>
      </c>
      <c r="T882" t="s">
        <v>19</v>
      </c>
      <c r="U882" s="3">
        <f t="shared" si="176"/>
        <v>2.1097864954660772E-3</v>
      </c>
      <c r="V882" t="str">
        <f t="shared" si="177"/>
        <v>Healthy</v>
      </c>
      <c r="W882" t="str">
        <f t="shared" si="178"/>
        <v>High Risk</v>
      </c>
      <c r="X882" s="5" t="str">
        <f t="shared" si="179"/>
        <v>Small</v>
      </c>
      <c r="Y882" s="5" t="str">
        <f t="shared" si="180"/>
        <v>Medium</v>
      </c>
      <c r="Z882" s="5" t="str">
        <f>IF(B882=120,"NULL",IF(AND(V882="High Stress", W882="High Risk", Y882="Low"),"High Risk : Reject", IF(AND(V882="Healthy", W882="Good",Y882&lt;&gt;"Low"), "Low Risk : Approve", "Medium Risk : Review")))</f>
        <v>Medium Risk : Review</v>
      </c>
      <c r="AA882" s="5" t="str">
        <f t="shared" si="181"/>
        <v>Medium</v>
      </c>
    </row>
    <row r="883" spans="1:27" x14ac:dyDescent="0.2">
      <c r="A883">
        <v>25266</v>
      </c>
      <c r="B883">
        <v>55</v>
      </c>
      <c r="C883">
        <f t="shared" si="169"/>
        <v>55</v>
      </c>
      <c r="D883" t="s">
        <v>26</v>
      </c>
      <c r="E883" t="str">
        <f t="shared" si="170"/>
        <v>Salaried</v>
      </c>
      <c r="F883">
        <v>6053.47</v>
      </c>
      <c r="G883">
        <f>ABS(Table1[[#This Row],[Monthly_Income]])</f>
        <v>6053.47</v>
      </c>
      <c r="H883">
        <v>23646.12</v>
      </c>
      <c r="I883" s="5">
        <f t="shared" si="171"/>
        <v>23646.12</v>
      </c>
      <c r="J883">
        <v>36</v>
      </c>
      <c r="K883">
        <v>23.93</v>
      </c>
      <c r="L883">
        <v>3</v>
      </c>
      <c r="M883">
        <f t="shared" si="172"/>
        <v>3</v>
      </c>
      <c r="N883">
        <v>9.3000000000000007</v>
      </c>
      <c r="O883">
        <f t="shared" si="173"/>
        <v>9.3000000000000007</v>
      </c>
      <c r="P883">
        <v>0</v>
      </c>
      <c r="Q883">
        <f t="shared" si="174"/>
        <v>0</v>
      </c>
      <c r="R883" t="s">
        <v>18</v>
      </c>
      <c r="S883" t="str">
        <f t="shared" si="175"/>
        <v>Non-Performing</v>
      </c>
      <c r="T883" t="s">
        <v>19</v>
      </c>
      <c r="U883" s="3">
        <f t="shared" si="176"/>
        <v>0.10850581016618016</v>
      </c>
      <c r="V883" t="str">
        <f t="shared" si="177"/>
        <v>Healthy</v>
      </c>
      <c r="W883" t="str">
        <f t="shared" si="178"/>
        <v>Good</v>
      </c>
      <c r="X883" s="5" t="str">
        <f t="shared" si="179"/>
        <v>Medium</v>
      </c>
      <c r="Y883" s="5" t="str">
        <f t="shared" si="180"/>
        <v>High</v>
      </c>
      <c r="Z883" s="5" t="str">
        <f>IF(B883=120,"NULL",IF(AND(V883="High Stress", W883="High Risk", Y883="Low"),"High Risk : Reject", IF(AND(V883="Healthy", W883="Good",Y883&lt;&gt;"Low"), "Low Risk : Approve", "Medium Risk : Review")))</f>
        <v>Low Risk : Approve</v>
      </c>
      <c r="AA883" s="5" t="str">
        <f t="shared" si="181"/>
        <v>Medium</v>
      </c>
    </row>
    <row r="884" spans="1:27" x14ac:dyDescent="0.2">
      <c r="A884">
        <v>24232</v>
      </c>
      <c r="B884">
        <v>61</v>
      </c>
      <c r="C884">
        <f t="shared" si="169"/>
        <v>61</v>
      </c>
      <c r="D884" t="s">
        <v>27</v>
      </c>
      <c r="E884" t="str">
        <f t="shared" si="170"/>
        <v>Unemployed</v>
      </c>
      <c r="F884">
        <v>5209.45</v>
      </c>
      <c r="G884">
        <f>ABS(Table1[[#This Row],[Monthly_Income]])</f>
        <v>5209.45</v>
      </c>
      <c r="H884"/>
      <c r="I884" s="5" t="str">
        <f t="shared" si="171"/>
        <v>NULL</v>
      </c>
      <c r="J884">
        <v>24</v>
      </c>
      <c r="K884">
        <v>27.77</v>
      </c>
      <c r="L884">
        <v>3</v>
      </c>
      <c r="M884">
        <f t="shared" si="172"/>
        <v>3</v>
      </c>
      <c r="N884">
        <v>6.1</v>
      </c>
      <c r="O884">
        <f t="shared" si="173"/>
        <v>6.1</v>
      </c>
      <c r="P884">
        <v>30</v>
      </c>
      <c r="Q884">
        <f t="shared" si="174"/>
        <v>30</v>
      </c>
      <c r="R884" t="s">
        <v>18</v>
      </c>
      <c r="S884" t="str">
        <f t="shared" si="175"/>
        <v>Non-Performing</v>
      </c>
      <c r="T884" t="s">
        <v>16</v>
      </c>
      <c r="U884" s="3" t="str">
        <f t="shared" si="176"/>
        <v>NULL</v>
      </c>
      <c r="V884" t="str">
        <f t="shared" si="177"/>
        <v>NULL</v>
      </c>
      <c r="W884" t="str">
        <f t="shared" si="178"/>
        <v>At Risk</v>
      </c>
      <c r="X884" s="5" t="str">
        <f t="shared" si="179"/>
        <v>High</v>
      </c>
      <c r="Y884" s="5" t="str">
        <f t="shared" si="180"/>
        <v>Low</v>
      </c>
      <c r="Z884" s="5" t="str">
        <f>IF(B884=120,"NULL",IF(AND(V884="High Stress", W884="High Risk", Y884="Low"),"High Risk : Reject", IF(AND(V884="Healthy", W884="Good",Y884&lt;&gt;"Low"), "Low Risk : Approve", "Medium Risk : Review")))</f>
        <v>Medium Risk : Review</v>
      </c>
      <c r="AA884" s="5" t="str">
        <f t="shared" si="181"/>
        <v>Medium</v>
      </c>
    </row>
    <row r="885" spans="1:27" x14ac:dyDescent="0.2">
      <c r="A885">
        <v>21267</v>
      </c>
      <c r="B885">
        <v>61</v>
      </c>
      <c r="C885">
        <f t="shared" si="169"/>
        <v>61</v>
      </c>
      <c r="D885" t="s">
        <v>17</v>
      </c>
      <c r="E885" t="str">
        <f t="shared" si="170"/>
        <v>Contract</v>
      </c>
      <c r="F885">
        <v>2532.64</v>
      </c>
      <c r="G885">
        <f>ABS(Table1[[#This Row],[Monthly_Income]])</f>
        <v>2532.64</v>
      </c>
      <c r="H885">
        <v>11326.1</v>
      </c>
      <c r="I885" s="5">
        <f t="shared" si="171"/>
        <v>11326.1</v>
      </c>
      <c r="J885">
        <v>6</v>
      </c>
      <c r="K885">
        <v>28.73</v>
      </c>
      <c r="M885" t="str">
        <f t="shared" si="172"/>
        <v>NULL</v>
      </c>
      <c r="N885">
        <v>12.6</v>
      </c>
      <c r="O885">
        <f t="shared" si="173"/>
        <v>12.6</v>
      </c>
      <c r="P885">
        <v>0</v>
      </c>
      <c r="Q885">
        <f t="shared" si="174"/>
        <v>0</v>
      </c>
      <c r="R885" t="s">
        <v>24</v>
      </c>
      <c r="S885" t="str">
        <f t="shared" si="175"/>
        <v>Non-Performing</v>
      </c>
      <c r="T885" t="s">
        <v>25</v>
      </c>
      <c r="U885" s="3">
        <f t="shared" si="176"/>
        <v>0.74534214627161122</v>
      </c>
      <c r="V885" t="str">
        <f t="shared" si="177"/>
        <v>High Stress</v>
      </c>
      <c r="W885" t="str">
        <f t="shared" si="178"/>
        <v>Good</v>
      </c>
      <c r="X885" s="5" t="str">
        <f t="shared" si="179"/>
        <v>Medium</v>
      </c>
      <c r="Y885" s="5" t="str">
        <f t="shared" si="180"/>
        <v>Low</v>
      </c>
      <c r="Z885" s="5" t="str">
        <f>IF(B885=120,"NULL",IF(AND(V885="High Stress", W885="High Risk", Y885="Low"),"High Risk : Reject", IF(AND(V885="Healthy", W885="Good",Y885&lt;&gt;"Low"), "Low Risk : Approve", "Medium Risk : Review")))</f>
        <v>Medium Risk : Review</v>
      </c>
      <c r="AA885" s="5" t="str">
        <f t="shared" si="181"/>
        <v>Medium</v>
      </c>
    </row>
    <row r="886" spans="1:27" x14ac:dyDescent="0.2">
      <c r="A886">
        <v>22084</v>
      </c>
      <c r="B886">
        <v>43</v>
      </c>
      <c r="C886">
        <f t="shared" si="169"/>
        <v>43</v>
      </c>
      <c r="D886" t="s">
        <v>12</v>
      </c>
      <c r="E886" t="str">
        <f t="shared" si="170"/>
        <v>Self-Employed</v>
      </c>
      <c r="F886">
        <v>6942.94</v>
      </c>
      <c r="G886">
        <f>ABS(Table1[[#This Row],[Monthly_Income]])</f>
        <v>6942.94</v>
      </c>
      <c r="H886">
        <v>17252.27</v>
      </c>
      <c r="I886" s="5">
        <f t="shared" si="171"/>
        <v>17252.27</v>
      </c>
      <c r="J886">
        <v>12</v>
      </c>
      <c r="K886">
        <v>30.09</v>
      </c>
      <c r="L886">
        <v>0</v>
      </c>
      <c r="M886">
        <f t="shared" si="172"/>
        <v>0</v>
      </c>
      <c r="N886">
        <v>10.4</v>
      </c>
      <c r="O886">
        <f t="shared" si="173"/>
        <v>10.4</v>
      </c>
      <c r="P886">
        <v>15</v>
      </c>
      <c r="Q886">
        <f t="shared" si="174"/>
        <v>15</v>
      </c>
      <c r="R886" t="s">
        <v>24</v>
      </c>
      <c r="S886" t="str">
        <f t="shared" si="175"/>
        <v>Non-Performing</v>
      </c>
      <c r="T886" t="s">
        <v>14</v>
      </c>
      <c r="U886" s="3">
        <f t="shared" si="176"/>
        <v>0.20707210009976562</v>
      </c>
      <c r="V886" t="str">
        <f t="shared" si="177"/>
        <v>Healthy</v>
      </c>
      <c r="W886" t="str">
        <f t="shared" si="178"/>
        <v>Good</v>
      </c>
      <c r="X886" s="5" t="str">
        <f t="shared" si="179"/>
        <v>Medium</v>
      </c>
      <c r="Y886" s="5" t="str">
        <f t="shared" si="180"/>
        <v>Medium</v>
      </c>
      <c r="Z886" s="5" t="str">
        <f>IF(B886=120,"NULL",IF(AND(V886="High Stress", W886="High Risk", Y886="Low"),"High Risk : Reject", IF(AND(V886="Healthy", W886="Good",Y886&lt;&gt;"Low"), "Low Risk : Approve", "Medium Risk : Review")))</f>
        <v>Low Risk : Approve</v>
      </c>
      <c r="AA886" s="5" t="str">
        <f t="shared" si="181"/>
        <v>Medium</v>
      </c>
    </row>
    <row r="887" spans="1:27" x14ac:dyDescent="0.2">
      <c r="A887">
        <v>21393</v>
      </c>
      <c r="B887">
        <v>27</v>
      </c>
      <c r="C887">
        <f t="shared" si="169"/>
        <v>27</v>
      </c>
      <c r="D887" t="s">
        <v>23</v>
      </c>
      <c r="E887" t="str">
        <f t="shared" si="170"/>
        <v>Self-Employed</v>
      </c>
      <c r="F887">
        <v>5784.08</v>
      </c>
      <c r="G887">
        <f>ABS(Table1[[#This Row],[Monthly_Income]])</f>
        <v>5784.08</v>
      </c>
      <c r="H887">
        <v>11608.67</v>
      </c>
      <c r="I887" s="5">
        <f t="shared" si="171"/>
        <v>11608.67</v>
      </c>
      <c r="J887">
        <v>36</v>
      </c>
      <c r="K887">
        <v>22.82</v>
      </c>
      <c r="L887">
        <v>2</v>
      </c>
      <c r="M887">
        <f t="shared" si="172"/>
        <v>2</v>
      </c>
      <c r="N887">
        <v>12.2</v>
      </c>
      <c r="O887">
        <f t="shared" si="173"/>
        <v>12.2</v>
      </c>
      <c r="P887">
        <v>120</v>
      </c>
      <c r="Q887">
        <f t="shared" si="174"/>
        <v>120</v>
      </c>
      <c r="R887" t="s">
        <v>18</v>
      </c>
      <c r="S887" t="str">
        <f t="shared" si="175"/>
        <v>Non-Performing</v>
      </c>
      <c r="T887" t="s">
        <v>19</v>
      </c>
      <c r="U887" s="3">
        <f t="shared" si="176"/>
        <v>5.5750102964612448E-2</v>
      </c>
      <c r="V887" t="str">
        <f t="shared" si="177"/>
        <v>Healthy</v>
      </c>
      <c r="W887" t="str">
        <f t="shared" si="178"/>
        <v>High Risk</v>
      </c>
      <c r="X887" s="5" t="str">
        <f t="shared" si="179"/>
        <v>Medium</v>
      </c>
      <c r="Y887" s="5" t="str">
        <f t="shared" si="180"/>
        <v>Medium</v>
      </c>
      <c r="Z887" s="5" t="str">
        <f>IF(B887=120,"NULL",IF(AND(V887="High Stress", W887="High Risk", Y887="Low"),"High Risk : Reject", IF(AND(V887="Healthy", W887="Good",Y887&lt;&gt;"Low"), "Low Risk : Approve", "Medium Risk : Review")))</f>
        <v>Medium Risk : Review</v>
      </c>
      <c r="AA887" s="5" t="str">
        <f t="shared" si="181"/>
        <v>Medium</v>
      </c>
    </row>
    <row r="888" spans="1:27" x14ac:dyDescent="0.2">
      <c r="A888">
        <v>21886</v>
      </c>
      <c r="B888">
        <v>49</v>
      </c>
      <c r="C888">
        <f t="shared" si="169"/>
        <v>49</v>
      </c>
      <c r="D888" t="s">
        <v>21</v>
      </c>
      <c r="E888" t="str">
        <f t="shared" si="170"/>
        <v>Salaried</v>
      </c>
      <c r="F888">
        <v>3349.3</v>
      </c>
      <c r="G888">
        <f>ABS(Table1[[#This Row],[Monthly_Income]])</f>
        <v>3349.3</v>
      </c>
      <c r="H888">
        <v>22362.02</v>
      </c>
      <c r="I888" s="5">
        <f t="shared" si="171"/>
        <v>22362.02</v>
      </c>
      <c r="J888">
        <v>60</v>
      </c>
      <c r="K888">
        <v>10.52</v>
      </c>
      <c r="L888">
        <v>0</v>
      </c>
      <c r="M888">
        <f t="shared" si="172"/>
        <v>0</v>
      </c>
      <c r="N888">
        <v>1.9</v>
      </c>
      <c r="O888">
        <f t="shared" si="173"/>
        <v>1.9</v>
      </c>
      <c r="P888">
        <v>120</v>
      </c>
      <c r="Q888">
        <f t="shared" si="174"/>
        <v>120</v>
      </c>
      <c r="R888" t="s">
        <v>15</v>
      </c>
      <c r="S888" t="str">
        <f t="shared" si="175"/>
        <v xml:space="preserve">Performing </v>
      </c>
      <c r="T888" t="s">
        <v>22</v>
      </c>
      <c r="U888" s="3">
        <f t="shared" si="176"/>
        <v>0.11127708277351486</v>
      </c>
      <c r="V888" t="str">
        <f t="shared" si="177"/>
        <v>Healthy</v>
      </c>
      <c r="W888" t="str">
        <f t="shared" si="178"/>
        <v>High Risk</v>
      </c>
      <c r="X888" s="5" t="str">
        <f t="shared" si="179"/>
        <v>Medium</v>
      </c>
      <c r="Y888" s="5" t="str">
        <f t="shared" si="180"/>
        <v>High</v>
      </c>
      <c r="Z888" s="5" t="str">
        <f>IF(B888=120,"NULL",IF(AND(V888="High Stress", W888="High Risk", Y888="Low"),"High Risk : Reject", IF(AND(V888="Healthy", W888="Good",Y888&lt;&gt;"Low"), "Low Risk : Approve", "Medium Risk : Review")))</f>
        <v>Medium Risk : Review</v>
      </c>
      <c r="AA888" s="5" t="str">
        <f t="shared" si="181"/>
        <v>Medium</v>
      </c>
    </row>
    <row r="889" spans="1:27" x14ac:dyDescent="0.2">
      <c r="A889">
        <v>25279</v>
      </c>
      <c r="B889">
        <v>42</v>
      </c>
      <c r="C889">
        <f t="shared" si="169"/>
        <v>42</v>
      </c>
      <c r="D889" t="s">
        <v>27</v>
      </c>
      <c r="E889" t="str">
        <f t="shared" si="170"/>
        <v>Unemployed</v>
      </c>
      <c r="F889">
        <v>8076.48</v>
      </c>
      <c r="G889">
        <f>ABS(Table1[[#This Row],[Monthly_Income]])</f>
        <v>8076.48</v>
      </c>
      <c r="H889">
        <v>28254.36</v>
      </c>
      <c r="I889" s="5">
        <f t="shared" si="171"/>
        <v>28254.36</v>
      </c>
      <c r="J889">
        <v>24</v>
      </c>
      <c r="K889">
        <v>16.739999999999998</v>
      </c>
      <c r="L889">
        <v>4</v>
      </c>
      <c r="M889">
        <f t="shared" si="172"/>
        <v>4</v>
      </c>
      <c r="N889">
        <v>10.4</v>
      </c>
      <c r="O889">
        <f t="shared" si="173"/>
        <v>10.4</v>
      </c>
      <c r="P889">
        <v>0</v>
      </c>
      <c r="Q889">
        <f t="shared" si="174"/>
        <v>0</v>
      </c>
      <c r="R889" t="s">
        <v>24</v>
      </c>
      <c r="S889" t="str">
        <f t="shared" si="175"/>
        <v>Non-Performing</v>
      </c>
      <c r="T889" t="s">
        <v>25</v>
      </c>
      <c r="U889" s="3">
        <f t="shared" si="176"/>
        <v>0.14576461527794288</v>
      </c>
      <c r="V889" t="str">
        <f t="shared" si="177"/>
        <v>Healthy</v>
      </c>
      <c r="W889" t="str">
        <f t="shared" si="178"/>
        <v>Good</v>
      </c>
      <c r="X889" s="5" t="str">
        <f t="shared" si="179"/>
        <v>Medium</v>
      </c>
      <c r="Y889" s="5" t="str">
        <f t="shared" si="180"/>
        <v>Low</v>
      </c>
      <c r="Z889" s="5" t="str">
        <f>IF(B889=120,"NULL",IF(AND(V889="High Stress", W889="High Risk", Y889="Low"),"High Risk : Reject", IF(AND(V889="Healthy", W889="Good",Y889&lt;&gt;"Low"), "Low Risk : Approve", "Medium Risk : Review")))</f>
        <v>Medium Risk : Review</v>
      </c>
      <c r="AA889" s="5" t="str">
        <f t="shared" si="181"/>
        <v>High</v>
      </c>
    </row>
    <row r="890" spans="1:27" x14ac:dyDescent="0.2">
      <c r="A890">
        <v>21098</v>
      </c>
      <c r="B890">
        <v>23</v>
      </c>
      <c r="C890">
        <f t="shared" si="169"/>
        <v>23</v>
      </c>
      <c r="D890" t="s">
        <v>27</v>
      </c>
      <c r="E890" t="str">
        <f t="shared" si="170"/>
        <v>Unemployed</v>
      </c>
      <c r="F890">
        <v>5316.81</v>
      </c>
      <c r="G890">
        <f>ABS(Table1[[#This Row],[Monthly_Income]])</f>
        <v>5316.81</v>
      </c>
      <c r="H890">
        <v>23290.52</v>
      </c>
      <c r="I890" s="5">
        <f t="shared" si="171"/>
        <v>23290.52</v>
      </c>
      <c r="J890">
        <v>36</v>
      </c>
      <c r="K890">
        <v>23.06</v>
      </c>
      <c r="L890">
        <v>2</v>
      </c>
      <c r="M890">
        <f t="shared" si="172"/>
        <v>2</v>
      </c>
      <c r="N890">
        <v>11.9</v>
      </c>
      <c r="O890">
        <f t="shared" si="173"/>
        <v>11.9</v>
      </c>
      <c r="P890">
        <v>0</v>
      </c>
      <c r="Q890">
        <f t="shared" si="174"/>
        <v>0</v>
      </c>
      <c r="R890" t="s">
        <v>13</v>
      </c>
      <c r="S890" t="str">
        <f t="shared" si="175"/>
        <v>Performing</v>
      </c>
      <c r="T890" t="s">
        <v>14</v>
      </c>
      <c r="U890" s="3">
        <f t="shared" si="176"/>
        <v>0.12168177702210327</v>
      </c>
      <c r="V890" t="str">
        <f t="shared" si="177"/>
        <v>Healthy</v>
      </c>
      <c r="W890" t="str">
        <f t="shared" si="178"/>
        <v>Good</v>
      </c>
      <c r="X890" s="5" t="str">
        <f t="shared" si="179"/>
        <v>Medium</v>
      </c>
      <c r="Y890" s="5" t="str">
        <f t="shared" si="180"/>
        <v>Low</v>
      </c>
      <c r="Z890" s="5" t="str">
        <f>IF(B890=120,"NULL",IF(AND(V890="High Stress", W890="High Risk", Y890="Low"),"High Risk : Reject", IF(AND(V890="Healthy", W890="Good",Y890&lt;&gt;"Low"), "Low Risk : Approve", "Medium Risk : Review")))</f>
        <v>Medium Risk : Review</v>
      </c>
      <c r="AA890" s="5" t="str">
        <f t="shared" si="181"/>
        <v>Medium</v>
      </c>
    </row>
    <row r="891" spans="1:27" x14ac:dyDescent="0.2">
      <c r="A891">
        <v>24794</v>
      </c>
      <c r="B891">
        <v>39</v>
      </c>
      <c r="C891">
        <f t="shared" si="169"/>
        <v>39</v>
      </c>
      <c r="D891" t="s">
        <v>27</v>
      </c>
      <c r="E891" t="str">
        <f t="shared" si="170"/>
        <v>Unemployed</v>
      </c>
      <c r="F891">
        <v>4416.5200000000004</v>
      </c>
      <c r="G891">
        <f>ABS(Table1[[#This Row],[Monthly_Income]])</f>
        <v>4416.5200000000004</v>
      </c>
      <c r="H891">
        <v>20893.72</v>
      </c>
      <c r="I891" s="5">
        <f t="shared" si="171"/>
        <v>20893.72</v>
      </c>
      <c r="J891">
        <v>18</v>
      </c>
      <c r="K891">
        <v>18.010000000000002</v>
      </c>
      <c r="L891">
        <v>1</v>
      </c>
      <c r="M891">
        <f t="shared" si="172"/>
        <v>1</v>
      </c>
      <c r="N891">
        <v>3.4</v>
      </c>
      <c r="O891">
        <f t="shared" si="173"/>
        <v>3.4</v>
      </c>
      <c r="P891">
        <v>0</v>
      </c>
      <c r="Q891">
        <f t="shared" si="174"/>
        <v>0</v>
      </c>
      <c r="R891" t="s">
        <v>13</v>
      </c>
      <c r="S891" t="str">
        <f t="shared" si="175"/>
        <v>Performing</v>
      </c>
      <c r="T891" t="s">
        <v>16</v>
      </c>
      <c r="U891" s="3">
        <f t="shared" si="176"/>
        <v>0.26282281575136579</v>
      </c>
      <c r="V891" t="str">
        <f t="shared" si="177"/>
        <v>Healthy</v>
      </c>
      <c r="W891" t="str">
        <f t="shared" si="178"/>
        <v>Good</v>
      </c>
      <c r="X891" s="5" t="str">
        <f t="shared" si="179"/>
        <v>Medium</v>
      </c>
      <c r="Y891" s="5" t="str">
        <f t="shared" si="180"/>
        <v>Low</v>
      </c>
      <c r="Z891" s="5" t="str">
        <f>IF(B891=120,"NULL",IF(AND(V891="High Stress", W891="High Risk", Y891="Low"),"High Risk : Reject", IF(AND(V891="Healthy", W891="Good",Y891&lt;&gt;"Low"), "Low Risk : Approve", "Medium Risk : Review")))</f>
        <v>Medium Risk : Review</v>
      </c>
      <c r="AA891" s="5" t="str">
        <f t="shared" si="181"/>
        <v>Medium</v>
      </c>
    </row>
    <row r="892" spans="1:27" x14ac:dyDescent="0.2">
      <c r="A892">
        <v>21582</v>
      </c>
      <c r="B892">
        <v>25</v>
      </c>
      <c r="C892">
        <f t="shared" si="169"/>
        <v>25</v>
      </c>
      <c r="D892" t="s">
        <v>17</v>
      </c>
      <c r="E892" t="str">
        <f t="shared" si="170"/>
        <v>Contract</v>
      </c>
      <c r="F892">
        <v>7193.72</v>
      </c>
      <c r="G892">
        <f>ABS(Table1[[#This Row],[Monthly_Income]])</f>
        <v>7193.72</v>
      </c>
      <c r="H892">
        <v>24811.89</v>
      </c>
      <c r="I892" s="5">
        <f t="shared" si="171"/>
        <v>24811.89</v>
      </c>
      <c r="J892">
        <v>60</v>
      </c>
      <c r="K892">
        <v>14.8</v>
      </c>
      <c r="L892">
        <v>3</v>
      </c>
      <c r="M892">
        <f t="shared" si="172"/>
        <v>3</v>
      </c>
      <c r="N892">
        <v>8.9</v>
      </c>
      <c r="O892">
        <f t="shared" si="173"/>
        <v>8.9</v>
      </c>
      <c r="P892">
        <v>90</v>
      </c>
      <c r="Q892">
        <f t="shared" si="174"/>
        <v>90</v>
      </c>
      <c r="R892" t="s">
        <v>24</v>
      </c>
      <c r="S892" t="str">
        <f t="shared" si="175"/>
        <v>Non-Performing</v>
      </c>
      <c r="T892" t="s">
        <v>25</v>
      </c>
      <c r="U892" s="3">
        <f t="shared" si="176"/>
        <v>5.7485070311327102E-2</v>
      </c>
      <c r="V892" t="str">
        <f t="shared" si="177"/>
        <v>Healthy</v>
      </c>
      <c r="W892" t="str">
        <f t="shared" si="178"/>
        <v>High Risk</v>
      </c>
      <c r="X892" s="5" t="str">
        <f t="shared" si="179"/>
        <v>Medium</v>
      </c>
      <c r="Y892" s="5" t="str">
        <f t="shared" si="180"/>
        <v>Low</v>
      </c>
      <c r="Z892" s="5" t="str">
        <f>IF(B892=120,"NULL",IF(AND(V892="High Stress", W892="High Risk", Y892="Low"),"High Risk : Reject", IF(AND(V892="Healthy", W892="Good",Y892&lt;&gt;"Low"), "Low Risk : Approve", "Medium Risk : Review")))</f>
        <v>Medium Risk : Review</v>
      </c>
      <c r="AA892" s="5" t="str">
        <f t="shared" si="181"/>
        <v>Medium</v>
      </c>
    </row>
    <row r="893" spans="1:27" x14ac:dyDescent="0.2">
      <c r="A893">
        <v>21977</v>
      </c>
      <c r="B893">
        <v>44</v>
      </c>
      <c r="C893">
        <f t="shared" si="169"/>
        <v>44</v>
      </c>
      <c r="D893" t="s">
        <v>26</v>
      </c>
      <c r="E893" t="str">
        <f t="shared" si="170"/>
        <v>Salaried</v>
      </c>
      <c r="F893">
        <v>6113.75</v>
      </c>
      <c r="G893">
        <f>ABS(Table1[[#This Row],[Monthly_Income]])</f>
        <v>6113.75</v>
      </c>
      <c r="H893">
        <v>40505.93</v>
      </c>
      <c r="I893" s="5">
        <f t="shared" si="171"/>
        <v>40505.93</v>
      </c>
      <c r="J893">
        <v>36</v>
      </c>
      <c r="K893">
        <v>17.59</v>
      </c>
      <c r="M893" t="str">
        <f t="shared" si="172"/>
        <v>NULL</v>
      </c>
      <c r="N893">
        <v>12.6</v>
      </c>
      <c r="O893">
        <f t="shared" si="173"/>
        <v>12.6</v>
      </c>
      <c r="P893">
        <v>30</v>
      </c>
      <c r="Q893">
        <f t="shared" si="174"/>
        <v>30</v>
      </c>
      <c r="R893" t="s">
        <v>13</v>
      </c>
      <c r="S893" t="str">
        <f t="shared" si="175"/>
        <v>Performing</v>
      </c>
      <c r="T893" t="s">
        <v>16</v>
      </c>
      <c r="U893" s="3">
        <f t="shared" si="176"/>
        <v>0.18403839251232423</v>
      </c>
      <c r="V893" t="str">
        <f t="shared" si="177"/>
        <v>Healthy</v>
      </c>
      <c r="W893" t="str">
        <f t="shared" si="178"/>
        <v>At Risk</v>
      </c>
      <c r="X893" s="5" t="str">
        <f t="shared" si="179"/>
        <v>High</v>
      </c>
      <c r="Y893" s="5" t="str">
        <f t="shared" si="180"/>
        <v>High</v>
      </c>
      <c r="Z893" s="5" t="str">
        <f>IF(B893=120,"NULL",IF(AND(V893="High Stress", W893="High Risk", Y893="Low"),"High Risk : Reject", IF(AND(V893="Healthy", W893="Good",Y893&lt;&gt;"Low"), "Low Risk : Approve", "Medium Risk : Review")))</f>
        <v>Medium Risk : Review</v>
      </c>
      <c r="AA893" s="5" t="str">
        <f t="shared" si="181"/>
        <v>Medium</v>
      </c>
    </row>
    <row r="894" spans="1:27" x14ac:dyDescent="0.2">
      <c r="A894">
        <v>20881</v>
      </c>
      <c r="B894">
        <v>29</v>
      </c>
      <c r="C894">
        <f t="shared" si="169"/>
        <v>29</v>
      </c>
      <c r="D894" t="s">
        <v>17</v>
      </c>
      <c r="E894" t="str">
        <f t="shared" si="170"/>
        <v>Contract</v>
      </c>
      <c r="F894">
        <v>-1115.73</v>
      </c>
      <c r="G894">
        <f>ABS(Table1[[#This Row],[Monthly_Income]])</f>
        <v>1115.73</v>
      </c>
      <c r="H894">
        <v>22344.48</v>
      </c>
      <c r="I894" s="5">
        <f t="shared" si="171"/>
        <v>22344.48</v>
      </c>
      <c r="J894">
        <v>36</v>
      </c>
      <c r="K894">
        <v>21.25</v>
      </c>
      <c r="L894">
        <v>0</v>
      </c>
      <c r="M894">
        <f t="shared" si="172"/>
        <v>0</v>
      </c>
      <c r="N894">
        <v>11.5</v>
      </c>
      <c r="O894">
        <f t="shared" si="173"/>
        <v>11.5</v>
      </c>
      <c r="P894">
        <v>15</v>
      </c>
      <c r="Q894">
        <f t="shared" si="174"/>
        <v>15</v>
      </c>
      <c r="R894" t="s">
        <v>18</v>
      </c>
      <c r="S894" t="str">
        <f t="shared" si="175"/>
        <v>Non-Performing</v>
      </c>
      <c r="T894" t="s">
        <v>22</v>
      </c>
      <c r="U894" s="3">
        <f t="shared" si="176"/>
        <v>0.55629946313176126</v>
      </c>
      <c r="V894" t="str">
        <f t="shared" si="177"/>
        <v>High Stress</v>
      </c>
      <c r="W894" t="str">
        <f t="shared" si="178"/>
        <v>Good</v>
      </c>
      <c r="X894" s="5" t="str">
        <f t="shared" si="179"/>
        <v>Medium</v>
      </c>
      <c r="Y894" s="5" t="str">
        <f t="shared" si="180"/>
        <v>Low</v>
      </c>
      <c r="Z894" s="5" t="str">
        <f>IF(B894=120,"NULL",IF(AND(V894="High Stress", W894="High Risk", Y894="Low"),"High Risk : Reject", IF(AND(V894="Healthy", W894="Good",Y894&lt;&gt;"Low"), "Low Risk : Approve", "Medium Risk : Review")))</f>
        <v>Medium Risk : Review</v>
      </c>
      <c r="AA894" s="5" t="str">
        <f t="shared" si="181"/>
        <v>Low</v>
      </c>
    </row>
    <row r="895" spans="1:27" x14ac:dyDescent="0.2">
      <c r="A895">
        <v>20138</v>
      </c>
      <c r="B895">
        <v>34</v>
      </c>
      <c r="C895">
        <f t="shared" si="169"/>
        <v>34</v>
      </c>
      <c r="D895" t="s">
        <v>12</v>
      </c>
      <c r="E895" t="str">
        <f t="shared" si="170"/>
        <v>Self-Employed</v>
      </c>
      <c r="F895">
        <v>3005.69</v>
      </c>
      <c r="G895">
        <f>ABS(Table1[[#This Row],[Monthly_Income]])</f>
        <v>3005.69</v>
      </c>
      <c r="H895">
        <v>31416.33</v>
      </c>
      <c r="I895" s="5">
        <f t="shared" si="171"/>
        <v>31416.33</v>
      </c>
      <c r="J895">
        <v>60</v>
      </c>
      <c r="K895">
        <v>20.149999999999999</v>
      </c>
      <c r="L895">
        <v>0</v>
      </c>
      <c r="M895">
        <f t="shared" si="172"/>
        <v>0</v>
      </c>
      <c r="N895">
        <v>3.7</v>
      </c>
      <c r="O895">
        <f t="shared" si="173"/>
        <v>3.7</v>
      </c>
      <c r="Q895" t="str">
        <f t="shared" si="174"/>
        <v>NULL</v>
      </c>
      <c r="R895" t="s">
        <v>20</v>
      </c>
      <c r="S895" t="str">
        <f t="shared" si="175"/>
        <v>Written Off</v>
      </c>
      <c r="T895" t="s">
        <v>25</v>
      </c>
      <c r="U895" s="3">
        <f t="shared" si="176"/>
        <v>0.1742047583084084</v>
      </c>
      <c r="V895" t="str">
        <f t="shared" si="177"/>
        <v>Healthy</v>
      </c>
      <c r="W895" t="str">
        <f t="shared" si="178"/>
        <v>NULL</v>
      </c>
      <c r="X895" s="5" t="str">
        <f t="shared" si="179"/>
        <v>High</v>
      </c>
      <c r="Y895" s="5" t="str">
        <f t="shared" si="180"/>
        <v>Medium</v>
      </c>
      <c r="Z895" s="5" t="str">
        <f>IF(B895=120,"NULL",IF(AND(V895="High Stress", W895="High Risk", Y895="Low"),"High Risk : Reject", IF(AND(V895="Healthy", W895="Good",Y895&lt;&gt;"Low"), "Low Risk : Approve", "Medium Risk : Review")))</f>
        <v>Medium Risk : Review</v>
      </c>
      <c r="AA895" s="5" t="str">
        <f t="shared" si="181"/>
        <v>Medium</v>
      </c>
    </row>
    <row r="896" spans="1:27" x14ac:dyDescent="0.2">
      <c r="A896">
        <v>20642</v>
      </c>
      <c r="B896">
        <v>50</v>
      </c>
      <c r="C896">
        <f t="shared" si="169"/>
        <v>50</v>
      </c>
      <c r="D896" t="s">
        <v>17</v>
      </c>
      <c r="E896" t="str">
        <f t="shared" si="170"/>
        <v>Contract</v>
      </c>
      <c r="F896">
        <v>1606.79</v>
      </c>
      <c r="G896">
        <f>ABS(Table1[[#This Row],[Monthly_Income]])</f>
        <v>1606.79</v>
      </c>
      <c r="H896">
        <v>18344.59</v>
      </c>
      <c r="I896" s="5">
        <f t="shared" si="171"/>
        <v>18344.59</v>
      </c>
      <c r="J896">
        <v>36</v>
      </c>
      <c r="K896">
        <v>20.170000000000002</v>
      </c>
      <c r="L896">
        <v>1</v>
      </c>
      <c r="M896">
        <f t="shared" si="172"/>
        <v>1</v>
      </c>
      <c r="N896">
        <v>5.9</v>
      </c>
      <c r="O896">
        <f t="shared" si="173"/>
        <v>5.9</v>
      </c>
      <c r="P896">
        <v>90</v>
      </c>
      <c r="Q896">
        <f t="shared" si="174"/>
        <v>90</v>
      </c>
      <c r="R896" t="s">
        <v>15</v>
      </c>
      <c r="S896" t="str">
        <f t="shared" si="175"/>
        <v xml:space="preserve">Performing </v>
      </c>
      <c r="T896" t="s">
        <v>14</v>
      </c>
      <c r="U896" s="3">
        <f t="shared" si="176"/>
        <v>0.31713661676040084</v>
      </c>
      <c r="V896" t="str">
        <f t="shared" si="177"/>
        <v>Stretched</v>
      </c>
      <c r="W896" t="str">
        <f t="shared" si="178"/>
        <v>High Risk</v>
      </c>
      <c r="X896" s="5" t="str">
        <f t="shared" si="179"/>
        <v>Medium</v>
      </c>
      <c r="Y896" s="5" t="str">
        <f t="shared" si="180"/>
        <v>Low</v>
      </c>
      <c r="Z896" s="5" t="str">
        <f>IF(B896=120,"NULL",IF(AND(V896="High Stress", W896="High Risk", Y896="Low"),"High Risk : Reject", IF(AND(V896="Healthy", W896="Good",Y896&lt;&gt;"Low"), "Low Risk : Approve", "Medium Risk : Review")))</f>
        <v>Medium Risk : Review</v>
      </c>
      <c r="AA896" s="5" t="str">
        <f t="shared" si="181"/>
        <v>Low</v>
      </c>
    </row>
    <row r="897" spans="1:27" x14ac:dyDescent="0.2">
      <c r="A897">
        <v>22965</v>
      </c>
      <c r="B897">
        <v>47</v>
      </c>
      <c r="C897">
        <f t="shared" si="169"/>
        <v>47</v>
      </c>
      <c r="D897" t="s">
        <v>27</v>
      </c>
      <c r="E897" t="str">
        <f t="shared" si="170"/>
        <v>Unemployed</v>
      </c>
      <c r="F897">
        <v>2212.19</v>
      </c>
      <c r="G897">
        <f>ABS(Table1[[#This Row],[Monthly_Income]])</f>
        <v>2212.19</v>
      </c>
      <c r="H897">
        <v>35610.01</v>
      </c>
      <c r="I897" s="5">
        <f t="shared" si="171"/>
        <v>35610.01</v>
      </c>
      <c r="J897">
        <v>6</v>
      </c>
      <c r="K897">
        <v>13.98</v>
      </c>
      <c r="L897">
        <v>0</v>
      </c>
      <c r="M897">
        <f t="shared" si="172"/>
        <v>0</v>
      </c>
      <c r="N897">
        <v>4.7</v>
      </c>
      <c r="O897">
        <f t="shared" si="173"/>
        <v>4.7</v>
      </c>
      <c r="P897">
        <v>0</v>
      </c>
      <c r="Q897">
        <f t="shared" si="174"/>
        <v>0</v>
      </c>
      <c r="R897" t="s">
        <v>20</v>
      </c>
      <c r="S897" t="str">
        <f t="shared" si="175"/>
        <v>Written Off</v>
      </c>
      <c r="T897" t="s">
        <v>25</v>
      </c>
      <c r="U897" s="3">
        <f t="shared" si="176"/>
        <v>2.682862532904799</v>
      </c>
      <c r="V897" t="str">
        <f t="shared" si="177"/>
        <v>High Stress</v>
      </c>
      <c r="W897" t="str">
        <f t="shared" si="178"/>
        <v>Good</v>
      </c>
      <c r="X897" s="5" t="str">
        <f t="shared" si="179"/>
        <v>High</v>
      </c>
      <c r="Y897" s="5" t="str">
        <f t="shared" si="180"/>
        <v>Low</v>
      </c>
      <c r="Z897" s="5" t="str">
        <f>IF(B897=120,"NULL",IF(AND(V897="High Stress", W897="High Risk", Y897="Low"),"High Risk : Reject", IF(AND(V897="Healthy", W897="Good",Y897&lt;&gt;"Low"), "Low Risk : Approve", "Medium Risk : Review")))</f>
        <v>Medium Risk : Review</v>
      </c>
      <c r="AA897" s="5" t="str">
        <f t="shared" si="181"/>
        <v>Medium</v>
      </c>
    </row>
    <row r="898" spans="1:27" x14ac:dyDescent="0.2">
      <c r="A898">
        <v>22065</v>
      </c>
      <c r="B898">
        <v>35</v>
      </c>
      <c r="C898">
        <f t="shared" ref="C898:C961" si="182">IF(B898=120,"NULL",B898)</f>
        <v>35</v>
      </c>
      <c r="D898" t="s">
        <v>17</v>
      </c>
      <c r="E898" t="str">
        <f t="shared" ref="E898:E961" si="183">TRIM(IF(D898="Self employed","Self-Employed",D898))</f>
        <v>Contract</v>
      </c>
      <c r="F898">
        <v>7395.64</v>
      </c>
      <c r="G898">
        <f>ABS(Table1[[#This Row],[Monthly_Income]])</f>
        <v>7395.64</v>
      </c>
      <c r="H898">
        <v>599.57000000000005</v>
      </c>
      <c r="I898" s="5">
        <f t="shared" ref="I898:I961" si="184">IF(H898="","NULL",ABS(H898))</f>
        <v>599.57000000000005</v>
      </c>
      <c r="J898">
        <v>12</v>
      </c>
      <c r="K898">
        <v>8.4499999999999993</v>
      </c>
      <c r="M898" t="str">
        <f t="shared" ref="M898:M961" si="185">IF(L898="","NULL",L898)</f>
        <v>NULL</v>
      </c>
      <c r="N898">
        <v>0.9</v>
      </c>
      <c r="O898">
        <f t="shared" ref="O898:O961" si="186">IF(N898="","NULL",ABS(N898))</f>
        <v>0.9</v>
      </c>
      <c r="P898">
        <v>0</v>
      </c>
      <c r="Q898">
        <f t="shared" ref="Q898:Q961" si="187">IF(P898="","NULL",P898)</f>
        <v>0</v>
      </c>
      <c r="R898" t="s">
        <v>13</v>
      </c>
      <c r="S898" t="str">
        <f t="shared" ref="S898:S961" si="188">IF(R898="Non performing","Non-Performing",R898)</f>
        <v>Performing</v>
      </c>
      <c r="T898" t="s">
        <v>19</v>
      </c>
      <c r="U898" s="3">
        <f t="shared" ref="U898:U961" si="189">IFERROR(I898/(G898*J898),"NULL")</f>
        <v>6.7558949146614309E-3</v>
      </c>
      <c r="V898" t="str">
        <f t="shared" ref="V898:V961" si="190">IF(U898="NULL","NULL",IF(U898&lt;=0.3,"Healthy",IF(U898&lt;=0.45,"Stretched","High Stress")))</f>
        <v>Healthy</v>
      </c>
      <c r="W898" t="str">
        <f t="shared" ref="W898:W961" si="191">IF(Q898="NULL","NULL",IF(Q898&lt;30,"Good",IF(Q898&lt;60,"At Risk","High Risk")))</f>
        <v>Good</v>
      </c>
      <c r="X898" s="5" t="str">
        <f t="shared" ref="X898:X961" si="192">IF(I898&lt;10000,"Small",IF(I898&lt;=30000,"Medium","High"))</f>
        <v>Small</v>
      </c>
      <c r="Y898" s="5" t="str">
        <f t="shared" ref="Y898:Y961" si="193">IF(E898="Salaried","High",IF(E898="Self-Employed","Medium","Low"))</f>
        <v>Low</v>
      </c>
      <c r="Z898" s="5" t="str">
        <f>IF(B898=120,"NULL",IF(AND(V898="High Stress", W898="High Risk", Y898="Low"),"High Risk : Reject", IF(AND(V898="Healthy", W898="Good",Y898&lt;&gt;"Low"), "Low Risk : Approve", "Medium Risk : Review")))</f>
        <v>Medium Risk : Review</v>
      </c>
      <c r="AA898" s="5" t="str">
        <f t="shared" ref="AA898:AA961" si="194">IF(G898="NULL","NULL",IF(G898&gt;8000,"High",IF(G898&gt;2000,"Medium","Low")))</f>
        <v>Medium</v>
      </c>
    </row>
    <row r="899" spans="1:27" x14ac:dyDescent="0.2">
      <c r="A899">
        <v>24752</v>
      </c>
      <c r="B899">
        <v>18</v>
      </c>
      <c r="C899">
        <f t="shared" si="182"/>
        <v>18</v>
      </c>
      <c r="D899" t="s">
        <v>17</v>
      </c>
      <c r="E899" t="str">
        <f t="shared" si="183"/>
        <v>Contract</v>
      </c>
      <c r="F899">
        <v>4735.18</v>
      </c>
      <c r="G899">
        <f>ABS(Table1[[#This Row],[Monthly_Income]])</f>
        <v>4735.18</v>
      </c>
      <c r="H899">
        <v>22434</v>
      </c>
      <c r="I899" s="5">
        <f t="shared" si="184"/>
        <v>22434</v>
      </c>
      <c r="J899">
        <v>24</v>
      </c>
      <c r="K899">
        <v>18.329999999999998</v>
      </c>
      <c r="L899">
        <v>4</v>
      </c>
      <c r="M899">
        <f t="shared" si="185"/>
        <v>4</v>
      </c>
      <c r="N899">
        <v>6.9</v>
      </c>
      <c r="O899">
        <f t="shared" si="186"/>
        <v>6.9</v>
      </c>
      <c r="P899">
        <v>15</v>
      </c>
      <c r="Q899">
        <f t="shared" si="187"/>
        <v>15</v>
      </c>
      <c r="R899" t="s">
        <v>20</v>
      </c>
      <c r="S899" t="str">
        <f t="shared" si="188"/>
        <v>Written Off</v>
      </c>
      <c r="T899" t="s">
        <v>22</v>
      </c>
      <c r="U899" s="3">
        <f t="shared" si="189"/>
        <v>0.19740537846502137</v>
      </c>
      <c r="V899" t="str">
        <f t="shared" si="190"/>
        <v>Healthy</v>
      </c>
      <c r="W899" t="str">
        <f t="shared" si="191"/>
        <v>Good</v>
      </c>
      <c r="X899" s="5" t="str">
        <f t="shared" si="192"/>
        <v>Medium</v>
      </c>
      <c r="Y899" s="5" t="str">
        <f t="shared" si="193"/>
        <v>Low</v>
      </c>
      <c r="Z899" s="5" t="str">
        <f>IF(B899=120,"NULL",IF(AND(V899="High Stress", W899="High Risk", Y899="Low"),"High Risk : Reject", IF(AND(V899="Healthy", W899="Good",Y899&lt;&gt;"Low"), "Low Risk : Approve", "Medium Risk : Review")))</f>
        <v>Medium Risk : Review</v>
      </c>
      <c r="AA899" s="5" t="str">
        <f t="shared" si="194"/>
        <v>Medium</v>
      </c>
    </row>
    <row r="900" spans="1:27" x14ac:dyDescent="0.2">
      <c r="A900">
        <v>24591</v>
      </c>
      <c r="B900">
        <v>58</v>
      </c>
      <c r="C900">
        <f t="shared" si="182"/>
        <v>58</v>
      </c>
      <c r="D900" t="s">
        <v>23</v>
      </c>
      <c r="E900" t="str">
        <f t="shared" si="183"/>
        <v>Self-Employed</v>
      </c>
      <c r="F900">
        <v>3991.38</v>
      </c>
      <c r="G900">
        <f>ABS(Table1[[#This Row],[Monthly_Income]])</f>
        <v>3991.38</v>
      </c>
      <c r="H900">
        <v>26620.799999999999</v>
      </c>
      <c r="I900" s="5">
        <f t="shared" si="184"/>
        <v>26620.799999999999</v>
      </c>
      <c r="J900">
        <v>18</v>
      </c>
      <c r="K900">
        <v>13.37</v>
      </c>
      <c r="M900" t="str">
        <f t="shared" si="185"/>
        <v>NULL</v>
      </c>
      <c r="N900">
        <v>8.1999999999999993</v>
      </c>
      <c r="O900">
        <f t="shared" si="186"/>
        <v>8.1999999999999993</v>
      </c>
      <c r="P900">
        <v>60</v>
      </c>
      <c r="Q900">
        <f t="shared" si="187"/>
        <v>60</v>
      </c>
      <c r="R900" t="s">
        <v>13</v>
      </c>
      <c r="S900" t="str">
        <f t="shared" si="188"/>
        <v>Performing</v>
      </c>
      <c r="T900" t="s">
        <v>22</v>
      </c>
      <c r="U900" s="3">
        <f t="shared" si="189"/>
        <v>0.37053182942574581</v>
      </c>
      <c r="V900" t="str">
        <f t="shared" si="190"/>
        <v>Stretched</v>
      </c>
      <c r="W900" t="str">
        <f t="shared" si="191"/>
        <v>High Risk</v>
      </c>
      <c r="X900" s="5" t="str">
        <f t="shared" si="192"/>
        <v>Medium</v>
      </c>
      <c r="Y900" s="5" t="str">
        <f t="shared" si="193"/>
        <v>Medium</v>
      </c>
      <c r="Z900" s="5" t="str">
        <f>IF(B900=120,"NULL",IF(AND(V900="High Stress", W900="High Risk", Y900="Low"),"High Risk : Reject", IF(AND(V900="Healthy", W900="Good",Y900&lt;&gt;"Low"), "Low Risk : Approve", "Medium Risk : Review")))</f>
        <v>Medium Risk : Review</v>
      </c>
      <c r="AA900" s="5" t="str">
        <f t="shared" si="194"/>
        <v>Medium</v>
      </c>
    </row>
    <row r="901" spans="1:27" x14ac:dyDescent="0.2">
      <c r="A901">
        <v>23291</v>
      </c>
      <c r="B901">
        <v>59</v>
      </c>
      <c r="C901">
        <f t="shared" si="182"/>
        <v>59</v>
      </c>
      <c r="D901" t="s">
        <v>27</v>
      </c>
      <c r="E901" t="str">
        <f t="shared" si="183"/>
        <v>Unemployed</v>
      </c>
      <c r="F901">
        <v>3315.92</v>
      </c>
      <c r="G901">
        <f>ABS(Table1[[#This Row],[Monthly_Income]])</f>
        <v>3315.92</v>
      </c>
      <c r="H901">
        <v>8685.73</v>
      </c>
      <c r="I901" s="5">
        <f t="shared" si="184"/>
        <v>8685.73</v>
      </c>
      <c r="J901">
        <v>6</v>
      </c>
      <c r="K901">
        <v>12.78</v>
      </c>
      <c r="L901">
        <v>2</v>
      </c>
      <c r="M901">
        <f t="shared" si="185"/>
        <v>2</v>
      </c>
      <c r="N901">
        <v>7.7</v>
      </c>
      <c r="O901">
        <f t="shared" si="186"/>
        <v>7.7</v>
      </c>
      <c r="P901">
        <v>0</v>
      </c>
      <c r="Q901">
        <f t="shared" si="187"/>
        <v>0</v>
      </c>
      <c r="R901" t="s">
        <v>15</v>
      </c>
      <c r="S901" t="str">
        <f t="shared" si="188"/>
        <v xml:space="preserve">Performing </v>
      </c>
      <c r="T901" t="s">
        <v>16</v>
      </c>
      <c r="U901" s="3">
        <f t="shared" si="189"/>
        <v>0.43656712666972258</v>
      </c>
      <c r="V901" t="str">
        <f t="shared" si="190"/>
        <v>Stretched</v>
      </c>
      <c r="W901" t="str">
        <f t="shared" si="191"/>
        <v>Good</v>
      </c>
      <c r="X901" s="5" t="str">
        <f t="shared" si="192"/>
        <v>Small</v>
      </c>
      <c r="Y901" s="5" t="str">
        <f t="shared" si="193"/>
        <v>Low</v>
      </c>
      <c r="Z901" s="5" t="str">
        <f>IF(B901=120,"NULL",IF(AND(V901="High Stress", W901="High Risk", Y901="Low"),"High Risk : Reject", IF(AND(V901="Healthy", W901="Good",Y901&lt;&gt;"Low"), "Low Risk : Approve", "Medium Risk : Review")))</f>
        <v>Medium Risk : Review</v>
      </c>
      <c r="AA901" s="5" t="str">
        <f t="shared" si="194"/>
        <v>Medium</v>
      </c>
    </row>
    <row r="902" spans="1:27" x14ac:dyDescent="0.2">
      <c r="A902">
        <v>25156</v>
      </c>
      <c r="B902">
        <v>48</v>
      </c>
      <c r="C902">
        <f t="shared" si="182"/>
        <v>48</v>
      </c>
      <c r="D902" t="s">
        <v>12</v>
      </c>
      <c r="E902" t="str">
        <f t="shared" si="183"/>
        <v>Self-Employed</v>
      </c>
      <c r="F902">
        <v>3111.21</v>
      </c>
      <c r="G902">
        <f>ABS(Table1[[#This Row],[Monthly_Income]])</f>
        <v>3111.21</v>
      </c>
      <c r="H902">
        <v>19030.88</v>
      </c>
      <c r="I902" s="5">
        <f t="shared" si="184"/>
        <v>19030.88</v>
      </c>
      <c r="J902">
        <v>12</v>
      </c>
      <c r="K902">
        <v>16.309999999999999</v>
      </c>
      <c r="M902" t="str">
        <f t="shared" si="185"/>
        <v>NULL</v>
      </c>
      <c r="N902">
        <v>4.2</v>
      </c>
      <c r="O902">
        <f t="shared" si="186"/>
        <v>4.2</v>
      </c>
      <c r="P902">
        <v>30</v>
      </c>
      <c r="Q902">
        <f t="shared" si="187"/>
        <v>30</v>
      </c>
      <c r="R902" t="s">
        <v>20</v>
      </c>
      <c r="S902" t="str">
        <f t="shared" si="188"/>
        <v>Written Off</v>
      </c>
      <c r="T902" t="s">
        <v>16</v>
      </c>
      <c r="U902" s="3">
        <f t="shared" si="189"/>
        <v>0.50973951185123045</v>
      </c>
      <c r="V902" t="str">
        <f t="shared" si="190"/>
        <v>High Stress</v>
      </c>
      <c r="W902" t="str">
        <f t="shared" si="191"/>
        <v>At Risk</v>
      </c>
      <c r="X902" s="5" t="str">
        <f t="shared" si="192"/>
        <v>Medium</v>
      </c>
      <c r="Y902" s="5" t="str">
        <f t="shared" si="193"/>
        <v>Medium</v>
      </c>
      <c r="Z902" s="5" t="str">
        <f>IF(B902=120,"NULL",IF(AND(V902="High Stress", W902="High Risk", Y902="Low"),"High Risk : Reject", IF(AND(V902="Healthy", W902="Good",Y902&lt;&gt;"Low"), "Low Risk : Approve", "Medium Risk : Review")))</f>
        <v>Medium Risk : Review</v>
      </c>
      <c r="AA902" s="5" t="str">
        <f t="shared" si="194"/>
        <v>Medium</v>
      </c>
    </row>
    <row r="903" spans="1:27" x14ac:dyDescent="0.2">
      <c r="A903">
        <v>23011</v>
      </c>
      <c r="B903">
        <v>39</v>
      </c>
      <c r="C903">
        <f t="shared" si="182"/>
        <v>39</v>
      </c>
      <c r="D903" t="s">
        <v>23</v>
      </c>
      <c r="E903" t="str">
        <f t="shared" si="183"/>
        <v>Self-Employed</v>
      </c>
      <c r="F903">
        <v>4151.8500000000004</v>
      </c>
      <c r="G903">
        <f>ABS(Table1[[#This Row],[Monthly_Income]])</f>
        <v>4151.8500000000004</v>
      </c>
      <c r="H903">
        <v>42630.879999999997</v>
      </c>
      <c r="I903" s="5">
        <f t="shared" si="184"/>
        <v>42630.879999999997</v>
      </c>
      <c r="J903">
        <v>48</v>
      </c>
      <c r="K903">
        <v>55</v>
      </c>
      <c r="L903">
        <v>4</v>
      </c>
      <c r="M903">
        <f t="shared" si="185"/>
        <v>4</v>
      </c>
      <c r="N903">
        <v>-1.1000000000000001</v>
      </c>
      <c r="O903">
        <f t="shared" si="186"/>
        <v>1.1000000000000001</v>
      </c>
      <c r="P903">
        <v>15</v>
      </c>
      <c r="Q903">
        <f t="shared" si="187"/>
        <v>15</v>
      </c>
      <c r="R903" t="s">
        <v>18</v>
      </c>
      <c r="S903" t="str">
        <f t="shared" si="188"/>
        <v>Non-Performing</v>
      </c>
      <c r="T903" t="s">
        <v>14</v>
      </c>
      <c r="U903" s="3">
        <f t="shared" si="189"/>
        <v>0.2139150820317047</v>
      </c>
      <c r="V903" t="str">
        <f t="shared" si="190"/>
        <v>Healthy</v>
      </c>
      <c r="W903" t="str">
        <f t="shared" si="191"/>
        <v>Good</v>
      </c>
      <c r="X903" s="5" t="str">
        <f t="shared" si="192"/>
        <v>High</v>
      </c>
      <c r="Y903" s="5" t="str">
        <f t="shared" si="193"/>
        <v>Medium</v>
      </c>
      <c r="Z903" s="5" t="str">
        <f>IF(B903=120,"NULL",IF(AND(V903="High Stress", W903="High Risk", Y903="Low"),"High Risk : Reject", IF(AND(V903="Healthy", W903="Good",Y903&lt;&gt;"Low"), "Low Risk : Approve", "Medium Risk : Review")))</f>
        <v>Low Risk : Approve</v>
      </c>
      <c r="AA903" s="5" t="str">
        <f t="shared" si="194"/>
        <v>Medium</v>
      </c>
    </row>
    <row r="904" spans="1:27" x14ac:dyDescent="0.2">
      <c r="A904">
        <v>21044</v>
      </c>
      <c r="B904">
        <v>29</v>
      </c>
      <c r="C904">
        <f t="shared" si="182"/>
        <v>29</v>
      </c>
      <c r="D904" t="s">
        <v>27</v>
      </c>
      <c r="E904" t="str">
        <f t="shared" si="183"/>
        <v>Unemployed</v>
      </c>
      <c r="F904">
        <v>5704.94</v>
      </c>
      <c r="G904">
        <f>ABS(Table1[[#This Row],[Monthly_Income]])</f>
        <v>5704.94</v>
      </c>
      <c r="H904">
        <v>29328.53</v>
      </c>
      <c r="I904" s="5">
        <f t="shared" si="184"/>
        <v>29328.53</v>
      </c>
      <c r="J904">
        <v>6</v>
      </c>
      <c r="K904">
        <v>16.73</v>
      </c>
      <c r="M904" t="str">
        <f t="shared" si="185"/>
        <v>NULL</v>
      </c>
      <c r="N904">
        <v>3.5</v>
      </c>
      <c r="O904">
        <f t="shared" si="186"/>
        <v>3.5</v>
      </c>
      <c r="P904">
        <v>60</v>
      </c>
      <c r="Q904">
        <f t="shared" si="187"/>
        <v>60</v>
      </c>
      <c r="R904" t="s">
        <v>18</v>
      </c>
      <c r="S904" t="str">
        <f t="shared" si="188"/>
        <v>Non-Performing</v>
      </c>
      <c r="T904" t="s">
        <v>16</v>
      </c>
      <c r="U904" s="3">
        <f t="shared" si="189"/>
        <v>0.85681678218058965</v>
      </c>
      <c r="V904" t="str">
        <f t="shared" si="190"/>
        <v>High Stress</v>
      </c>
      <c r="W904" t="str">
        <f t="shared" si="191"/>
        <v>High Risk</v>
      </c>
      <c r="X904" s="5" t="str">
        <f t="shared" si="192"/>
        <v>Medium</v>
      </c>
      <c r="Y904" s="5" t="str">
        <f t="shared" si="193"/>
        <v>Low</v>
      </c>
      <c r="Z904" s="5" t="str">
        <f>IF(B904=120,"NULL",IF(AND(V904="High Stress", W904="High Risk", Y904="Low"),"High Risk : Reject", IF(AND(V904="Healthy", W904="Good",Y904&lt;&gt;"Low"), "Low Risk : Approve", "Medium Risk : Review")))</f>
        <v>High Risk : Reject</v>
      </c>
      <c r="AA904" s="5" t="str">
        <f t="shared" si="194"/>
        <v>Medium</v>
      </c>
    </row>
    <row r="905" spans="1:27" x14ac:dyDescent="0.2">
      <c r="A905">
        <v>25190</v>
      </c>
      <c r="B905">
        <v>75</v>
      </c>
      <c r="C905">
        <f t="shared" si="182"/>
        <v>75</v>
      </c>
      <c r="D905" t="s">
        <v>23</v>
      </c>
      <c r="E905" t="str">
        <f t="shared" si="183"/>
        <v>Self-Employed</v>
      </c>
      <c r="F905">
        <v>7153.75</v>
      </c>
      <c r="G905">
        <f>ABS(Table1[[#This Row],[Monthly_Income]])</f>
        <v>7153.75</v>
      </c>
      <c r="H905">
        <v>17089.32</v>
      </c>
      <c r="I905" s="5">
        <f t="shared" si="184"/>
        <v>17089.32</v>
      </c>
      <c r="J905">
        <v>60</v>
      </c>
      <c r="K905">
        <v>14.13</v>
      </c>
      <c r="M905" t="str">
        <f t="shared" si="185"/>
        <v>NULL</v>
      </c>
      <c r="N905">
        <v>10.199999999999999</v>
      </c>
      <c r="O905">
        <f t="shared" si="186"/>
        <v>10.199999999999999</v>
      </c>
      <c r="P905">
        <v>120</v>
      </c>
      <c r="Q905">
        <f t="shared" si="187"/>
        <v>120</v>
      </c>
      <c r="R905" t="s">
        <v>20</v>
      </c>
      <c r="S905" t="str">
        <f t="shared" si="188"/>
        <v>Written Off</v>
      </c>
      <c r="T905" t="s">
        <v>25</v>
      </c>
      <c r="U905" s="3">
        <f t="shared" si="189"/>
        <v>3.9814363096278178E-2</v>
      </c>
      <c r="V905" t="str">
        <f t="shared" si="190"/>
        <v>Healthy</v>
      </c>
      <c r="W905" t="str">
        <f t="shared" si="191"/>
        <v>High Risk</v>
      </c>
      <c r="X905" s="5" t="str">
        <f t="shared" si="192"/>
        <v>Medium</v>
      </c>
      <c r="Y905" s="5" t="str">
        <f t="shared" si="193"/>
        <v>Medium</v>
      </c>
      <c r="Z905" s="5" t="str">
        <f>IF(B905=120,"NULL",IF(AND(V905="High Stress", W905="High Risk", Y905="Low"),"High Risk : Reject", IF(AND(V905="Healthy", W905="Good",Y905&lt;&gt;"Low"), "Low Risk : Approve", "Medium Risk : Review")))</f>
        <v>Medium Risk : Review</v>
      </c>
      <c r="AA905" s="5" t="str">
        <f t="shared" si="194"/>
        <v>Medium</v>
      </c>
    </row>
    <row r="906" spans="1:27" x14ac:dyDescent="0.2">
      <c r="A906">
        <v>23918</v>
      </c>
      <c r="B906">
        <v>33</v>
      </c>
      <c r="C906">
        <f t="shared" si="182"/>
        <v>33</v>
      </c>
      <c r="D906" t="s">
        <v>21</v>
      </c>
      <c r="E906" t="str">
        <f t="shared" si="183"/>
        <v>Salaried</v>
      </c>
      <c r="F906">
        <v>2449.61</v>
      </c>
      <c r="G906">
        <f>ABS(Table1[[#This Row],[Monthly_Income]])</f>
        <v>2449.61</v>
      </c>
      <c r="H906">
        <v>16140.81</v>
      </c>
      <c r="I906" s="5">
        <f t="shared" si="184"/>
        <v>16140.81</v>
      </c>
      <c r="J906">
        <v>12</v>
      </c>
      <c r="K906">
        <v>20.51</v>
      </c>
      <c r="L906">
        <v>2</v>
      </c>
      <c r="M906">
        <f t="shared" si="185"/>
        <v>2</v>
      </c>
      <c r="N906">
        <v>11.5</v>
      </c>
      <c r="O906">
        <f t="shared" si="186"/>
        <v>11.5</v>
      </c>
      <c r="Q906" t="str">
        <f t="shared" si="187"/>
        <v>NULL</v>
      </c>
      <c r="R906" t="s">
        <v>13</v>
      </c>
      <c r="S906" t="str">
        <f t="shared" si="188"/>
        <v>Performing</v>
      </c>
      <c r="T906" t="s">
        <v>14</v>
      </c>
      <c r="U906" s="3">
        <f t="shared" si="189"/>
        <v>0.54909454974465322</v>
      </c>
      <c r="V906" t="str">
        <f t="shared" si="190"/>
        <v>High Stress</v>
      </c>
      <c r="W906" t="str">
        <f t="shared" si="191"/>
        <v>NULL</v>
      </c>
      <c r="X906" s="5" t="str">
        <f t="shared" si="192"/>
        <v>Medium</v>
      </c>
      <c r="Y906" s="5" t="str">
        <f t="shared" si="193"/>
        <v>High</v>
      </c>
      <c r="Z906" s="5" t="str">
        <f>IF(B906=120,"NULL",IF(AND(V906="High Stress", W906="High Risk", Y906="Low"),"High Risk : Reject", IF(AND(V906="Healthy", W906="Good",Y906&lt;&gt;"Low"), "Low Risk : Approve", "Medium Risk : Review")))</f>
        <v>Medium Risk : Review</v>
      </c>
      <c r="AA906" s="5" t="str">
        <f t="shared" si="194"/>
        <v>Medium</v>
      </c>
    </row>
    <row r="907" spans="1:27" x14ac:dyDescent="0.2">
      <c r="A907">
        <v>25601</v>
      </c>
      <c r="B907">
        <v>39</v>
      </c>
      <c r="C907">
        <f t="shared" si="182"/>
        <v>39</v>
      </c>
      <c r="D907" t="s">
        <v>23</v>
      </c>
      <c r="E907" t="str">
        <f t="shared" si="183"/>
        <v>Self-Employed</v>
      </c>
      <c r="F907">
        <v>3387.32</v>
      </c>
      <c r="G907">
        <f>ABS(Table1[[#This Row],[Monthly_Income]])</f>
        <v>3387.32</v>
      </c>
      <c r="H907">
        <v>12938.19</v>
      </c>
      <c r="I907" s="5">
        <f t="shared" si="184"/>
        <v>12938.19</v>
      </c>
      <c r="J907">
        <v>6</v>
      </c>
      <c r="K907">
        <v>21.55</v>
      </c>
      <c r="L907">
        <v>3</v>
      </c>
      <c r="M907">
        <f t="shared" si="185"/>
        <v>3</v>
      </c>
      <c r="N907">
        <v>6.6</v>
      </c>
      <c r="O907">
        <f t="shared" si="186"/>
        <v>6.6</v>
      </c>
      <c r="P907">
        <v>0</v>
      </c>
      <c r="Q907">
        <f t="shared" si="187"/>
        <v>0</v>
      </c>
      <c r="R907" t="s">
        <v>20</v>
      </c>
      <c r="S907" t="str">
        <f t="shared" si="188"/>
        <v>Written Off</v>
      </c>
      <c r="T907" t="s">
        <v>14</v>
      </c>
      <c r="U907" s="3">
        <f t="shared" si="189"/>
        <v>0.63659914032332343</v>
      </c>
      <c r="V907" t="str">
        <f t="shared" si="190"/>
        <v>High Stress</v>
      </c>
      <c r="W907" t="str">
        <f t="shared" si="191"/>
        <v>Good</v>
      </c>
      <c r="X907" s="5" t="str">
        <f t="shared" si="192"/>
        <v>Medium</v>
      </c>
      <c r="Y907" s="5" t="str">
        <f t="shared" si="193"/>
        <v>Medium</v>
      </c>
      <c r="Z907" s="5" t="str">
        <f>IF(B907=120,"NULL",IF(AND(V907="High Stress", W907="High Risk", Y907="Low"),"High Risk : Reject", IF(AND(V907="Healthy", W907="Good",Y907&lt;&gt;"Low"), "Low Risk : Approve", "Medium Risk : Review")))</f>
        <v>Medium Risk : Review</v>
      </c>
      <c r="AA907" s="5" t="str">
        <f t="shared" si="194"/>
        <v>Medium</v>
      </c>
    </row>
    <row r="908" spans="1:27" x14ac:dyDescent="0.2">
      <c r="A908">
        <v>25865</v>
      </c>
      <c r="B908">
        <v>75</v>
      </c>
      <c r="C908">
        <f t="shared" si="182"/>
        <v>75</v>
      </c>
      <c r="D908" t="s">
        <v>26</v>
      </c>
      <c r="E908" t="str">
        <f t="shared" si="183"/>
        <v>Salaried</v>
      </c>
      <c r="F908">
        <v>9027.33</v>
      </c>
      <c r="G908">
        <f>ABS(Table1[[#This Row],[Monthly_Income]])</f>
        <v>9027.33</v>
      </c>
      <c r="H908">
        <v>15789.23</v>
      </c>
      <c r="I908" s="5">
        <f t="shared" si="184"/>
        <v>15789.23</v>
      </c>
      <c r="J908">
        <v>18</v>
      </c>
      <c r="K908">
        <v>25.57</v>
      </c>
      <c r="L908">
        <v>0</v>
      </c>
      <c r="M908">
        <f t="shared" si="185"/>
        <v>0</v>
      </c>
      <c r="N908">
        <v>6.8</v>
      </c>
      <c r="O908">
        <f t="shared" si="186"/>
        <v>6.8</v>
      </c>
      <c r="P908">
        <v>0</v>
      </c>
      <c r="Q908">
        <f t="shared" si="187"/>
        <v>0</v>
      </c>
      <c r="R908" t="s">
        <v>15</v>
      </c>
      <c r="S908" t="str">
        <f t="shared" si="188"/>
        <v xml:space="preserve">Performing </v>
      </c>
      <c r="T908" t="s">
        <v>14</v>
      </c>
      <c r="U908" s="3">
        <f t="shared" si="189"/>
        <v>9.7169311905562814E-2</v>
      </c>
      <c r="V908" t="str">
        <f t="shared" si="190"/>
        <v>Healthy</v>
      </c>
      <c r="W908" t="str">
        <f t="shared" si="191"/>
        <v>Good</v>
      </c>
      <c r="X908" s="5" t="str">
        <f t="shared" si="192"/>
        <v>Medium</v>
      </c>
      <c r="Y908" s="5" t="str">
        <f t="shared" si="193"/>
        <v>High</v>
      </c>
      <c r="Z908" s="5" t="str">
        <f>IF(B908=120,"NULL",IF(AND(V908="High Stress", W908="High Risk", Y908="Low"),"High Risk : Reject", IF(AND(V908="Healthy", W908="Good",Y908&lt;&gt;"Low"), "Low Risk : Approve", "Medium Risk : Review")))</f>
        <v>Low Risk : Approve</v>
      </c>
      <c r="AA908" s="5" t="str">
        <f t="shared" si="194"/>
        <v>High</v>
      </c>
    </row>
    <row r="909" spans="1:27" x14ac:dyDescent="0.2">
      <c r="A909">
        <v>23879</v>
      </c>
      <c r="B909">
        <v>24</v>
      </c>
      <c r="C909">
        <f t="shared" si="182"/>
        <v>24</v>
      </c>
      <c r="D909" t="s">
        <v>17</v>
      </c>
      <c r="E909" t="str">
        <f t="shared" si="183"/>
        <v>Contract</v>
      </c>
      <c r="F909">
        <v>6866.32</v>
      </c>
      <c r="G909">
        <f>ABS(Table1[[#This Row],[Monthly_Income]])</f>
        <v>6866.32</v>
      </c>
      <c r="H909">
        <v>26453.45</v>
      </c>
      <c r="I909" s="5">
        <f t="shared" si="184"/>
        <v>26453.45</v>
      </c>
      <c r="J909">
        <v>48</v>
      </c>
      <c r="K909">
        <v>21.79</v>
      </c>
      <c r="L909">
        <v>1</v>
      </c>
      <c r="M909">
        <f t="shared" si="185"/>
        <v>1</v>
      </c>
      <c r="N909">
        <v>3.8</v>
      </c>
      <c r="O909">
        <f t="shared" si="186"/>
        <v>3.8</v>
      </c>
      <c r="P909">
        <v>0</v>
      </c>
      <c r="Q909">
        <f t="shared" si="187"/>
        <v>0</v>
      </c>
      <c r="R909" t="s">
        <v>20</v>
      </c>
      <c r="S909" t="str">
        <f t="shared" si="188"/>
        <v>Written Off</v>
      </c>
      <c r="T909" t="s">
        <v>19</v>
      </c>
      <c r="U909" s="3">
        <f t="shared" si="189"/>
        <v>8.0263305768834933E-2</v>
      </c>
      <c r="V909" t="str">
        <f t="shared" si="190"/>
        <v>Healthy</v>
      </c>
      <c r="W909" t="str">
        <f t="shared" si="191"/>
        <v>Good</v>
      </c>
      <c r="X909" s="5" t="str">
        <f t="shared" si="192"/>
        <v>Medium</v>
      </c>
      <c r="Y909" s="5" t="str">
        <f t="shared" si="193"/>
        <v>Low</v>
      </c>
      <c r="Z909" s="5" t="str">
        <f>IF(B909=120,"NULL",IF(AND(V909="High Stress", W909="High Risk", Y909="Low"),"High Risk : Reject", IF(AND(V909="Healthy", W909="Good",Y909&lt;&gt;"Low"), "Low Risk : Approve", "Medium Risk : Review")))</f>
        <v>Medium Risk : Review</v>
      </c>
      <c r="AA909" s="5" t="str">
        <f t="shared" si="194"/>
        <v>Medium</v>
      </c>
    </row>
    <row r="910" spans="1:27" x14ac:dyDescent="0.2">
      <c r="A910">
        <v>25152</v>
      </c>
      <c r="B910">
        <v>40</v>
      </c>
      <c r="C910">
        <f t="shared" si="182"/>
        <v>40</v>
      </c>
      <c r="D910" t="s">
        <v>27</v>
      </c>
      <c r="E910" t="str">
        <f t="shared" si="183"/>
        <v>Unemployed</v>
      </c>
      <c r="F910">
        <v>563.97</v>
      </c>
      <c r="G910">
        <f>ABS(Table1[[#This Row],[Monthly_Income]])</f>
        <v>563.97</v>
      </c>
      <c r="H910">
        <v>13822.39</v>
      </c>
      <c r="I910" s="5">
        <f t="shared" si="184"/>
        <v>13822.39</v>
      </c>
      <c r="J910">
        <v>36</v>
      </c>
      <c r="K910">
        <v>14.27</v>
      </c>
      <c r="L910">
        <v>0</v>
      </c>
      <c r="M910">
        <f t="shared" si="185"/>
        <v>0</v>
      </c>
      <c r="N910">
        <v>8</v>
      </c>
      <c r="O910">
        <f t="shared" si="186"/>
        <v>8</v>
      </c>
      <c r="P910">
        <v>0</v>
      </c>
      <c r="Q910">
        <f t="shared" si="187"/>
        <v>0</v>
      </c>
      <c r="R910" t="s">
        <v>20</v>
      </c>
      <c r="S910" t="str">
        <f t="shared" si="188"/>
        <v>Written Off</v>
      </c>
      <c r="T910" t="s">
        <v>14</v>
      </c>
      <c r="U910" s="3">
        <f t="shared" si="189"/>
        <v>0.68080798230008288</v>
      </c>
      <c r="V910" t="str">
        <f t="shared" si="190"/>
        <v>High Stress</v>
      </c>
      <c r="W910" t="str">
        <f t="shared" si="191"/>
        <v>Good</v>
      </c>
      <c r="X910" s="5" t="str">
        <f t="shared" si="192"/>
        <v>Medium</v>
      </c>
      <c r="Y910" s="5" t="str">
        <f t="shared" si="193"/>
        <v>Low</v>
      </c>
      <c r="Z910" s="5" t="str">
        <f>IF(B910=120,"NULL",IF(AND(V910="High Stress", W910="High Risk", Y910="Low"),"High Risk : Reject", IF(AND(V910="Healthy", W910="Good",Y910&lt;&gt;"Low"), "Low Risk : Approve", "Medium Risk : Review")))</f>
        <v>Medium Risk : Review</v>
      </c>
      <c r="AA910" s="5" t="str">
        <f t="shared" si="194"/>
        <v>Low</v>
      </c>
    </row>
    <row r="911" spans="1:27" x14ac:dyDescent="0.2">
      <c r="A911">
        <v>21751</v>
      </c>
      <c r="B911">
        <v>36</v>
      </c>
      <c r="C911">
        <f t="shared" si="182"/>
        <v>36</v>
      </c>
      <c r="D911" t="s">
        <v>12</v>
      </c>
      <c r="E911" t="str">
        <f t="shared" si="183"/>
        <v>Self-Employed</v>
      </c>
      <c r="F911">
        <v>6530.97</v>
      </c>
      <c r="G911">
        <f>ABS(Table1[[#This Row],[Monthly_Income]])</f>
        <v>6530.97</v>
      </c>
      <c r="H911">
        <v>12991.03</v>
      </c>
      <c r="I911" s="5">
        <f t="shared" si="184"/>
        <v>12991.03</v>
      </c>
      <c r="J911">
        <v>48</v>
      </c>
      <c r="K911">
        <v>16.09</v>
      </c>
      <c r="M911" t="str">
        <f t="shared" si="185"/>
        <v>NULL</v>
      </c>
      <c r="N911">
        <v>4.2</v>
      </c>
      <c r="O911">
        <f t="shared" si="186"/>
        <v>4.2</v>
      </c>
      <c r="P911">
        <v>120</v>
      </c>
      <c r="Q911">
        <f t="shared" si="187"/>
        <v>120</v>
      </c>
      <c r="R911" t="s">
        <v>24</v>
      </c>
      <c r="S911" t="str">
        <f t="shared" si="188"/>
        <v>Non-Performing</v>
      </c>
      <c r="T911" t="s">
        <v>14</v>
      </c>
      <c r="U911" s="3">
        <f t="shared" si="189"/>
        <v>4.1440468771611776E-2</v>
      </c>
      <c r="V911" t="str">
        <f t="shared" si="190"/>
        <v>Healthy</v>
      </c>
      <c r="W911" t="str">
        <f t="shared" si="191"/>
        <v>High Risk</v>
      </c>
      <c r="X911" s="5" t="str">
        <f t="shared" si="192"/>
        <v>Medium</v>
      </c>
      <c r="Y911" s="5" t="str">
        <f t="shared" si="193"/>
        <v>Medium</v>
      </c>
      <c r="Z911" s="5" t="str">
        <f>IF(B911=120,"NULL",IF(AND(V911="High Stress", W911="High Risk", Y911="Low"),"High Risk : Reject", IF(AND(V911="Healthy", W911="Good",Y911&lt;&gt;"Low"), "Low Risk : Approve", "Medium Risk : Review")))</f>
        <v>Medium Risk : Review</v>
      </c>
      <c r="AA911" s="5" t="str">
        <f t="shared" si="194"/>
        <v>Medium</v>
      </c>
    </row>
    <row r="912" spans="1:27" x14ac:dyDescent="0.2">
      <c r="A912">
        <v>25057</v>
      </c>
      <c r="B912">
        <v>38</v>
      </c>
      <c r="C912">
        <f t="shared" si="182"/>
        <v>38</v>
      </c>
      <c r="D912" t="s">
        <v>17</v>
      </c>
      <c r="E912" t="str">
        <f t="shared" si="183"/>
        <v>Contract</v>
      </c>
      <c r="F912">
        <v>3201.36</v>
      </c>
      <c r="G912">
        <f>ABS(Table1[[#This Row],[Monthly_Income]])</f>
        <v>3201.36</v>
      </c>
      <c r="H912">
        <v>26169.64</v>
      </c>
      <c r="I912" s="5">
        <f t="shared" si="184"/>
        <v>26169.64</v>
      </c>
      <c r="J912">
        <v>12</v>
      </c>
      <c r="K912">
        <v>18.170000000000002</v>
      </c>
      <c r="M912" t="str">
        <f t="shared" si="185"/>
        <v>NULL</v>
      </c>
      <c r="N912">
        <v>9.6999999999999993</v>
      </c>
      <c r="O912">
        <f t="shared" si="186"/>
        <v>9.6999999999999993</v>
      </c>
      <c r="P912">
        <v>60</v>
      </c>
      <c r="Q912">
        <f t="shared" si="187"/>
        <v>60</v>
      </c>
      <c r="R912" t="s">
        <v>20</v>
      </c>
      <c r="S912" t="str">
        <f t="shared" si="188"/>
        <v>Written Off</v>
      </c>
      <c r="T912" t="s">
        <v>16</v>
      </c>
      <c r="U912" s="3">
        <f t="shared" si="189"/>
        <v>0.6812115267677904</v>
      </c>
      <c r="V912" t="str">
        <f t="shared" si="190"/>
        <v>High Stress</v>
      </c>
      <c r="W912" t="str">
        <f t="shared" si="191"/>
        <v>High Risk</v>
      </c>
      <c r="X912" s="5" t="str">
        <f t="shared" si="192"/>
        <v>Medium</v>
      </c>
      <c r="Y912" s="5" t="str">
        <f t="shared" si="193"/>
        <v>Low</v>
      </c>
      <c r="Z912" s="5" t="str">
        <f>IF(B912=120,"NULL",IF(AND(V912="High Stress", W912="High Risk", Y912="Low"),"High Risk : Reject", IF(AND(V912="Healthy", W912="Good",Y912&lt;&gt;"Low"), "Low Risk : Approve", "Medium Risk : Review")))</f>
        <v>High Risk : Reject</v>
      </c>
      <c r="AA912" s="5" t="str">
        <f t="shared" si="194"/>
        <v>Medium</v>
      </c>
    </row>
    <row r="913" spans="1:27" x14ac:dyDescent="0.2">
      <c r="A913">
        <v>21046</v>
      </c>
      <c r="B913">
        <v>21</v>
      </c>
      <c r="C913">
        <f t="shared" si="182"/>
        <v>21</v>
      </c>
      <c r="D913" t="s">
        <v>26</v>
      </c>
      <c r="E913" t="str">
        <f t="shared" si="183"/>
        <v>Salaried</v>
      </c>
      <c r="F913">
        <v>4087.26</v>
      </c>
      <c r="G913">
        <f>ABS(Table1[[#This Row],[Monthly_Income]])</f>
        <v>4087.26</v>
      </c>
      <c r="H913">
        <v>12689.95</v>
      </c>
      <c r="I913" s="5">
        <f t="shared" si="184"/>
        <v>12689.95</v>
      </c>
      <c r="J913">
        <v>18</v>
      </c>
      <c r="K913">
        <v>16.75</v>
      </c>
      <c r="L913">
        <v>1</v>
      </c>
      <c r="M913">
        <f t="shared" si="185"/>
        <v>1</v>
      </c>
      <c r="N913">
        <v>16.8</v>
      </c>
      <c r="O913">
        <f t="shared" si="186"/>
        <v>16.8</v>
      </c>
      <c r="P913">
        <v>90</v>
      </c>
      <c r="Q913">
        <f t="shared" si="187"/>
        <v>90</v>
      </c>
      <c r="R913" t="s">
        <v>20</v>
      </c>
      <c r="S913" t="str">
        <f t="shared" si="188"/>
        <v>Written Off</v>
      </c>
      <c r="T913" t="s">
        <v>16</v>
      </c>
      <c r="U913" s="3">
        <f t="shared" si="189"/>
        <v>0.17248651228995029</v>
      </c>
      <c r="V913" t="str">
        <f t="shared" si="190"/>
        <v>Healthy</v>
      </c>
      <c r="W913" t="str">
        <f t="shared" si="191"/>
        <v>High Risk</v>
      </c>
      <c r="X913" s="5" t="str">
        <f t="shared" si="192"/>
        <v>Medium</v>
      </c>
      <c r="Y913" s="5" t="str">
        <f t="shared" si="193"/>
        <v>High</v>
      </c>
      <c r="Z913" s="5" t="str">
        <f>IF(B913=120,"NULL",IF(AND(V913="High Stress", W913="High Risk", Y913="Low"),"High Risk : Reject", IF(AND(V913="Healthy", W913="Good",Y913&lt;&gt;"Low"), "Low Risk : Approve", "Medium Risk : Review")))</f>
        <v>Medium Risk : Review</v>
      </c>
      <c r="AA913" s="5" t="str">
        <f t="shared" si="194"/>
        <v>Medium</v>
      </c>
    </row>
    <row r="914" spans="1:27" x14ac:dyDescent="0.2">
      <c r="A914">
        <v>25888</v>
      </c>
      <c r="B914">
        <v>52</v>
      </c>
      <c r="C914">
        <f t="shared" si="182"/>
        <v>52</v>
      </c>
      <c r="D914" t="s">
        <v>27</v>
      </c>
      <c r="E914" t="str">
        <f t="shared" si="183"/>
        <v>Unemployed</v>
      </c>
      <c r="F914">
        <v>6045.27</v>
      </c>
      <c r="G914">
        <f>ABS(Table1[[#This Row],[Monthly_Income]])</f>
        <v>6045.27</v>
      </c>
      <c r="H914">
        <v>17099.41</v>
      </c>
      <c r="I914" s="5">
        <f t="shared" si="184"/>
        <v>17099.41</v>
      </c>
      <c r="J914">
        <v>12</v>
      </c>
      <c r="K914">
        <v>15.1</v>
      </c>
      <c r="L914">
        <v>3</v>
      </c>
      <c r="M914">
        <f t="shared" si="185"/>
        <v>3</v>
      </c>
      <c r="N914">
        <v>3.8</v>
      </c>
      <c r="O914">
        <f t="shared" si="186"/>
        <v>3.8</v>
      </c>
      <c r="P914">
        <v>60</v>
      </c>
      <c r="Q914">
        <f t="shared" si="187"/>
        <v>60</v>
      </c>
      <c r="R914" t="s">
        <v>18</v>
      </c>
      <c r="S914" t="str">
        <f t="shared" si="188"/>
        <v>Non-Performing</v>
      </c>
      <c r="T914" t="s">
        <v>16</v>
      </c>
      <c r="U914" s="3">
        <f t="shared" si="189"/>
        <v>0.23571334834231278</v>
      </c>
      <c r="V914" t="str">
        <f t="shared" si="190"/>
        <v>Healthy</v>
      </c>
      <c r="W914" t="str">
        <f t="shared" si="191"/>
        <v>High Risk</v>
      </c>
      <c r="X914" s="5" t="str">
        <f t="shared" si="192"/>
        <v>Medium</v>
      </c>
      <c r="Y914" s="5" t="str">
        <f t="shared" si="193"/>
        <v>Low</v>
      </c>
      <c r="Z914" s="5" t="str">
        <f>IF(B914=120,"NULL",IF(AND(V914="High Stress", W914="High Risk", Y914="Low"),"High Risk : Reject", IF(AND(V914="Healthy", W914="Good",Y914&lt;&gt;"Low"), "Low Risk : Approve", "Medium Risk : Review")))</f>
        <v>Medium Risk : Review</v>
      </c>
      <c r="AA914" s="5" t="str">
        <f t="shared" si="194"/>
        <v>Medium</v>
      </c>
    </row>
    <row r="915" spans="1:27" x14ac:dyDescent="0.2">
      <c r="A915">
        <v>22050</v>
      </c>
      <c r="B915">
        <v>28</v>
      </c>
      <c r="C915">
        <f t="shared" si="182"/>
        <v>28</v>
      </c>
      <c r="D915" t="s">
        <v>12</v>
      </c>
      <c r="E915" t="str">
        <f t="shared" si="183"/>
        <v>Self-Employed</v>
      </c>
      <c r="F915">
        <v>3510.04</v>
      </c>
      <c r="G915">
        <f>ABS(Table1[[#This Row],[Monthly_Income]])</f>
        <v>3510.04</v>
      </c>
      <c r="H915">
        <v>10843.32</v>
      </c>
      <c r="I915" s="5">
        <f t="shared" si="184"/>
        <v>10843.32</v>
      </c>
      <c r="J915">
        <v>24</v>
      </c>
      <c r="K915">
        <v>2.87</v>
      </c>
      <c r="M915" t="str">
        <f t="shared" si="185"/>
        <v>NULL</v>
      </c>
      <c r="N915">
        <v>15.6</v>
      </c>
      <c r="O915">
        <f t="shared" si="186"/>
        <v>15.6</v>
      </c>
      <c r="P915">
        <v>90</v>
      </c>
      <c r="Q915">
        <f t="shared" si="187"/>
        <v>90</v>
      </c>
      <c r="R915" t="s">
        <v>15</v>
      </c>
      <c r="S915" t="str">
        <f t="shared" si="188"/>
        <v xml:space="preserve">Performing </v>
      </c>
      <c r="T915" t="s">
        <v>16</v>
      </c>
      <c r="U915" s="3">
        <f t="shared" si="189"/>
        <v>0.12871790634864561</v>
      </c>
      <c r="V915" t="str">
        <f t="shared" si="190"/>
        <v>Healthy</v>
      </c>
      <c r="W915" t="str">
        <f t="shared" si="191"/>
        <v>High Risk</v>
      </c>
      <c r="X915" s="5" t="str">
        <f t="shared" si="192"/>
        <v>Medium</v>
      </c>
      <c r="Y915" s="5" t="str">
        <f t="shared" si="193"/>
        <v>Medium</v>
      </c>
      <c r="Z915" s="5" t="str">
        <f>IF(B915=120,"NULL",IF(AND(V915="High Stress", W915="High Risk", Y915="Low"),"High Risk : Reject", IF(AND(V915="Healthy", W915="Good",Y915&lt;&gt;"Low"), "Low Risk : Approve", "Medium Risk : Review")))</f>
        <v>Medium Risk : Review</v>
      </c>
      <c r="AA915" s="5" t="str">
        <f t="shared" si="194"/>
        <v>Medium</v>
      </c>
    </row>
    <row r="916" spans="1:27" x14ac:dyDescent="0.2">
      <c r="A916">
        <v>23727</v>
      </c>
      <c r="B916">
        <v>44</v>
      </c>
      <c r="C916">
        <f t="shared" si="182"/>
        <v>44</v>
      </c>
      <c r="D916" t="s">
        <v>21</v>
      </c>
      <c r="E916" t="str">
        <f t="shared" si="183"/>
        <v>Salaried</v>
      </c>
      <c r="F916">
        <v>2267.71</v>
      </c>
      <c r="G916">
        <f>ABS(Table1[[#This Row],[Monthly_Income]])</f>
        <v>2267.71</v>
      </c>
      <c r="H916">
        <v>14884.34</v>
      </c>
      <c r="I916" s="5">
        <f t="shared" si="184"/>
        <v>14884.34</v>
      </c>
      <c r="J916">
        <v>36</v>
      </c>
      <c r="K916">
        <v>19</v>
      </c>
      <c r="L916">
        <v>3</v>
      </c>
      <c r="M916">
        <f t="shared" si="185"/>
        <v>3</v>
      </c>
      <c r="N916">
        <v>7.9</v>
      </c>
      <c r="O916">
        <f t="shared" si="186"/>
        <v>7.9</v>
      </c>
      <c r="P916">
        <v>90</v>
      </c>
      <c r="Q916">
        <f t="shared" si="187"/>
        <v>90</v>
      </c>
      <c r="R916" t="s">
        <v>13</v>
      </c>
      <c r="S916" t="str">
        <f t="shared" si="188"/>
        <v>Performing</v>
      </c>
      <c r="T916" t="s">
        <v>22</v>
      </c>
      <c r="U916" s="3">
        <f t="shared" si="189"/>
        <v>0.18232220561222065</v>
      </c>
      <c r="V916" t="str">
        <f t="shared" si="190"/>
        <v>Healthy</v>
      </c>
      <c r="W916" t="str">
        <f t="shared" si="191"/>
        <v>High Risk</v>
      </c>
      <c r="X916" s="5" t="str">
        <f t="shared" si="192"/>
        <v>Medium</v>
      </c>
      <c r="Y916" s="5" t="str">
        <f t="shared" si="193"/>
        <v>High</v>
      </c>
      <c r="Z916" s="5" t="str">
        <f>IF(B916=120,"NULL",IF(AND(V916="High Stress", W916="High Risk", Y916="Low"),"High Risk : Reject", IF(AND(V916="Healthy", W916="Good",Y916&lt;&gt;"Low"), "Low Risk : Approve", "Medium Risk : Review")))</f>
        <v>Medium Risk : Review</v>
      </c>
      <c r="AA916" s="5" t="str">
        <f t="shared" si="194"/>
        <v>Medium</v>
      </c>
    </row>
    <row r="917" spans="1:27" x14ac:dyDescent="0.2">
      <c r="A917">
        <v>21619</v>
      </c>
      <c r="B917">
        <v>120</v>
      </c>
      <c r="C917" t="str">
        <f t="shared" si="182"/>
        <v>NULL</v>
      </c>
      <c r="D917" t="s">
        <v>27</v>
      </c>
      <c r="E917" t="str">
        <f t="shared" si="183"/>
        <v>Unemployed</v>
      </c>
      <c r="F917">
        <v>-1500</v>
      </c>
      <c r="G917">
        <f>ABS(Table1[[#This Row],[Monthly_Income]])</f>
        <v>1500</v>
      </c>
      <c r="H917">
        <v>18685.2</v>
      </c>
      <c r="I917" s="5">
        <f t="shared" si="184"/>
        <v>18685.2</v>
      </c>
      <c r="J917">
        <v>48</v>
      </c>
      <c r="K917">
        <v>15.9</v>
      </c>
      <c r="L917">
        <v>4</v>
      </c>
      <c r="M917">
        <f t="shared" si="185"/>
        <v>4</v>
      </c>
      <c r="N917">
        <v>5.3</v>
      </c>
      <c r="O917">
        <f t="shared" si="186"/>
        <v>5.3</v>
      </c>
      <c r="P917">
        <v>90</v>
      </c>
      <c r="Q917">
        <f t="shared" si="187"/>
        <v>90</v>
      </c>
      <c r="R917" t="s">
        <v>15</v>
      </c>
      <c r="S917" t="str">
        <f t="shared" si="188"/>
        <v xml:space="preserve">Performing </v>
      </c>
      <c r="T917" t="s">
        <v>14</v>
      </c>
      <c r="U917" s="3">
        <f t="shared" si="189"/>
        <v>0.25951666666666667</v>
      </c>
      <c r="V917" t="str">
        <f t="shared" si="190"/>
        <v>Healthy</v>
      </c>
      <c r="W917" t="str">
        <f t="shared" si="191"/>
        <v>High Risk</v>
      </c>
      <c r="X917" s="5" t="str">
        <f t="shared" si="192"/>
        <v>Medium</v>
      </c>
      <c r="Y917" s="5" t="str">
        <f t="shared" si="193"/>
        <v>Low</v>
      </c>
      <c r="Z917" s="5" t="str">
        <f>IF(B917=120,"NULL",IF(AND(V917="High Stress", W917="High Risk", Y917="Low"),"High Risk : Reject", IF(AND(V917="Healthy", W917="Good",Y917&lt;&gt;"Low"), "Low Risk : Approve", "Medium Risk : Review")))</f>
        <v>NULL</v>
      </c>
      <c r="AA917" s="5" t="str">
        <f t="shared" si="194"/>
        <v>Low</v>
      </c>
    </row>
    <row r="918" spans="1:27" x14ac:dyDescent="0.2">
      <c r="A918">
        <v>24260</v>
      </c>
      <c r="B918">
        <v>47</v>
      </c>
      <c r="C918">
        <f t="shared" si="182"/>
        <v>47</v>
      </c>
      <c r="D918" t="s">
        <v>21</v>
      </c>
      <c r="E918" t="str">
        <f t="shared" si="183"/>
        <v>Salaried</v>
      </c>
      <c r="F918">
        <v>5479.11</v>
      </c>
      <c r="G918">
        <f>ABS(Table1[[#This Row],[Monthly_Income]])</f>
        <v>5479.11</v>
      </c>
      <c r="H918">
        <v>16910.46</v>
      </c>
      <c r="I918" s="5">
        <f t="shared" si="184"/>
        <v>16910.46</v>
      </c>
      <c r="J918">
        <v>36</v>
      </c>
      <c r="K918">
        <v>17.78</v>
      </c>
      <c r="M918" t="str">
        <f t="shared" si="185"/>
        <v>NULL</v>
      </c>
      <c r="N918">
        <v>9.6999999999999993</v>
      </c>
      <c r="O918">
        <f t="shared" si="186"/>
        <v>9.6999999999999993</v>
      </c>
      <c r="P918">
        <v>0</v>
      </c>
      <c r="Q918">
        <f t="shared" si="187"/>
        <v>0</v>
      </c>
      <c r="R918" t="s">
        <v>18</v>
      </c>
      <c r="S918" t="str">
        <f t="shared" si="188"/>
        <v>Non-Performing</v>
      </c>
      <c r="T918" t="s">
        <v>16</v>
      </c>
      <c r="U918" s="3">
        <f t="shared" si="189"/>
        <v>8.5731989319433266E-2</v>
      </c>
      <c r="V918" t="str">
        <f t="shared" si="190"/>
        <v>Healthy</v>
      </c>
      <c r="W918" t="str">
        <f t="shared" si="191"/>
        <v>Good</v>
      </c>
      <c r="X918" s="5" t="str">
        <f t="shared" si="192"/>
        <v>Medium</v>
      </c>
      <c r="Y918" s="5" t="str">
        <f t="shared" si="193"/>
        <v>High</v>
      </c>
      <c r="Z918" s="5" t="str">
        <f>IF(B918=120,"NULL",IF(AND(V918="High Stress", W918="High Risk", Y918="Low"),"High Risk : Reject", IF(AND(V918="Healthy", W918="Good",Y918&lt;&gt;"Low"), "Low Risk : Approve", "Medium Risk : Review")))</f>
        <v>Low Risk : Approve</v>
      </c>
      <c r="AA918" s="5" t="str">
        <f t="shared" si="194"/>
        <v>Medium</v>
      </c>
    </row>
    <row r="919" spans="1:27" x14ac:dyDescent="0.2">
      <c r="A919">
        <v>24235</v>
      </c>
      <c r="B919">
        <v>62</v>
      </c>
      <c r="C919">
        <f t="shared" si="182"/>
        <v>62</v>
      </c>
      <c r="D919" t="s">
        <v>26</v>
      </c>
      <c r="E919" t="str">
        <f t="shared" si="183"/>
        <v>Salaried</v>
      </c>
      <c r="F919">
        <v>6888.52</v>
      </c>
      <c r="G919">
        <f>ABS(Table1[[#This Row],[Monthly_Income]])</f>
        <v>6888.52</v>
      </c>
      <c r="H919">
        <v>13876.45</v>
      </c>
      <c r="I919" s="5">
        <f t="shared" si="184"/>
        <v>13876.45</v>
      </c>
      <c r="J919">
        <v>12</v>
      </c>
      <c r="K919">
        <v>18.579999999999998</v>
      </c>
      <c r="M919" t="str">
        <f t="shared" si="185"/>
        <v>NULL</v>
      </c>
      <c r="N919">
        <v>9.3000000000000007</v>
      </c>
      <c r="O919">
        <f t="shared" si="186"/>
        <v>9.3000000000000007</v>
      </c>
      <c r="Q919" t="str">
        <f t="shared" si="187"/>
        <v>NULL</v>
      </c>
      <c r="R919" t="s">
        <v>13</v>
      </c>
      <c r="S919" t="str">
        <f t="shared" si="188"/>
        <v>Performing</v>
      </c>
      <c r="T919" t="s">
        <v>16</v>
      </c>
      <c r="U919" s="3">
        <f t="shared" si="189"/>
        <v>0.16786927138679039</v>
      </c>
      <c r="V919" t="str">
        <f t="shared" si="190"/>
        <v>Healthy</v>
      </c>
      <c r="W919" t="str">
        <f t="shared" si="191"/>
        <v>NULL</v>
      </c>
      <c r="X919" s="5" t="str">
        <f t="shared" si="192"/>
        <v>Medium</v>
      </c>
      <c r="Y919" s="5" t="str">
        <f t="shared" si="193"/>
        <v>High</v>
      </c>
      <c r="Z919" s="5" t="str">
        <f>IF(B919=120,"NULL",IF(AND(V919="High Stress", W919="High Risk", Y919="Low"),"High Risk : Reject", IF(AND(V919="Healthy", W919="Good",Y919&lt;&gt;"Low"), "Low Risk : Approve", "Medium Risk : Review")))</f>
        <v>Medium Risk : Review</v>
      </c>
      <c r="AA919" s="5" t="str">
        <f t="shared" si="194"/>
        <v>Medium</v>
      </c>
    </row>
    <row r="920" spans="1:27" x14ac:dyDescent="0.2">
      <c r="A920">
        <v>21763</v>
      </c>
      <c r="B920">
        <v>50</v>
      </c>
      <c r="C920">
        <f t="shared" si="182"/>
        <v>50</v>
      </c>
      <c r="D920" t="s">
        <v>21</v>
      </c>
      <c r="E920" t="str">
        <f t="shared" si="183"/>
        <v>Salaried</v>
      </c>
      <c r="F920">
        <v>5010.8500000000004</v>
      </c>
      <c r="G920">
        <f>ABS(Table1[[#This Row],[Monthly_Income]])</f>
        <v>5010.8500000000004</v>
      </c>
      <c r="H920">
        <v>19828.849999999999</v>
      </c>
      <c r="I920" s="5">
        <f t="shared" si="184"/>
        <v>19828.849999999999</v>
      </c>
      <c r="J920">
        <v>60</v>
      </c>
      <c r="K920">
        <v>17.260000000000002</v>
      </c>
      <c r="L920">
        <v>2</v>
      </c>
      <c r="M920">
        <f t="shared" si="185"/>
        <v>2</v>
      </c>
      <c r="N920">
        <v>7.1</v>
      </c>
      <c r="O920">
        <f t="shared" si="186"/>
        <v>7.1</v>
      </c>
      <c r="P920">
        <v>15</v>
      </c>
      <c r="Q920">
        <f t="shared" si="187"/>
        <v>15</v>
      </c>
      <c r="R920" t="s">
        <v>15</v>
      </c>
      <c r="S920" t="str">
        <f t="shared" si="188"/>
        <v xml:space="preserve">Performing </v>
      </c>
      <c r="T920" t="s">
        <v>19</v>
      </c>
      <c r="U920" s="3">
        <f t="shared" si="189"/>
        <v>6.5953048551310317E-2</v>
      </c>
      <c r="V920" t="str">
        <f t="shared" si="190"/>
        <v>Healthy</v>
      </c>
      <c r="W920" t="str">
        <f t="shared" si="191"/>
        <v>Good</v>
      </c>
      <c r="X920" s="5" t="str">
        <f t="shared" si="192"/>
        <v>Medium</v>
      </c>
      <c r="Y920" s="5" t="str">
        <f t="shared" si="193"/>
        <v>High</v>
      </c>
      <c r="Z920" s="5" t="str">
        <f>IF(B920=120,"NULL",IF(AND(V920="High Stress", W920="High Risk", Y920="Low"),"High Risk : Reject", IF(AND(V920="Healthy", W920="Good",Y920&lt;&gt;"Low"), "Low Risk : Approve", "Medium Risk : Review")))</f>
        <v>Low Risk : Approve</v>
      </c>
      <c r="AA920" s="5" t="str">
        <f t="shared" si="194"/>
        <v>Medium</v>
      </c>
    </row>
    <row r="921" spans="1:27" x14ac:dyDescent="0.2">
      <c r="A921">
        <v>24731</v>
      </c>
      <c r="B921">
        <v>64</v>
      </c>
      <c r="C921">
        <f t="shared" si="182"/>
        <v>64</v>
      </c>
      <c r="D921" t="s">
        <v>17</v>
      </c>
      <c r="E921" t="str">
        <f t="shared" si="183"/>
        <v>Contract</v>
      </c>
      <c r="F921">
        <v>5328.75</v>
      </c>
      <c r="G921">
        <f>ABS(Table1[[#This Row],[Monthly_Income]])</f>
        <v>5328.75</v>
      </c>
      <c r="H921"/>
      <c r="I921" s="5" t="str">
        <f t="shared" si="184"/>
        <v>NULL</v>
      </c>
      <c r="J921">
        <v>24</v>
      </c>
      <c r="K921">
        <v>17.36</v>
      </c>
      <c r="L921">
        <v>2</v>
      </c>
      <c r="M921">
        <f t="shared" si="185"/>
        <v>2</v>
      </c>
      <c r="N921">
        <v>2.1</v>
      </c>
      <c r="O921">
        <f t="shared" si="186"/>
        <v>2.1</v>
      </c>
      <c r="P921">
        <v>15</v>
      </c>
      <c r="Q921">
        <f t="shared" si="187"/>
        <v>15</v>
      </c>
      <c r="R921" t="s">
        <v>24</v>
      </c>
      <c r="S921" t="str">
        <f t="shared" si="188"/>
        <v>Non-Performing</v>
      </c>
      <c r="T921" t="s">
        <v>22</v>
      </c>
      <c r="U921" s="3" t="str">
        <f t="shared" si="189"/>
        <v>NULL</v>
      </c>
      <c r="V921" t="str">
        <f t="shared" si="190"/>
        <v>NULL</v>
      </c>
      <c r="W921" t="str">
        <f t="shared" si="191"/>
        <v>Good</v>
      </c>
      <c r="X921" s="5" t="str">
        <f t="shared" si="192"/>
        <v>High</v>
      </c>
      <c r="Y921" s="5" t="str">
        <f t="shared" si="193"/>
        <v>Low</v>
      </c>
      <c r="Z921" s="5" t="str">
        <f>IF(B921=120,"NULL",IF(AND(V921="High Stress", W921="High Risk", Y921="Low"),"High Risk : Reject", IF(AND(V921="Healthy", W921="Good",Y921&lt;&gt;"Low"), "Low Risk : Approve", "Medium Risk : Review")))</f>
        <v>Medium Risk : Review</v>
      </c>
      <c r="AA921" s="5" t="str">
        <f t="shared" si="194"/>
        <v>Medium</v>
      </c>
    </row>
    <row r="922" spans="1:27" x14ac:dyDescent="0.2">
      <c r="A922">
        <v>23762</v>
      </c>
      <c r="B922">
        <v>59</v>
      </c>
      <c r="C922">
        <f t="shared" si="182"/>
        <v>59</v>
      </c>
      <c r="D922" t="s">
        <v>27</v>
      </c>
      <c r="E922" t="str">
        <f t="shared" si="183"/>
        <v>Unemployed</v>
      </c>
      <c r="F922">
        <v>5661.55</v>
      </c>
      <c r="G922">
        <f>ABS(Table1[[#This Row],[Monthly_Income]])</f>
        <v>5661.55</v>
      </c>
      <c r="H922">
        <v>14283.32</v>
      </c>
      <c r="I922" s="5">
        <f t="shared" si="184"/>
        <v>14283.32</v>
      </c>
      <c r="J922">
        <v>60</v>
      </c>
      <c r="K922">
        <v>23.54</v>
      </c>
      <c r="L922">
        <v>2</v>
      </c>
      <c r="M922">
        <f t="shared" si="185"/>
        <v>2</v>
      </c>
      <c r="N922">
        <v>8.3000000000000007</v>
      </c>
      <c r="O922">
        <f t="shared" si="186"/>
        <v>8.3000000000000007</v>
      </c>
      <c r="P922">
        <v>0</v>
      </c>
      <c r="Q922">
        <f t="shared" si="187"/>
        <v>0</v>
      </c>
      <c r="R922" t="s">
        <v>20</v>
      </c>
      <c r="S922" t="str">
        <f t="shared" si="188"/>
        <v>Written Off</v>
      </c>
      <c r="T922" t="s">
        <v>25</v>
      </c>
      <c r="U922" s="3">
        <f t="shared" si="189"/>
        <v>4.2047731333880886E-2</v>
      </c>
      <c r="V922" t="str">
        <f t="shared" si="190"/>
        <v>Healthy</v>
      </c>
      <c r="W922" t="str">
        <f t="shared" si="191"/>
        <v>Good</v>
      </c>
      <c r="X922" s="5" t="str">
        <f t="shared" si="192"/>
        <v>Medium</v>
      </c>
      <c r="Y922" s="5" t="str">
        <f t="shared" si="193"/>
        <v>Low</v>
      </c>
      <c r="Z922" s="5" t="str">
        <f>IF(B922=120,"NULL",IF(AND(V922="High Stress", W922="High Risk", Y922="Low"),"High Risk : Reject", IF(AND(V922="Healthy", W922="Good",Y922&lt;&gt;"Low"), "Low Risk : Approve", "Medium Risk : Review")))</f>
        <v>Medium Risk : Review</v>
      </c>
      <c r="AA922" s="5" t="str">
        <f t="shared" si="194"/>
        <v>Medium</v>
      </c>
    </row>
    <row r="923" spans="1:27" x14ac:dyDescent="0.2">
      <c r="A923">
        <v>23079</v>
      </c>
      <c r="B923">
        <v>56</v>
      </c>
      <c r="C923">
        <f t="shared" si="182"/>
        <v>56</v>
      </c>
      <c r="D923" t="s">
        <v>21</v>
      </c>
      <c r="E923" t="str">
        <f t="shared" si="183"/>
        <v>Salaried</v>
      </c>
      <c r="F923">
        <v>5503.12</v>
      </c>
      <c r="G923">
        <f>ABS(Table1[[#This Row],[Monthly_Income]])</f>
        <v>5503.12</v>
      </c>
      <c r="H923">
        <v>10171.33</v>
      </c>
      <c r="I923" s="5">
        <f t="shared" si="184"/>
        <v>10171.33</v>
      </c>
      <c r="J923">
        <v>48</v>
      </c>
      <c r="K923">
        <v>21.74</v>
      </c>
      <c r="M923" t="str">
        <f t="shared" si="185"/>
        <v>NULL</v>
      </c>
      <c r="N923">
        <v>12.7</v>
      </c>
      <c r="O923">
        <f t="shared" si="186"/>
        <v>12.7</v>
      </c>
      <c r="P923">
        <v>15</v>
      </c>
      <c r="Q923">
        <f t="shared" si="187"/>
        <v>15</v>
      </c>
      <c r="R923" t="s">
        <v>20</v>
      </c>
      <c r="S923" t="str">
        <f t="shared" si="188"/>
        <v>Written Off</v>
      </c>
      <c r="T923" t="s">
        <v>22</v>
      </c>
      <c r="U923" s="3">
        <f t="shared" si="189"/>
        <v>3.8505921792243915E-2</v>
      </c>
      <c r="V923" t="str">
        <f t="shared" si="190"/>
        <v>Healthy</v>
      </c>
      <c r="W923" t="str">
        <f t="shared" si="191"/>
        <v>Good</v>
      </c>
      <c r="X923" s="5" t="str">
        <f t="shared" si="192"/>
        <v>Medium</v>
      </c>
      <c r="Y923" s="5" t="str">
        <f t="shared" si="193"/>
        <v>High</v>
      </c>
      <c r="Z923" s="5" t="str">
        <f>IF(B923=120,"NULL",IF(AND(V923="High Stress", W923="High Risk", Y923="Low"),"High Risk : Reject", IF(AND(V923="Healthy", W923="Good",Y923&lt;&gt;"Low"), "Low Risk : Approve", "Medium Risk : Review")))</f>
        <v>Low Risk : Approve</v>
      </c>
      <c r="AA923" s="5" t="str">
        <f t="shared" si="194"/>
        <v>Medium</v>
      </c>
    </row>
    <row r="924" spans="1:27" x14ac:dyDescent="0.2">
      <c r="A924">
        <v>25387</v>
      </c>
      <c r="B924">
        <v>29</v>
      </c>
      <c r="C924">
        <f t="shared" si="182"/>
        <v>29</v>
      </c>
      <c r="D924" t="s">
        <v>12</v>
      </c>
      <c r="E924" t="str">
        <f t="shared" si="183"/>
        <v>Self-Employed</v>
      </c>
      <c r="F924">
        <v>5814.8</v>
      </c>
      <c r="G924">
        <f>ABS(Table1[[#This Row],[Monthly_Income]])</f>
        <v>5814.8</v>
      </c>
      <c r="H924">
        <v>16019.53</v>
      </c>
      <c r="I924" s="5">
        <f t="shared" si="184"/>
        <v>16019.53</v>
      </c>
      <c r="J924">
        <v>60</v>
      </c>
      <c r="K924">
        <v>17.5</v>
      </c>
      <c r="L924">
        <v>3</v>
      </c>
      <c r="M924">
        <f t="shared" si="185"/>
        <v>3</v>
      </c>
      <c r="N924">
        <v>12.1</v>
      </c>
      <c r="O924">
        <f t="shared" si="186"/>
        <v>12.1</v>
      </c>
      <c r="P924">
        <v>0</v>
      </c>
      <c r="Q924">
        <f t="shared" si="187"/>
        <v>0</v>
      </c>
      <c r="R924" t="s">
        <v>20</v>
      </c>
      <c r="S924" t="str">
        <f t="shared" si="188"/>
        <v>Written Off</v>
      </c>
      <c r="T924" t="s">
        <v>25</v>
      </c>
      <c r="U924" s="3">
        <f t="shared" si="189"/>
        <v>4.5915967301827523E-2</v>
      </c>
      <c r="V924" t="str">
        <f t="shared" si="190"/>
        <v>Healthy</v>
      </c>
      <c r="W924" t="str">
        <f t="shared" si="191"/>
        <v>Good</v>
      </c>
      <c r="X924" s="5" t="str">
        <f t="shared" si="192"/>
        <v>Medium</v>
      </c>
      <c r="Y924" s="5" t="str">
        <f t="shared" si="193"/>
        <v>Medium</v>
      </c>
      <c r="Z924" s="5" t="str">
        <f>IF(B924=120,"NULL",IF(AND(V924="High Stress", W924="High Risk", Y924="Low"),"High Risk : Reject", IF(AND(V924="Healthy", W924="Good",Y924&lt;&gt;"Low"), "Low Risk : Approve", "Medium Risk : Review")))</f>
        <v>Low Risk : Approve</v>
      </c>
      <c r="AA924" s="5" t="str">
        <f t="shared" si="194"/>
        <v>Medium</v>
      </c>
    </row>
    <row r="925" spans="1:27" x14ac:dyDescent="0.2">
      <c r="A925">
        <v>23247</v>
      </c>
      <c r="B925">
        <v>31</v>
      </c>
      <c r="C925">
        <f t="shared" si="182"/>
        <v>31</v>
      </c>
      <c r="D925" t="s">
        <v>27</v>
      </c>
      <c r="E925" t="str">
        <f t="shared" si="183"/>
        <v>Unemployed</v>
      </c>
      <c r="F925">
        <v>4874.25</v>
      </c>
      <c r="G925">
        <f>ABS(Table1[[#This Row],[Monthly_Income]])</f>
        <v>4874.25</v>
      </c>
      <c r="H925">
        <v>34986.019999999997</v>
      </c>
      <c r="I925" s="5">
        <f t="shared" si="184"/>
        <v>34986.019999999997</v>
      </c>
      <c r="J925">
        <v>12</v>
      </c>
      <c r="K925">
        <v>20.74</v>
      </c>
      <c r="L925">
        <v>4</v>
      </c>
      <c r="M925">
        <f t="shared" si="185"/>
        <v>4</v>
      </c>
      <c r="N925">
        <v>5.8</v>
      </c>
      <c r="O925">
        <f t="shared" si="186"/>
        <v>5.8</v>
      </c>
      <c r="P925">
        <v>0</v>
      </c>
      <c r="Q925">
        <f t="shared" si="187"/>
        <v>0</v>
      </c>
      <c r="R925" t="s">
        <v>15</v>
      </c>
      <c r="S925" t="str">
        <f t="shared" si="188"/>
        <v xml:space="preserve">Performing </v>
      </c>
      <c r="T925" t="s">
        <v>22</v>
      </c>
      <c r="U925" s="3">
        <f t="shared" si="189"/>
        <v>0.59814364603101322</v>
      </c>
      <c r="V925" t="str">
        <f t="shared" si="190"/>
        <v>High Stress</v>
      </c>
      <c r="W925" t="str">
        <f t="shared" si="191"/>
        <v>Good</v>
      </c>
      <c r="X925" s="5" t="str">
        <f t="shared" si="192"/>
        <v>High</v>
      </c>
      <c r="Y925" s="5" t="str">
        <f t="shared" si="193"/>
        <v>Low</v>
      </c>
      <c r="Z925" s="5" t="str">
        <f>IF(B925=120,"NULL",IF(AND(V925="High Stress", W925="High Risk", Y925="Low"),"High Risk : Reject", IF(AND(V925="Healthy", W925="Good",Y925&lt;&gt;"Low"), "Low Risk : Approve", "Medium Risk : Review")))</f>
        <v>Medium Risk : Review</v>
      </c>
      <c r="AA925" s="5" t="str">
        <f t="shared" si="194"/>
        <v>Medium</v>
      </c>
    </row>
    <row r="926" spans="1:27" x14ac:dyDescent="0.2">
      <c r="A926">
        <v>24922</v>
      </c>
      <c r="B926">
        <v>40</v>
      </c>
      <c r="C926">
        <f t="shared" si="182"/>
        <v>40</v>
      </c>
      <c r="D926" t="s">
        <v>26</v>
      </c>
      <c r="E926" t="str">
        <f t="shared" si="183"/>
        <v>Salaried</v>
      </c>
      <c r="F926">
        <v>6937.76</v>
      </c>
      <c r="G926">
        <f>ABS(Table1[[#This Row],[Monthly_Income]])</f>
        <v>6937.76</v>
      </c>
      <c r="H926">
        <v>25228.84</v>
      </c>
      <c r="I926" s="5">
        <f t="shared" si="184"/>
        <v>25228.84</v>
      </c>
      <c r="J926">
        <v>6</v>
      </c>
      <c r="K926">
        <v>16.82</v>
      </c>
      <c r="M926" t="str">
        <f t="shared" si="185"/>
        <v>NULL</v>
      </c>
      <c r="N926">
        <v>5.9</v>
      </c>
      <c r="O926">
        <f t="shared" si="186"/>
        <v>5.9</v>
      </c>
      <c r="P926">
        <v>0</v>
      </c>
      <c r="Q926">
        <f t="shared" si="187"/>
        <v>0</v>
      </c>
      <c r="R926" t="s">
        <v>15</v>
      </c>
      <c r="S926" t="str">
        <f t="shared" si="188"/>
        <v xml:space="preserve">Performing </v>
      </c>
      <c r="T926" t="s">
        <v>14</v>
      </c>
      <c r="U926" s="3">
        <f t="shared" si="189"/>
        <v>0.60607554407570552</v>
      </c>
      <c r="V926" t="str">
        <f t="shared" si="190"/>
        <v>High Stress</v>
      </c>
      <c r="W926" t="str">
        <f t="shared" si="191"/>
        <v>Good</v>
      </c>
      <c r="X926" s="5" t="str">
        <f t="shared" si="192"/>
        <v>Medium</v>
      </c>
      <c r="Y926" s="5" t="str">
        <f t="shared" si="193"/>
        <v>High</v>
      </c>
      <c r="Z926" s="5" t="str">
        <f>IF(B926=120,"NULL",IF(AND(V926="High Stress", W926="High Risk", Y926="Low"),"High Risk : Reject", IF(AND(V926="Healthy", W926="Good",Y926&lt;&gt;"Low"), "Low Risk : Approve", "Medium Risk : Review")))</f>
        <v>Medium Risk : Review</v>
      </c>
      <c r="AA926" s="5" t="str">
        <f t="shared" si="194"/>
        <v>Medium</v>
      </c>
    </row>
    <row r="927" spans="1:27" x14ac:dyDescent="0.2">
      <c r="A927">
        <v>23995</v>
      </c>
      <c r="B927">
        <v>23</v>
      </c>
      <c r="C927">
        <f t="shared" si="182"/>
        <v>23</v>
      </c>
      <c r="D927" t="s">
        <v>17</v>
      </c>
      <c r="E927" t="str">
        <f t="shared" si="183"/>
        <v>Contract</v>
      </c>
      <c r="F927">
        <v>2544.39</v>
      </c>
      <c r="G927">
        <f>ABS(Table1[[#This Row],[Monthly_Income]])</f>
        <v>2544.39</v>
      </c>
      <c r="H927">
        <v>5904.76</v>
      </c>
      <c r="I927" s="5">
        <f t="shared" si="184"/>
        <v>5904.76</v>
      </c>
      <c r="J927">
        <v>12</v>
      </c>
      <c r="K927">
        <v>22.21</v>
      </c>
      <c r="L927">
        <v>3</v>
      </c>
      <c r="M927">
        <f t="shared" si="185"/>
        <v>3</v>
      </c>
      <c r="N927">
        <v>14.6</v>
      </c>
      <c r="O927">
        <f t="shared" si="186"/>
        <v>14.6</v>
      </c>
      <c r="P927">
        <v>0</v>
      </c>
      <c r="Q927">
        <f t="shared" si="187"/>
        <v>0</v>
      </c>
      <c r="R927" t="s">
        <v>20</v>
      </c>
      <c r="S927" t="str">
        <f t="shared" si="188"/>
        <v>Written Off</v>
      </c>
      <c r="T927" t="s">
        <v>16</v>
      </c>
      <c r="U927" s="3">
        <f t="shared" si="189"/>
        <v>0.19339147431538928</v>
      </c>
      <c r="V927" t="str">
        <f t="shared" si="190"/>
        <v>Healthy</v>
      </c>
      <c r="W927" t="str">
        <f t="shared" si="191"/>
        <v>Good</v>
      </c>
      <c r="X927" s="5" t="str">
        <f t="shared" si="192"/>
        <v>Small</v>
      </c>
      <c r="Y927" s="5" t="str">
        <f t="shared" si="193"/>
        <v>Low</v>
      </c>
      <c r="Z927" s="5" t="str">
        <f>IF(B927=120,"NULL",IF(AND(V927="High Stress", W927="High Risk", Y927="Low"),"High Risk : Reject", IF(AND(V927="Healthy", W927="Good",Y927&lt;&gt;"Low"), "Low Risk : Approve", "Medium Risk : Review")))</f>
        <v>Medium Risk : Review</v>
      </c>
      <c r="AA927" s="5" t="str">
        <f t="shared" si="194"/>
        <v>Medium</v>
      </c>
    </row>
    <row r="928" spans="1:27" x14ac:dyDescent="0.2">
      <c r="A928">
        <v>20879</v>
      </c>
      <c r="B928">
        <v>75</v>
      </c>
      <c r="C928">
        <f t="shared" si="182"/>
        <v>75</v>
      </c>
      <c r="D928" t="s">
        <v>17</v>
      </c>
      <c r="E928" t="str">
        <f t="shared" si="183"/>
        <v>Contract</v>
      </c>
      <c r="F928">
        <v>-1500</v>
      </c>
      <c r="G928">
        <f>ABS(Table1[[#This Row],[Monthly_Income]])</f>
        <v>1500</v>
      </c>
      <c r="H928">
        <v>11028.38</v>
      </c>
      <c r="I928" s="5">
        <f t="shared" si="184"/>
        <v>11028.38</v>
      </c>
      <c r="J928">
        <v>12</v>
      </c>
      <c r="K928">
        <v>12.57</v>
      </c>
      <c r="L928">
        <v>1</v>
      </c>
      <c r="M928">
        <f t="shared" si="185"/>
        <v>1</v>
      </c>
      <c r="N928">
        <v>-1.9</v>
      </c>
      <c r="O928">
        <f t="shared" si="186"/>
        <v>1.9</v>
      </c>
      <c r="Q928" t="str">
        <f t="shared" si="187"/>
        <v>NULL</v>
      </c>
      <c r="R928" t="s">
        <v>15</v>
      </c>
      <c r="S928" t="str">
        <f t="shared" si="188"/>
        <v xml:space="preserve">Performing </v>
      </c>
      <c r="T928" t="s">
        <v>14</v>
      </c>
      <c r="U928" s="3">
        <f t="shared" si="189"/>
        <v>0.61268777777777772</v>
      </c>
      <c r="V928" t="str">
        <f t="shared" si="190"/>
        <v>High Stress</v>
      </c>
      <c r="W928" t="str">
        <f t="shared" si="191"/>
        <v>NULL</v>
      </c>
      <c r="X928" s="5" t="str">
        <f t="shared" si="192"/>
        <v>Medium</v>
      </c>
      <c r="Y928" s="5" t="str">
        <f t="shared" si="193"/>
        <v>Low</v>
      </c>
      <c r="Z928" s="5" t="str">
        <f>IF(B928=120,"NULL",IF(AND(V928="High Stress", W928="High Risk", Y928="Low"),"High Risk : Reject", IF(AND(V928="Healthy", W928="Good",Y928&lt;&gt;"Low"), "Low Risk : Approve", "Medium Risk : Review")))</f>
        <v>Medium Risk : Review</v>
      </c>
      <c r="AA928" s="5" t="str">
        <f t="shared" si="194"/>
        <v>Low</v>
      </c>
    </row>
    <row r="929" spans="1:27" x14ac:dyDescent="0.2">
      <c r="A929">
        <v>24616</v>
      </c>
      <c r="B929">
        <v>39</v>
      </c>
      <c r="C929">
        <f t="shared" si="182"/>
        <v>39</v>
      </c>
      <c r="D929" t="s">
        <v>26</v>
      </c>
      <c r="E929" t="str">
        <f t="shared" si="183"/>
        <v>Salaried</v>
      </c>
      <c r="F929">
        <v>7776.26</v>
      </c>
      <c r="G929">
        <f>ABS(Table1[[#This Row],[Monthly_Income]])</f>
        <v>7776.26</v>
      </c>
      <c r="H929">
        <v>15776.7</v>
      </c>
      <c r="I929" s="5">
        <f t="shared" si="184"/>
        <v>15776.7</v>
      </c>
      <c r="J929">
        <v>48</v>
      </c>
      <c r="K929">
        <v>24.69</v>
      </c>
      <c r="L929">
        <v>1</v>
      </c>
      <c r="M929">
        <f t="shared" si="185"/>
        <v>1</v>
      </c>
      <c r="N929">
        <v>3.5</v>
      </c>
      <c r="O929">
        <f t="shared" si="186"/>
        <v>3.5</v>
      </c>
      <c r="Q929" t="str">
        <f t="shared" si="187"/>
        <v>NULL</v>
      </c>
      <c r="R929" t="s">
        <v>24</v>
      </c>
      <c r="S929" t="str">
        <f t="shared" si="188"/>
        <v>Non-Performing</v>
      </c>
      <c r="T929" t="s">
        <v>16</v>
      </c>
      <c r="U929" s="3">
        <f t="shared" si="189"/>
        <v>4.2267266012196096E-2</v>
      </c>
      <c r="V929" t="str">
        <f t="shared" si="190"/>
        <v>Healthy</v>
      </c>
      <c r="W929" t="str">
        <f t="shared" si="191"/>
        <v>NULL</v>
      </c>
      <c r="X929" s="5" t="str">
        <f t="shared" si="192"/>
        <v>Medium</v>
      </c>
      <c r="Y929" s="5" t="str">
        <f t="shared" si="193"/>
        <v>High</v>
      </c>
      <c r="Z929" s="5" t="str">
        <f>IF(B929=120,"NULL",IF(AND(V929="High Stress", W929="High Risk", Y929="Low"),"High Risk : Reject", IF(AND(V929="Healthy", W929="Good",Y929&lt;&gt;"Low"), "Low Risk : Approve", "Medium Risk : Review")))</f>
        <v>Medium Risk : Review</v>
      </c>
      <c r="AA929" s="5" t="str">
        <f t="shared" si="194"/>
        <v>Medium</v>
      </c>
    </row>
    <row r="930" spans="1:27" x14ac:dyDescent="0.2">
      <c r="A930">
        <v>20320</v>
      </c>
      <c r="B930">
        <v>43</v>
      </c>
      <c r="C930">
        <f t="shared" si="182"/>
        <v>43</v>
      </c>
      <c r="D930" t="s">
        <v>27</v>
      </c>
      <c r="E930" t="str">
        <f t="shared" si="183"/>
        <v>Unemployed</v>
      </c>
      <c r="F930">
        <v>2410.8200000000002</v>
      </c>
      <c r="G930">
        <f>ABS(Table1[[#This Row],[Monthly_Income]])</f>
        <v>2410.8200000000002</v>
      </c>
      <c r="H930">
        <v>22784.080000000002</v>
      </c>
      <c r="I930" s="5">
        <f t="shared" si="184"/>
        <v>22784.080000000002</v>
      </c>
      <c r="J930">
        <v>48</v>
      </c>
      <c r="K930">
        <v>21.74</v>
      </c>
      <c r="L930">
        <v>4</v>
      </c>
      <c r="M930">
        <f t="shared" si="185"/>
        <v>4</v>
      </c>
      <c r="N930">
        <v>7.9</v>
      </c>
      <c r="O930">
        <f t="shared" si="186"/>
        <v>7.9</v>
      </c>
      <c r="P930">
        <v>0</v>
      </c>
      <c r="Q930">
        <f t="shared" si="187"/>
        <v>0</v>
      </c>
      <c r="R930" t="s">
        <v>24</v>
      </c>
      <c r="S930" t="str">
        <f t="shared" si="188"/>
        <v>Non-Performing</v>
      </c>
      <c r="T930" t="s">
        <v>14</v>
      </c>
      <c r="U930" s="3">
        <f t="shared" si="189"/>
        <v>0.19689082276293265</v>
      </c>
      <c r="V930" t="str">
        <f t="shared" si="190"/>
        <v>Healthy</v>
      </c>
      <c r="W930" t="str">
        <f t="shared" si="191"/>
        <v>Good</v>
      </c>
      <c r="X930" s="5" t="str">
        <f t="shared" si="192"/>
        <v>Medium</v>
      </c>
      <c r="Y930" s="5" t="str">
        <f t="shared" si="193"/>
        <v>Low</v>
      </c>
      <c r="Z930" s="5" t="str">
        <f>IF(B930=120,"NULL",IF(AND(V930="High Stress", W930="High Risk", Y930="Low"),"High Risk : Reject", IF(AND(V930="Healthy", W930="Good",Y930&lt;&gt;"Low"), "Low Risk : Approve", "Medium Risk : Review")))</f>
        <v>Medium Risk : Review</v>
      </c>
      <c r="AA930" s="5" t="str">
        <f t="shared" si="194"/>
        <v>Medium</v>
      </c>
    </row>
    <row r="931" spans="1:27" x14ac:dyDescent="0.2">
      <c r="A931">
        <v>20927</v>
      </c>
      <c r="B931">
        <v>18</v>
      </c>
      <c r="C931">
        <f t="shared" si="182"/>
        <v>18</v>
      </c>
      <c r="D931" t="s">
        <v>26</v>
      </c>
      <c r="E931" t="str">
        <f t="shared" si="183"/>
        <v>Salaried</v>
      </c>
      <c r="F931">
        <v>4504.07</v>
      </c>
      <c r="G931">
        <f>ABS(Table1[[#This Row],[Monthly_Income]])</f>
        <v>4504.07</v>
      </c>
      <c r="H931">
        <v>16259.91</v>
      </c>
      <c r="I931" s="5">
        <f t="shared" si="184"/>
        <v>16259.91</v>
      </c>
      <c r="J931">
        <v>36</v>
      </c>
      <c r="K931">
        <v>21.57</v>
      </c>
      <c r="M931" t="str">
        <f t="shared" si="185"/>
        <v>NULL</v>
      </c>
      <c r="N931">
        <v>5.2</v>
      </c>
      <c r="O931">
        <f t="shared" si="186"/>
        <v>5.2</v>
      </c>
      <c r="P931">
        <v>0</v>
      </c>
      <c r="Q931">
        <f t="shared" si="187"/>
        <v>0</v>
      </c>
      <c r="R931" t="s">
        <v>15</v>
      </c>
      <c r="S931" t="str">
        <f t="shared" si="188"/>
        <v xml:space="preserve">Performing </v>
      </c>
      <c r="T931" t="s">
        <v>14</v>
      </c>
      <c r="U931" s="3">
        <f t="shared" si="189"/>
        <v>0.10027911792371492</v>
      </c>
      <c r="V931" t="str">
        <f t="shared" si="190"/>
        <v>Healthy</v>
      </c>
      <c r="W931" t="str">
        <f t="shared" si="191"/>
        <v>Good</v>
      </c>
      <c r="X931" s="5" t="str">
        <f t="shared" si="192"/>
        <v>Medium</v>
      </c>
      <c r="Y931" s="5" t="str">
        <f t="shared" si="193"/>
        <v>High</v>
      </c>
      <c r="Z931" s="5" t="str">
        <f>IF(B931=120,"NULL",IF(AND(V931="High Stress", W931="High Risk", Y931="Low"),"High Risk : Reject", IF(AND(V931="Healthy", W931="Good",Y931&lt;&gt;"Low"), "Low Risk : Approve", "Medium Risk : Review")))</f>
        <v>Low Risk : Approve</v>
      </c>
      <c r="AA931" s="5" t="str">
        <f t="shared" si="194"/>
        <v>Medium</v>
      </c>
    </row>
    <row r="932" spans="1:27" x14ac:dyDescent="0.2">
      <c r="A932">
        <v>20107</v>
      </c>
      <c r="B932">
        <v>53</v>
      </c>
      <c r="C932">
        <f t="shared" si="182"/>
        <v>53</v>
      </c>
      <c r="D932" t="s">
        <v>26</v>
      </c>
      <c r="E932" t="str">
        <f t="shared" si="183"/>
        <v>Salaried</v>
      </c>
      <c r="F932">
        <v>4748.9799999999996</v>
      </c>
      <c r="G932">
        <f>ABS(Table1[[#This Row],[Monthly_Income]])</f>
        <v>4748.9799999999996</v>
      </c>
      <c r="H932">
        <v>18622.02</v>
      </c>
      <c r="I932" s="5">
        <f t="shared" si="184"/>
        <v>18622.02</v>
      </c>
      <c r="J932">
        <v>36</v>
      </c>
      <c r="K932">
        <v>20.85</v>
      </c>
      <c r="L932">
        <v>1</v>
      </c>
      <c r="M932">
        <f t="shared" si="185"/>
        <v>1</v>
      </c>
      <c r="N932">
        <v>7.8</v>
      </c>
      <c r="O932">
        <f t="shared" si="186"/>
        <v>7.8</v>
      </c>
      <c r="P932">
        <v>15</v>
      </c>
      <c r="Q932">
        <f t="shared" si="187"/>
        <v>15</v>
      </c>
      <c r="R932" t="s">
        <v>18</v>
      </c>
      <c r="S932" t="str">
        <f t="shared" si="188"/>
        <v>Non-Performing</v>
      </c>
      <c r="T932" t="s">
        <v>14</v>
      </c>
      <c r="U932" s="3">
        <f t="shared" si="189"/>
        <v>0.10892409176988184</v>
      </c>
      <c r="V932" t="str">
        <f t="shared" si="190"/>
        <v>Healthy</v>
      </c>
      <c r="W932" t="str">
        <f t="shared" si="191"/>
        <v>Good</v>
      </c>
      <c r="X932" s="5" t="str">
        <f t="shared" si="192"/>
        <v>Medium</v>
      </c>
      <c r="Y932" s="5" t="str">
        <f t="shared" si="193"/>
        <v>High</v>
      </c>
      <c r="Z932" s="5" t="str">
        <f>IF(B932=120,"NULL",IF(AND(V932="High Stress", W932="High Risk", Y932="Low"),"High Risk : Reject", IF(AND(V932="Healthy", W932="Good",Y932&lt;&gt;"Low"), "Low Risk : Approve", "Medium Risk : Review")))</f>
        <v>Low Risk : Approve</v>
      </c>
      <c r="AA932" s="5" t="str">
        <f t="shared" si="194"/>
        <v>Medium</v>
      </c>
    </row>
    <row r="933" spans="1:27" x14ac:dyDescent="0.2">
      <c r="A933">
        <v>21881</v>
      </c>
      <c r="B933">
        <v>52</v>
      </c>
      <c r="C933">
        <f t="shared" si="182"/>
        <v>52</v>
      </c>
      <c r="D933" t="s">
        <v>17</v>
      </c>
      <c r="E933" t="str">
        <f t="shared" si="183"/>
        <v>Contract</v>
      </c>
      <c r="F933">
        <v>4262.67</v>
      </c>
      <c r="G933">
        <f>ABS(Table1[[#This Row],[Monthly_Income]])</f>
        <v>4262.67</v>
      </c>
      <c r="H933">
        <v>34894.14</v>
      </c>
      <c r="I933" s="5">
        <f t="shared" si="184"/>
        <v>34894.14</v>
      </c>
      <c r="J933">
        <v>18</v>
      </c>
      <c r="K933">
        <v>22.39</v>
      </c>
      <c r="L933">
        <v>4</v>
      </c>
      <c r="M933">
        <f t="shared" si="185"/>
        <v>4</v>
      </c>
      <c r="N933">
        <v>7.4</v>
      </c>
      <c r="O933">
        <f t="shared" si="186"/>
        <v>7.4</v>
      </c>
      <c r="P933">
        <v>120</v>
      </c>
      <c r="Q933">
        <f t="shared" si="187"/>
        <v>120</v>
      </c>
      <c r="R933" t="s">
        <v>18</v>
      </c>
      <c r="S933" t="str">
        <f t="shared" si="188"/>
        <v>Non-Performing</v>
      </c>
      <c r="T933" t="s">
        <v>22</v>
      </c>
      <c r="U933" s="3">
        <f t="shared" si="189"/>
        <v>0.45477677918612824</v>
      </c>
      <c r="V933" t="str">
        <f t="shared" si="190"/>
        <v>High Stress</v>
      </c>
      <c r="W933" t="str">
        <f t="shared" si="191"/>
        <v>High Risk</v>
      </c>
      <c r="X933" s="5" t="str">
        <f t="shared" si="192"/>
        <v>High</v>
      </c>
      <c r="Y933" s="5" t="str">
        <f t="shared" si="193"/>
        <v>Low</v>
      </c>
      <c r="Z933" s="5" t="str">
        <f>IF(B933=120,"NULL",IF(AND(V933="High Stress", W933="High Risk", Y933="Low"),"High Risk : Reject", IF(AND(V933="Healthy", W933="Good",Y933&lt;&gt;"Low"), "Low Risk : Approve", "Medium Risk : Review")))</f>
        <v>High Risk : Reject</v>
      </c>
      <c r="AA933" s="5" t="str">
        <f t="shared" si="194"/>
        <v>Medium</v>
      </c>
    </row>
    <row r="934" spans="1:27" x14ac:dyDescent="0.2">
      <c r="A934">
        <v>23117</v>
      </c>
      <c r="B934">
        <v>57</v>
      </c>
      <c r="C934">
        <f t="shared" si="182"/>
        <v>57</v>
      </c>
      <c r="D934" t="s">
        <v>23</v>
      </c>
      <c r="E934" t="str">
        <f t="shared" si="183"/>
        <v>Self-Employed</v>
      </c>
      <c r="F934">
        <v>3302.93</v>
      </c>
      <c r="G934">
        <f>ABS(Table1[[#This Row],[Monthly_Income]])</f>
        <v>3302.93</v>
      </c>
      <c r="H934">
        <v>21994.55</v>
      </c>
      <c r="I934" s="5">
        <f t="shared" si="184"/>
        <v>21994.55</v>
      </c>
      <c r="J934">
        <v>60</v>
      </c>
      <c r="K934">
        <v>27.61</v>
      </c>
      <c r="L934">
        <v>1</v>
      </c>
      <c r="M934">
        <f t="shared" si="185"/>
        <v>1</v>
      </c>
      <c r="N934">
        <v>3.3</v>
      </c>
      <c r="O934">
        <f t="shared" si="186"/>
        <v>3.3</v>
      </c>
      <c r="P934">
        <v>15</v>
      </c>
      <c r="Q934">
        <f t="shared" si="187"/>
        <v>15</v>
      </c>
      <c r="R934" t="s">
        <v>13</v>
      </c>
      <c r="S934" t="str">
        <f t="shared" si="188"/>
        <v>Performing</v>
      </c>
      <c r="T934" t="s">
        <v>19</v>
      </c>
      <c r="U934" s="3">
        <f t="shared" si="189"/>
        <v>0.11098504459172109</v>
      </c>
      <c r="V934" t="str">
        <f t="shared" si="190"/>
        <v>Healthy</v>
      </c>
      <c r="W934" t="str">
        <f t="shared" si="191"/>
        <v>Good</v>
      </c>
      <c r="X934" s="5" t="str">
        <f t="shared" si="192"/>
        <v>Medium</v>
      </c>
      <c r="Y934" s="5" t="str">
        <f t="shared" si="193"/>
        <v>Medium</v>
      </c>
      <c r="Z934" s="5" t="str">
        <f>IF(B934=120,"NULL",IF(AND(V934="High Stress", W934="High Risk", Y934="Low"),"High Risk : Reject", IF(AND(V934="Healthy", W934="Good",Y934&lt;&gt;"Low"), "Low Risk : Approve", "Medium Risk : Review")))</f>
        <v>Low Risk : Approve</v>
      </c>
      <c r="AA934" s="5" t="str">
        <f t="shared" si="194"/>
        <v>Medium</v>
      </c>
    </row>
    <row r="935" spans="1:27" x14ac:dyDescent="0.2">
      <c r="A935">
        <v>22761</v>
      </c>
      <c r="B935">
        <v>44</v>
      </c>
      <c r="C935">
        <f t="shared" si="182"/>
        <v>44</v>
      </c>
      <c r="D935" t="s">
        <v>12</v>
      </c>
      <c r="E935" t="str">
        <f t="shared" si="183"/>
        <v>Self-Employed</v>
      </c>
      <c r="F935">
        <v>5349.29</v>
      </c>
      <c r="G935">
        <f>ABS(Table1[[#This Row],[Monthly_Income]])</f>
        <v>5349.29</v>
      </c>
      <c r="H935">
        <v>18182.36</v>
      </c>
      <c r="I935" s="5">
        <f t="shared" si="184"/>
        <v>18182.36</v>
      </c>
      <c r="J935">
        <v>36</v>
      </c>
      <c r="K935">
        <v>18.8</v>
      </c>
      <c r="L935">
        <v>4</v>
      </c>
      <c r="M935">
        <f t="shared" si="185"/>
        <v>4</v>
      </c>
      <c r="N935">
        <v>3.7</v>
      </c>
      <c r="O935">
        <f t="shared" si="186"/>
        <v>3.7</v>
      </c>
      <c r="Q935" t="str">
        <f t="shared" si="187"/>
        <v>NULL</v>
      </c>
      <c r="R935" t="s">
        <v>15</v>
      </c>
      <c r="S935" t="str">
        <f t="shared" si="188"/>
        <v xml:space="preserve">Performing </v>
      </c>
      <c r="T935" t="s">
        <v>22</v>
      </c>
      <c r="U935" s="3">
        <f t="shared" si="189"/>
        <v>9.4417306886625252E-2</v>
      </c>
      <c r="V935" t="str">
        <f t="shared" si="190"/>
        <v>Healthy</v>
      </c>
      <c r="W935" t="str">
        <f t="shared" si="191"/>
        <v>NULL</v>
      </c>
      <c r="X935" s="5" t="str">
        <f t="shared" si="192"/>
        <v>Medium</v>
      </c>
      <c r="Y935" s="5" t="str">
        <f t="shared" si="193"/>
        <v>Medium</v>
      </c>
      <c r="Z935" s="5" t="str">
        <f>IF(B935=120,"NULL",IF(AND(V935="High Stress", W935="High Risk", Y935="Low"),"High Risk : Reject", IF(AND(V935="Healthy", W935="Good",Y935&lt;&gt;"Low"), "Low Risk : Approve", "Medium Risk : Review")))</f>
        <v>Medium Risk : Review</v>
      </c>
      <c r="AA935" s="5" t="str">
        <f t="shared" si="194"/>
        <v>Medium</v>
      </c>
    </row>
    <row r="936" spans="1:27" x14ac:dyDescent="0.2">
      <c r="A936">
        <v>23001</v>
      </c>
      <c r="B936">
        <v>41</v>
      </c>
      <c r="C936">
        <f t="shared" si="182"/>
        <v>41</v>
      </c>
      <c r="D936" t="s">
        <v>27</v>
      </c>
      <c r="E936" t="str">
        <f t="shared" si="183"/>
        <v>Unemployed</v>
      </c>
      <c r="F936">
        <v>6592.82</v>
      </c>
      <c r="G936">
        <f>ABS(Table1[[#This Row],[Monthly_Income]])</f>
        <v>6592.82</v>
      </c>
      <c r="H936">
        <v>34950.870000000003</v>
      </c>
      <c r="I936" s="5">
        <f t="shared" si="184"/>
        <v>34950.870000000003</v>
      </c>
      <c r="J936">
        <v>24</v>
      </c>
      <c r="K936">
        <v>55</v>
      </c>
      <c r="L936">
        <v>1</v>
      </c>
      <c r="M936">
        <f t="shared" si="185"/>
        <v>1</v>
      </c>
      <c r="N936">
        <v>0.9</v>
      </c>
      <c r="O936">
        <f t="shared" si="186"/>
        <v>0.9</v>
      </c>
      <c r="P936">
        <v>30</v>
      </c>
      <c r="Q936">
        <f t="shared" si="187"/>
        <v>30</v>
      </c>
      <c r="R936" t="s">
        <v>18</v>
      </c>
      <c r="S936" t="str">
        <f t="shared" si="188"/>
        <v>Non-Performing</v>
      </c>
      <c r="T936" t="s">
        <v>19</v>
      </c>
      <c r="U936" s="3">
        <f t="shared" si="189"/>
        <v>0.22088973307325244</v>
      </c>
      <c r="V936" t="str">
        <f t="shared" si="190"/>
        <v>Healthy</v>
      </c>
      <c r="W936" t="str">
        <f t="shared" si="191"/>
        <v>At Risk</v>
      </c>
      <c r="X936" s="5" t="str">
        <f t="shared" si="192"/>
        <v>High</v>
      </c>
      <c r="Y936" s="5" t="str">
        <f t="shared" si="193"/>
        <v>Low</v>
      </c>
      <c r="Z936" s="5" t="str">
        <f>IF(B936=120,"NULL",IF(AND(V936="High Stress", W936="High Risk", Y936="Low"),"High Risk : Reject", IF(AND(V936="Healthy", W936="Good",Y936&lt;&gt;"Low"), "Low Risk : Approve", "Medium Risk : Review")))</f>
        <v>Medium Risk : Review</v>
      </c>
      <c r="AA936" s="5" t="str">
        <f t="shared" si="194"/>
        <v>Medium</v>
      </c>
    </row>
    <row r="937" spans="1:27" x14ac:dyDescent="0.2">
      <c r="A937">
        <v>25338</v>
      </c>
      <c r="B937">
        <v>46</v>
      </c>
      <c r="C937">
        <f t="shared" si="182"/>
        <v>46</v>
      </c>
      <c r="D937" t="s">
        <v>26</v>
      </c>
      <c r="E937" t="str">
        <f t="shared" si="183"/>
        <v>Salaried</v>
      </c>
      <c r="F937">
        <v>6301.4</v>
      </c>
      <c r="G937">
        <f>ABS(Table1[[#This Row],[Monthly_Income]])</f>
        <v>6301.4</v>
      </c>
      <c r="H937">
        <v>14593.8</v>
      </c>
      <c r="I937" s="5">
        <f t="shared" si="184"/>
        <v>14593.8</v>
      </c>
      <c r="J937">
        <v>18</v>
      </c>
      <c r="K937">
        <v>13.68</v>
      </c>
      <c r="L937">
        <v>0</v>
      </c>
      <c r="M937">
        <f t="shared" si="185"/>
        <v>0</v>
      </c>
      <c r="N937">
        <v>2.9</v>
      </c>
      <c r="O937">
        <f t="shared" si="186"/>
        <v>2.9</v>
      </c>
      <c r="P937">
        <v>0</v>
      </c>
      <c r="Q937">
        <f t="shared" si="187"/>
        <v>0</v>
      </c>
      <c r="R937" t="s">
        <v>20</v>
      </c>
      <c r="S937" t="str">
        <f t="shared" si="188"/>
        <v>Written Off</v>
      </c>
      <c r="T937" t="s">
        <v>16</v>
      </c>
      <c r="U937" s="3">
        <f t="shared" si="189"/>
        <v>0.12866452957543825</v>
      </c>
      <c r="V937" t="str">
        <f t="shared" si="190"/>
        <v>Healthy</v>
      </c>
      <c r="W937" t="str">
        <f t="shared" si="191"/>
        <v>Good</v>
      </c>
      <c r="X937" s="5" t="str">
        <f t="shared" si="192"/>
        <v>Medium</v>
      </c>
      <c r="Y937" s="5" t="str">
        <f t="shared" si="193"/>
        <v>High</v>
      </c>
      <c r="Z937" s="5" t="str">
        <f>IF(B937=120,"NULL",IF(AND(V937="High Stress", W937="High Risk", Y937="Low"),"High Risk : Reject", IF(AND(V937="Healthy", W937="Good",Y937&lt;&gt;"Low"), "Low Risk : Approve", "Medium Risk : Review")))</f>
        <v>Low Risk : Approve</v>
      </c>
      <c r="AA937" s="5" t="str">
        <f t="shared" si="194"/>
        <v>Medium</v>
      </c>
    </row>
    <row r="938" spans="1:27" x14ac:dyDescent="0.2">
      <c r="A938">
        <v>20544</v>
      </c>
      <c r="B938">
        <v>24</v>
      </c>
      <c r="C938">
        <f t="shared" si="182"/>
        <v>24</v>
      </c>
      <c r="D938" t="s">
        <v>17</v>
      </c>
      <c r="E938" t="str">
        <f t="shared" si="183"/>
        <v>Contract</v>
      </c>
      <c r="F938">
        <v>5215.37</v>
      </c>
      <c r="G938">
        <f>ABS(Table1[[#This Row],[Monthly_Income]])</f>
        <v>5215.37</v>
      </c>
      <c r="H938">
        <v>24074.25</v>
      </c>
      <c r="I938" s="5">
        <f t="shared" si="184"/>
        <v>24074.25</v>
      </c>
      <c r="J938">
        <v>18</v>
      </c>
      <c r="K938">
        <v>23.05</v>
      </c>
      <c r="M938" t="str">
        <f t="shared" si="185"/>
        <v>NULL</v>
      </c>
      <c r="N938">
        <v>4.4000000000000004</v>
      </c>
      <c r="O938">
        <f t="shared" si="186"/>
        <v>4.4000000000000004</v>
      </c>
      <c r="P938">
        <v>30</v>
      </c>
      <c r="Q938">
        <f t="shared" si="187"/>
        <v>30</v>
      </c>
      <c r="R938" t="s">
        <v>18</v>
      </c>
      <c r="S938" t="str">
        <f t="shared" si="188"/>
        <v>Non-Performing</v>
      </c>
      <c r="T938" t="s">
        <v>14</v>
      </c>
      <c r="U938" s="3">
        <f t="shared" si="189"/>
        <v>0.25644553182867819</v>
      </c>
      <c r="V938" t="str">
        <f t="shared" si="190"/>
        <v>Healthy</v>
      </c>
      <c r="W938" t="str">
        <f t="shared" si="191"/>
        <v>At Risk</v>
      </c>
      <c r="X938" s="5" t="str">
        <f t="shared" si="192"/>
        <v>Medium</v>
      </c>
      <c r="Y938" s="5" t="str">
        <f t="shared" si="193"/>
        <v>Low</v>
      </c>
      <c r="Z938" s="5" t="str">
        <f>IF(B938=120,"NULL",IF(AND(V938="High Stress", W938="High Risk", Y938="Low"),"High Risk : Reject", IF(AND(V938="Healthy", W938="Good",Y938&lt;&gt;"Low"), "Low Risk : Approve", "Medium Risk : Review")))</f>
        <v>Medium Risk : Review</v>
      </c>
      <c r="AA938" s="5" t="str">
        <f t="shared" si="194"/>
        <v>Medium</v>
      </c>
    </row>
    <row r="939" spans="1:27" x14ac:dyDescent="0.2">
      <c r="A939">
        <v>25930</v>
      </c>
      <c r="B939">
        <v>33</v>
      </c>
      <c r="C939">
        <f t="shared" si="182"/>
        <v>33</v>
      </c>
      <c r="D939" t="s">
        <v>23</v>
      </c>
      <c r="E939" t="str">
        <f t="shared" si="183"/>
        <v>Self-Employed</v>
      </c>
      <c r="F939">
        <v>7488.53</v>
      </c>
      <c r="G939">
        <f>ABS(Table1[[#This Row],[Monthly_Income]])</f>
        <v>7488.53</v>
      </c>
      <c r="H939">
        <v>15482.47</v>
      </c>
      <c r="I939" s="5">
        <f t="shared" si="184"/>
        <v>15482.47</v>
      </c>
      <c r="J939">
        <v>6</v>
      </c>
      <c r="K939">
        <v>6.59</v>
      </c>
      <c r="L939">
        <v>3</v>
      </c>
      <c r="M939">
        <f t="shared" si="185"/>
        <v>3</v>
      </c>
      <c r="N939">
        <v>7.6</v>
      </c>
      <c r="O939">
        <f t="shared" si="186"/>
        <v>7.6</v>
      </c>
      <c r="P939">
        <v>90</v>
      </c>
      <c r="Q939">
        <f t="shared" si="187"/>
        <v>90</v>
      </c>
      <c r="R939" t="s">
        <v>15</v>
      </c>
      <c r="S939" t="str">
        <f t="shared" si="188"/>
        <v xml:space="preserve">Performing </v>
      </c>
      <c r="T939" t="s">
        <v>22</v>
      </c>
      <c r="U939" s="3">
        <f t="shared" si="189"/>
        <v>0.34458186942786723</v>
      </c>
      <c r="V939" t="str">
        <f t="shared" si="190"/>
        <v>Stretched</v>
      </c>
      <c r="W939" t="str">
        <f t="shared" si="191"/>
        <v>High Risk</v>
      </c>
      <c r="X939" s="5" t="str">
        <f t="shared" si="192"/>
        <v>Medium</v>
      </c>
      <c r="Y939" s="5" t="str">
        <f t="shared" si="193"/>
        <v>Medium</v>
      </c>
      <c r="Z939" s="5" t="str">
        <f>IF(B939=120,"NULL",IF(AND(V939="High Stress", W939="High Risk", Y939="Low"),"High Risk : Reject", IF(AND(V939="Healthy", W939="Good",Y939&lt;&gt;"Low"), "Low Risk : Approve", "Medium Risk : Review")))</f>
        <v>Medium Risk : Review</v>
      </c>
      <c r="AA939" s="5" t="str">
        <f t="shared" si="194"/>
        <v>Medium</v>
      </c>
    </row>
    <row r="940" spans="1:27" x14ac:dyDescent="0.2">
      <c r="A940">
        <v>20875</v>
      </c>
      <c r="B940">
        <v>24</v>
      </c>
      <c r="C940">
        <f t="shared" si="182"/>
        <v>24</v>
      </c>
      <c r="D940" t="s">
        <v>17</v>
      </c>
      <c r="E940" t="str">
        <f t="shared" si="183"/>
        <v>Contract</v>
      </c>
      <c r="F940">
        <v>7401.08</v>
      </c>
      <c r="G940">
        <f>ABS(Table1[[#This Row],[Monthly_Income]])</f>
        <v>7401.08</v>
      </c>
      <c r="H940">
        <v>27232.93</v>
      </c>
      <c r="I940" s="5">
        <f t="shared" si="184"/>
        <v>27232.93</v>
      </c>
      <c r="J940">
        <v>12</v>
      </c>
      <c r="K940">
        <v>23.91</v>
      </c>
      <c r="L940">
        <v>1</v>
      </c>
      <c r="M940">
        <f t="shared" si="185"/>
        <v>1</v>
      </c>
      <c r="N940">
        <v>7.2</v>
      </c>
      <c r="O940">
        <f t="shared" si="186"/>
        <v>7.2</v>
      </c>
      <c r="P940">
        <v>15</v>
      </c>
      <c r="Q940">
        <f t="shared" si="187"/>
        <v>15</v>
      </c>
      <c r="R940" t="s">
        <v>20</v>
      </c>
      <c r="S940" t="str">
        <f t="shared" si="188"/>
        <v>Written Off</v>
      </c>
      <c r="T940" t="s">
        <v>16</v>
      </c>
      <c r="U940" s="3">
        <f t="shared" si="189"/>
        <v>0.30663238788573205</v>
      </c>
      <c r="V940" t="str">
        <f t="shared" si="190"/>
        <v>Stretched</v>
      </c>
      <c r="W940" t="str">
        <f t="shared" si="191"/>
        <v>Good</v>
      </c>
      <c r="X940" s="5" t="str">
        <f t="shared" si="192"/>
        <v>Medium</v>
      </c>
      <c r="Y940" s="5" t="str">
        <f t="shared" si="193"/>
        <v>Low</v>
      </c>
      <c r="Z940" s="5" t="str">
        <f>IF(B940=120,"NULL",IF(AND(V940="High Stress", W940="High Risk", Y940="Low"),"High Risk : Reject", IF(AND(V940="Healthy", W940="Good",Y940&lt;&gt;"Low"), "Low Risk : Approve", "Medium Risk : Review")))</f>
        <v>Medium Risk : Review</v>
      </c>
      <c r="AA940" s="5" t="str">
        <f t="shared" si="194"/>
        <v>Medium</v>
      </c>
    </row>
    <row r="941" spans="1:27" x14ac:dyDescent="0.2">
      <c r="A941">
        <v>20089</v>
      </c>
      <c r="B941">
        <v>28</v>
      </c>
      <c r="C941">
        <f t="shared" si="182"/>
        <v>28</v>
      </c>
      <c r="D941" t="s">
        <v>17</v>
      </c>
      <c r="E941" t="str">
        <f t="shared" si="183"/>
        <v>Contract</v>
      </c>
      <c r="F941">
        <v>3347.78</v>
      </c>
      <c r="G941">
        <f>ABS(Table1[[#This Row],[Monthly_Income]])</f>
        <v>3347.78</v>
      </c>
      <c r="H941">
        <v>27713.61</v>
      </c>
      <c r="I941" s="5">
        <f t="shared" si="184"/>
        <v>27713.61</v>
      </c>
      <c r="J941">
        <v>48</v>
      </c>
      <c r="K941">
        <v>22.94</v>
      </c>
      <c r="L941">
        <v>4</v>
      </c>
      <c r="M941">
        <f t="shared" si="185"/>
        <v>4</v>
      </c>
      <c r="N941">
        <v>5.7</v>
      </c>
      <c r="O941">
        <f t="shared" si="186"/>
        <v>5.7</v>
      </c>
      <c r="P941">
        <v>0</v>
      </c>
      <c r="Q941">
        <f t="shared" si="187"/>
        <v>0</v>
      </c>
      <c r="R941" t="s">
        <v>20</v>
      </c>
      <c r="S941" t="str">
        <f t="shared" si="188"/>
        <v>Written Off</v>
      </c>
      <c r="T941" t="s">
        <v>22</v>
      </c>
      <c r="U941" s="3">
        <f t="shared" si="189"/>
        <v>0.17246260955020939</v>
      </c>
      <c r="V941" t="str">
        <f t="shared" si="190"/>
        <v>Healthy</v>
      </c>
      <c r="W941" t="str">
        <f t="shared" si="191"/>
        <v>Good</v>
      </c>
      <c r="X941" s="5" t="str">
        <f t="shared" si="192"/>
        <v>Medium</v>
      </c>
      <c r="Y941" s="5" t="str">
        <f t="shared" si="193"/>
        <v>Low</v>
      </c>
      <c r="Z941" s="5" t="str">
        <f>IF(B941=120,"NULL",IF(AND(V941="High Stress", W941="High Risk", Y941="Low"),"High Risk : Reject", IF(AND(V941="Healthy", W941="Good",Y941&lt;&gt;"Low"), "Low Risk : Approve", "Medium Risk : Review")))</f>
        <v>Medium Risk : Review</v>
      </c>
      <c r="AA941" s="5" t="str">
        <f t="shared" si="194"/>
        <v>Medium</v>
      </c>
    </row>
    <row r="942" spans="1:27" x14ac:dyDescent="0.2">
      <c r="A942">
        <v>23663</v>
      </c>
      <c r="B942">
        <v>64</v>
      </c>
      <c r="C942">
        <f t="shared" si="182"/>
        <v>64</v>
      </c>
      <c r="D942" t="s">
        <v>23</v>
      </c>
      <c r="E942" t="str">
        <f t="shared" si="183"/>
        <v>Self-Employed</v>
      </c>
      <c r="F942">
        <v>5573.8</v>
      </c>
      <c r="G942">
        <f>ABS(Table1[[#This Row],[Monthly_Income]])</f>
        <v>5573.8</v>
      </c>
      <c r="H942">
        <v>7881.41</v>
      </c>
      <c r="I942" s="5">
        <f t="shared" si="184"/>
        <v>7881.41</v>
      </c>
      <c r="J942">
        <v>18</v>
      </c>
      <c r="K942">
        <v>24.6</v>
      </c>
      <c r="M942" t="str">
        <f t="shared" si="185"/>
        <v>NULL</v>
      </c>
      <c r="N942">
        <v>6.9</v>
      </c>
      <c r="O942">
        <f t="shared" si="186"/>
        <v>6.9</v>
      </c>
      <c r="P942">
        <v>0</v>
      </c>
      <c r="Q942">
        <f t="shared" si="187"/>
        <v>0</v>
      </c>
      <c r="R942" t="s">
        <v>13</v>
      </c>
      <c r="S942" t="str">
        <f t="shared" si="188"/>
        <v>Performing</v>
      </c>
      <c r="T942" t="s">
        <v>22</v>
      </c>
      <c r="U942" s="3">
        <f t="shared" si="189"/>
        <v>7.8556121696349179E-2</v>
      </c>
      <c r="V942" t="str">
        <f t="shared" si="190"/>
        <v>Healthy</v>
      </c>
      <c r="W942" t="str">
        <f t="shared" si="191"/>
        <v>Good</v>
      </c>
      <c r="X942" s="5" t="str">
        <f t="shared" si="192"/>
        <v>Small</v>
      </c>
      <c r="Y942" s="5" t="str">
        <f t="shared" si="193"/>
        <v>Medium</v>
      </c>
      <c r="Z942" s="5" t="str">
        <f>IF(B942=120,"NULL",IF(AND(V942="High Stress", W942="High Risk", Y942="Low"),"High Risk : Reject", IF(AND(V942="Healthy", W942="Good",Y942&lt;&gt;"Low"), "Low Risk : Approve", "Medium Risk : Review")))</f>
        <v>Low Risk : Approve</v>
      </c>
      <c r="AA942" s="5" t="str">
        <f t="shared" si="194"/>
        <v>Medium</v>
      </c>
    </row>
    <row r="943" spans="1:27" x14ac:dyDescent="0.2">
      <c r="A943">
        <v>22618</v>
      </c>
      <c r="B943">
        <v>48</v>
      </c>
      <c r="C943">
        <f t="shared" si="182"/>
        <v>48</v>
      </c>
      <c r="D943" t="s">
        <v>27</v>
      </c>
      <c r="E943" t="str">
        <f t="shared" si="183"/>
        <v>Unemployed</v>
      </c>
      <c r="F943">
        <v>3048.51</v>
      </c>
      <c r="G943">
        <f>ABS(Table1[[#This Row],[Monthly_Income]])</f>
        <v>3048.51</v>
      </c>
      <c r="H943">
        <v>14729.08</v>
      </c>
      <c r="I943" s="5">
        <f t="shared" si="184"/>
        <v>14729.08</v>
      </c>
      <c r="J943">
        <v>48</v>
      </c>
      <c r="K943">
        <v>23.5</v>
      </c>
      <c r="M943" t="str">
        <f t="shared" si="185"/>
        <v>NULL</v>
      </c>
      <c r="N943">
        <v>2</v>
      </c>
      <c r="O943">
        <f t="shared" si="186"/>
        <v>2</v>
      </c>
      <c r="P943">
        <v>120</v>
      </c>
      <c r="Q943">
        <f t="shared" si="187"/>
        <v>120</v>
      </c>
      <c r="R943" t="s">
        <v>18</v>
      </c>
      <c r="S943" t="str">
        <f t="shared" si="188"/>
        <v>Non-Performing</v>
      </c>
      <c r="T943" t="s">
        <v>25</v>
      </c>
      <c r="U943" s="3">
        <f t="shared" si="189"/>
        <v>0.10065764367948057</v>
      </c>
      <c r="V943" t="str">
        <f t="shared" si="190"/>
        <v>Healthy</v>
      </c>
      <c r="W943" t="str">
        <f t="shared" si="191"/>
        <v>High Risk</v>
      </c>
      <c r="X943" s="5" t="str">
        <f t="shared" si="192"/>
        <v>Medium</v>
      </c>
      <c r="Y943" s="5" t="str">
        <f t="shared" si="193"/>
        <v>Low</v>
      </c>
      <c r="Z943" s="5" t="str">
        <f>IF(B943=120,"NULL",IF(AND(V943="High Stress", W943="High Risk", Y943="Low"),"High Risk : Reject", IF(AND(V943="Healthy", W943="Good",Y943&lt;&gt;"Low"), "Low Risk : Approve", "Medium Risk : Review")))</f>
        <v>Medium Risk : Review</v>
      </c>
      <c r="AA943" s="5" t="str">
        <f t="shared" si="194"/>
        <v>Medium</v>
      </c>
    </row>
    <row r="944" spans="1:27" x14ac:dyDescent="0.2">
      <c r="A944">
        <v>20336</v>
      </c>
      <c r="B944">
        <v>37</v>
      </c>
      <c r="C944">
        <f t="shared" si="182"/>
        <v>37</v>
      </c>
      <c r="D944" t="s">
        <v>26</v>
      </c>
      <c r="E944" t="str">
        <f t="shared" si="183"/>
        <v>Salaried</v>
      </c>
      <c r="F944">
        <v>4342.5600000000004</v>
      </c>
      <c r="G944">
        <f>ABS(Table1[[#This Row],[Monthly_Income]])</f>
        <v>4342.5600000000004</v>
      </c>
      <c r="H944">
        <v>15274.68</v>
      </c>
      <c r="I944" s="5">
        <f t="shared" si="184"/>
        <v>15274.68</v>
      </c>
      <c r="J944">
        <v>48</v>
      </c>
      <c r="K944">
        <v>16.940000000000001</v>
      </c>
      <c r="L944">
        <v>2</v>
      </c>
      <c r="M944">
        <f t="shared" si="185"/>
        <v>2</v>
      </c>
      <c r="N944">
        <v>7.6</v>
      </c>
      <c r="O944">
        <f t="shared" si="186"/>
        <v>7.6</v>
      </c>
      <c r="P944">
        <v>0</v>
      </c>
      <c r="Q944">
        <f t="shared" si="187"/>
        <v>0</v>
      </c>
      <c r="R944" t="s">
        <v>15</v>
      </c>
      <c r="S944" t="str">
        <f t="shared" si="188"/>
        <v xml:space="preserve">Performing </v>
      </c>
      <c r="T944" t="s">
        <v>19</v>
      </c>
      <c r="U944" s="3">
        <f t="shared" si="189"/>
        <v>7.3279931653218375E-2</v>
      </c>
      <c r="V944" t="str">
        <f t="shared" si="190"/>
        <v>Healthy</v>
      </c>
      <c r="W944" t="str">
        <f t="shared" si="191"/>
        <v>Good</v>
      </c>
      <c r="X944" s="5" t="str">
        <f t="shared" si="192"/>
        <v>Medium</v>
      </c>
      <c r="Y944" s="5" t="str">
        <f t="shared" si="193"/>
        <v>High</v>
      </c>
      <c r="Z944" s="5" t="str">
        <f>IF(B944=120,"NULL",IF(AND(V944="High Stress", W944="High Risk", Y944="Low"),"High Risk : Reject", IF(AND(V944="Healthy", W944="Good",Y944&lt;&gt;"Low"), "Low Risk : Approve", "Medium Risk : Review")))</f>
        <v>Low Risk : Approve</v>
      </c>
      <c r="AA944" s="5" t="str">
        <f t="shared" si="194"/>
        <v>Medium</v>
      </c>
    </row>
    <row r="945" spans="1:27" x14ac:dyDescent="0.2">
      <c r="A945">
        <v>25643</v>
      </c>
      <c r="B945">
        <v>32</v>
      </c>
      <c r="C945">
        <f t="shared" si="182"/>
        <v>32</v>
      </c>
      <c r="D945" t="s">
        <v>26</v>
      </c>
      <c r="E945" t="str">
        <f t="shared" si="183"/>
        <v>Salaried</v>
      </c>
      <c r="F945">
        <v>4605.1400000000003</v>
      </c>
      <c r="G945">
        <f>ABS(Table1[[#This Row],[Monthly_Income]])</f>
        <v>4605.1400000000003</v>
      </c>
      <c r="H945">
        <v>16014.37</v>
      </c>
      <c r="I945" s="5">
        <f t="shared" si="184"/>
        <v>16014.37</v>
      </c>
      <c r="J945">
        <v>18</v>
      </c>
      <c r="K945">
        <v>23.57</v>
      </c>
      <c r="M945" t="str">
        <f t="shared" si="185"/>
        <v>NULL</v>
      </c>
      <c r="N945">
        <v>12.9</v>
      </c>
      <c r="O945">
        <f t="shared" si="186"/>
        <v>12.9</v>
      </c>
      <c r="P945">
        <v>0</v>
      </c>
      <c r="Q945">
        <f t="shared" si="187"/>
        <v>0</v>
      </c>
      <c r="R945" t="s">
        <v>13</v>
      </c>
      <c r="S945" t="str">
        <f t="shared" si="188"/>
        <v>Performing</v>
      </c>
      <c r="T945" t="s">
        <v>22</v>
      </c>
      <c r="U945" s="3">
        <f t="shared" si="189"/>
        <v>0.19319439196685056</v>
      </c>
      <c r="V945" t="str">
        <f t="shared" si="190"/>
        <v>Healthy</v>
      </c>
      <c r="W945" t="str">
        <f t="shared" si="191"/>
        <v>Good</v>
      </c>
      <c r="X945" s="5" t="str">
        <f t="shared" si="192"/>
        <v>Medium</v>
      </c>
      <c r="Y945" s="5" t="str">
        <f t="shared" si="193"/>
        <v>High</v>
      </c>
      <c r="Z945" s="5" t="str">
        <f>IF(B945=120,"NULL",IF(AND(V945="High Stress", W945="High Risk", Y945="Low"),"High Risk : Reject", IF(AND(V945="Healthy", W945="Good",Y945&lt;&gt;"Low"), "Low Risk : Approve", "Medium Risk : Review")))</f>
        <v>Low Risk : Approve</v>
      </c>
      <c r="AA945" s="5" t="str">
        <f t="shared" si="194"/>
        <v>Medium</v>
      </c>
    </row>
    <row r="946" spans="1:27" x14ac:dyDescent="0.2">
      <c r="A946">
        <v>23147</v>
      </c>
      <c r="B946">
        <v>52</v>
      </c>
      <c r="C946">
        <f t="shared" si="182"/>
        <v>52</v>
      </c>
      <c r="D946" t="s">
        <v>23</v>
      </c>
      <c r="E946" t="str">
        <f t="shared" si="183"/>
        <v>Self-Employed</v>
      </c>
      <c r="F946">
        <v>3479.94</v>
      </c>
      <c r="G946">
        <f>ABS(Table1[[#This Row],[Monthly_Income]])</f>
        <v>3479.94</v>
      </c>
      <c r="H946">
        <v>10928.17</v>
      </c>
      <c r="I946" s="5">
        <f t="shared" si="184"/>
        <v>10928.17</v>
      </c>
      <c r="J946">
        <v>60</v>
      </c>
      <c r="K946">
        <v>22.51</v>
      </c>
      <c r="L946">
        <v>1</v>
      </c>
      <c r="M946">
        <f t="shared" si="185"/>
        <v>1</v>
      </c>
      <c r="N946">
        <v>3.2</v>
      </c>
      <c r="O946">
        <f t="shared" si="186"/>
        <v>3.2</v>
      </c>
      <c r="P946">
        <v>15</v>
      </c>
      <c r="Q946">
        <f t="shared" si="187"/>
        <v>15</v>
      </c>
      <c r="R946" t="s">
        <v>20</v>
      </c>
      <c r="S946" t="str">
        <f t="shared" si="188"/>
        <v>Written Off</v>
      </c>
      <c r="T946" t="s">
        <v>14</v>
      </c>
      <c r="U946" s="3">
        <f t="shared" si="189"/>
        <v>5.2338881321708615E-2</v>
      </c>
      <c r="V946" t="str">
        <f t="shared" si="190"/>
        <v>Healthy</v>
      </c>
      <c r="W946" t="str">
        <f t="shared" si="191"/>
        <v>Good</v>
      </c>
      <c r="X946" s="5" t="str">
        <f t="shared" si="192"/>
        <v>Medium</v>
      </c>
      <c r="Y946" s="5" t="str">
        <f t="shared" si="193"/>
        <v>Medium</v>
      </c>
      <c r="Z946" s="5" t="str">
        <f>IF(B946=120,"NULL",IF(AND(V946="High Stress", W946="High Risk", Y946="Low"),"High Risk : Reject", IF(AND(V946="Healthy", W946="Good",Y946&lt;&gt;"Low"), "Low Risk : Approve", "Medium Risk : Review")))</f>
        <v>Low Risk : Approve</v>
      </c>
      <c r="AA946" s="5" t="str">
        <f t="shared" si="194"/>
        <v>Medium</v>
      </c>
    </row>
    <row r="947" spans="1:27" x14ac:dyDescent="0.2">
      <c r="A947">
        <v>23712</v>
      </c>
      <c r="B947">
        <v>37</v>
      </c>
      <c r="C947">
        <f t="shared" si="182"/>
        <v>37</v>
      </c>
      <c r="D947" t="s">
        <v>26</v>
      </c>
      <c r="E947" t="str">
        <f t="shared" si="183"/>
        <v>Salaried</v>
      </c>
      <c r="F947">
        <v>3849.65</v>
      </c>
      <c r="G947">
        <f>ABS(Table1[[#This Row],[Monthly_Income]])</f>
        <v>3849.65</v>
      </c>
      <c r="H947">
        <v>21854.97</v>
      </c>
      <c r="I947" s="5">
        <f t="shared" si="184"/>
        <v>21854.97</v>
      </c>
      <c r="J947">
        <v>36</v>
      </c>
      <c r="K947">
        <v>26.29</v>
      </c>
      <c r="L947">
        <v>0</v>
      </c>
      <c r="M947">
        <f t="shared" si="185"/>
        <v>0</v>
      </c>
      <c r="N947">
        <v>9.5</v>
      </c>
      <c r="O947">
        <f t="shared" si="186"/>
        <v>9.5</v>
      </c>
      <c r="P947">
        <v>60</v>
      </c>
      <c r="Q947">
        <f t="shared" si="187"/>
        <v>60</v>
      </c>
      <c r="R947" t="s">
        <v>20</v>
      </c>
      <c r="S947" t="str">
        <f t="shared" si="188"/>
        <v>Written Off</v>
      </c>
      <c r="T947" t="s">
        <v>16</v>
      </c>
      <c r="U947" s="3">
        <f t="shared" si="189"/>
        <v>0.15769810242489579</v>
      </c>
      <c r="V947" t="str">
        <f t="shared" si="190"/>
        <v>Healthy</v>
      </c>
      <c r="W947" t="str">
        <f t="shared" si="191"/>
        <v>High Risk</v>
      </c>
      <c r="X947" s="5" t="str">
        <f t="shared" si="192"/>
        <v>Medium</v>
      </c>
      <c r="Y947" s="5" t="str">
        <f t="shared" si="193"/>
        <v>High</v>
      </c>
      <c r="Z947" s="5" t="str">
        <f>IF(B947=120,"NULL",IF(AND(V947="High Stress", W947="High Risk", Y947="Low"),"High Risk : Reject", IF(AND(V947="Healthy", W947="Good",Y947&lt;&gt;"Low"), "Low Risk : Approve", "Medium Risk : Review")))</f>
        <v>Medium Risk : Review</v>
      </c>
      <c r="AA947" s="5" t="str">
        <f t="shared" si="194"/>
        <v>Medium</v>
      </c>
    </row>
    <row r="948" spans="1:27" x14ac:dyDescent="0.2">
      <c r="A948">
        <v>22283</v>
      </c>
      <c r="B948">
        <v>59</v>
      </c>
      <c r="C948">
        <f t="shared" si="182"/>
        <v>59</v>
      </c>
      <c r="D948" t="s">
        <v>12</v>
      </c>
      <c r="E948" t="str">
        <f t="shared" si="183"/>
        <v>Self-Employed</v>
      </c>
      <c r="F948">
        <v>4776.37</v>
      </c>
      <c r="G948">
        <f>ABS(Table1[[#This Row],[Monthly_Income]])</f>
        <v>4776.37</v>
      </c>
      <c r="H948">
        <v>26809.94</v>
      </c>
      <c r="I948" s="5">
        <f t="shared" si="184"/>
        <v>26809.94</v>
      </c>
      <c r="J948">
        <v>36</v>
      </c>
      <c r="K948">
        <v>18.45</v>
      </c>
      <c r="L948">
        <v>0</v>
      </c>
      <c r="M948">
        <f t="shared" si="185"/>
        <v>0</v>
      </c>
      <c r="N948">
        <v>6.4</v>
      </c>
      <c r="O948">
        <f t="shared" si="186"/>
        <v>6.4</v>
      </c>
      <c r="P948">
        <v>60</v>
      </c>
      <c r="Q948">
        <f t="shared" si="187"/>
        <v>60</v>
      </c>
      <c r="R948" t="s">
        <v>24</v>
      </c>
      <c r="S948" t="str">
        <f t="shared" si="188"/>
        <v>Non-Performing</v>
      </c>
      <c r="T948" t="s">
        <v>22</v>
      </c>
      <c r="U948" s="3">
        <f t="shared" si="189"/>
        <v>0.15591768551338264</v>
      </c>
      <c r="V948" t="str">
        <f t="shared" si="190"/>
        <v>Healthy</v>
      </c>
      <c r="W948" t="str">
        <f t="shared" si="191"/>
        <v>High Risk</v>
      </c>
      <c r="X948" s="5" t="str">
        <f t="shared" si="192"/>
        <v>Medium</v>
      </c>
      <c r="Y948" s="5" t="str">
        <f t="shared" si="193"/>
        <v>Medium</v>
      </c>
      <c r="Z948" s="5" t="str">
        <f>IF(B948=120,"NULL",IF(AND(V948="High Stress", W948="High Risk", Y948="Low"),"High Risk : Reject", IF(AND(V948="Healthy", W948="Good",Y948&lt;&gt;"Low"), "Low Risk : Approve", "Medium Risk : Review")))</f>
        <v>Medium Risk : Review</v>
      </c>
      <c r="AA948" s="5" t="str">
        <f t="shared" si="194"/>
        <v>Medium</v>
      </c>
    </row>
    <row r="949" spans="1:27" x14ac:dyDescent="0.2">
      <c r="A949">
        <v>20476</v>
      </c>
      <c r="B949">
        <v>25</v>
      </c>
      <c r="C949">
        <f t="shared" si="182"/>
        <v>25</v>
      </c>
      <c r="D949" t="s">
        <v>26</v>
      </c>
      <c r="E949" t="str">
        <f t="shared" si="183"/>
        <v>Salaried</v>
      </c>
      <c r="F949">
        <v>5312.9</v>
      </c>
      <c r="G949">
        <f>ABS(Table1[[#This Row],[Monthly_Income]])</f>
        <v>5312.9</v>
      </c>
      <c r="H949">
        <v>37045.32</v>
      </c>
      <c r="I949" s="5">
        <f t="shared" si="184"/>
        <v>37045.32</v>
      </c>
      <c r="J949">
        <v>6</v>
      </c>
      <c r="K949">
        <v>26.19</v>
      </c>
      <c r="L949">
        <v>1</v>
      </c>
      <c r="M949">
        <f t="shared" si="185"/>
        <v>1</v>
      </c>
      <c r="N949">
        <v>2.9</v>
      </c>
      <c r="O949">
        <f t="shared" si="186"/>
        <v>2.9</v>
      </c>
      <c r="P949">
        <v>60</v>
      </c>
      <c r="Q949">
        <f t="shared" si="187"/>
        <v>60</v>
      </c>
      <c r="R949" t="s">
        <v>13</v>
      </c>
      <c r="S949" t="str">
        <f t="shared" si="188"/>
        <v>Performing</v>
      </c>
      <c r="T949" t="s">
        <v>25</v>
      </c>
      <c r="U949" s="3">
        <f t="shared" si="189"/>
        <v>1.1621186169511943</v>
      </c>
      <c r="V949" t="str">
        <f t="shared" si="190"/>
        <v>High Stress</v>
      </c>
      <c r="W949" t="str">
        <f t="shared" si="191"/>
        <v>High Risk</v>
      </c>
      <c r="X949" s="5" t="str">
        <f t="shared" si="192"/>
        <v>High</v>
      </c>
      <c r="Y949" s="5" t="str">
        <f t="shared" si="193"/>
        <v>High</v>
      </c>
      <c r="Z949" s="5" t="str">
        <f>IF(B949=120,"NULL",IF(AND(V949="High Stress", W949="High Risk", Y949="Low"),"High Risk : Reject", IF(AND(V949="Healthy", W949="Good",Y949&lt;&gt;"Low"), "Low Risk : Approve", "Medium Risk : Review")))</f>
        <v>Medium Risk : Review</v>
      </c>
      <c r="AA949" s="5" t="str">
        <f t="shared" si="194"/>
        <v>Medium</v>
      </c>
    </row>
    <row r="950" spans="1:27" x14ac:dyDescent="0.2">
      <c r="A950">
        <v>25933</v>
      </c>
      <c r="B950">
        <v>24</v>
      </c>
      <c r="C950">
        <f t="shared" si="182"/>
        <v>24</v>
      </c>
      <c r="D950" t="s">
        <v>23</v>
      </c>
      <c r="E950" t="str">
        <f t="shared" si="183"/>
        <v>Self-Employed</v>
      </c>
      <c r="F950">
        <v>2733.55</v>
      </c>
      <c r="G950">
        <f>ABS(Table1[[#This Row],[Monthly_Income]])</f>
        <v>2733.55</v>
      </c>
      <c r="H950">
        <v>16243</v>
      </c>
      <c r="I950" s="5">
        <f t="shared" si="184"/>
        <v>16243</v>
      </c>
      <c r="J950">
        <v>24</v>
      </c>
      <c r="K950">
        <v>24.71</v>
      </c>
      <c r="L950">
        <v>2</v>
      </c>
      <c r="M950">
        <f t="shared" si="185"/>
        <v>2</v>
      </c>
      <c r="N950">
        <v>5.7</v>
      </c>
      <c r="O950">
        <f t="shared" si="186"/>
        <v>5.7</v>
      </c>
      <c r="P950">
        <v>15</v>
      </c>
      <c r="Q950">
        <f t="shared" si="187"/>
        <v>15</v>
      </c>
      <c r="R950" t="s">
        <v>20</v>
      </c>
      <c r="S950" t="str">
        <f t="shared" si="188"/>
        <v>Written Off</v>
      </c>
      <c r="T950" t="s">
        <v>25</v>
      </c>
      <c r="U950" s="3">
        <f t="shared" si="189"/>
        <v>0.24758708151183134</v>
      </c>
      <c r="V950" t="str">
        <f t="shared" si="190"/>
        <v>Healthy</v>
      </c>
      <c r="W950" t="str">
        <f t="shared" si="191"/>
        <v>Good</v>
      </c>
      <c r="X950" s="5" t="str">
        <f t="shared" si="192"/>
        <v>Medium</v>
      </c>
      <c r="Y950" s="5" t="str">
        <f t="shared" si="193"/>
        <v>Medium</v>
      </c>
      <c r="Z950" s="5" t="str">
        <f>IF(B950=120,"NULL",IF(AND(V950="High Stress", W950="High Risk", Y950="Low"),"High Risk : Reject", IF(AND(V950="Healthy", W950="Good",Y950&lt;&gt;"Low"), "Low Risk : Approve", "Medium Risk : Review")))</f>
        <v>Low Risk : Approve</v>
      </c>
      <c r="AA950" s="5" t="str">
        <f t="shared" si="194"/>
        <v>Medium</v>
      </c>
    </row>
    <row r="951" spans="1:27" x14ac:dyDescent="0.2">
      <c r="A951">
        <v>24146</v>
      </c>
      <c r="B951">
        <v>47</v>
      </c>
      <c r="C951">
        <f t="shared" si="182"/>
        <v>47</v>
      </c>
      <c r="D951" t="s">
        <v>27</v>
      </c>
      <c r="E951" t="str">
        <f t="shared" si="183"/>
        <v>Unemployed</v>
      </c>
      <c r="F951">
        <v>4478.93</v>
      </c>
      <c r="G951">
        <f>ABS(Table1[[#This Row],[Monthly_Income]])</f>
        <v>4478.93</v>
      </c>
      <c r="H951">
        <v>30674.6</v>
      </c>
      <c r="I951" s="5">
        <f t="shared" si="184"/>
        <v>30674.6</v>
      </c>
      <c r="J951">
        <v>36</v>
      </c>
      <c r="K951">
        <v>15.36</v>
      </c>
      <c r="L951">
        <v>0</v>
      </c>
      <c r="M951">
        <f t="shared" si="185"/>
        <v>0</v>
      </c>
      <c r="N951">
        <v>-1.4</v>
      </c>
      <c r="O951">
        <f t="shared" si="186"/>
        <v>1.4</v>
      </c>
      <c r="P951">
        <v>15</v>
      </c>
      <c r="Q951">
        <f t="shared" si="187"/>
        <v>15</v>
      </c>
      <c r="R951" t="s">
        <v>20</v>
      </c>
      <c r="S951" t="str">
        <f t="shared" si="188"/>
        <v>Written Off</v>
      </c>
      <c r="T951" t="s">
        <v>16</v>
      </c>
      <c r="U951" s="3">
        <f t="shared" si="189"/>
        <v>0.19024012927690812</v>
      </c>
      <c r="V951" t="str">
        <f t="shared" si="190"/>
        <v>Healthy</v>
      </c>
      <c r="W951" t="str">
        <f t="shared" si="191"/>
        <v>Good</v>
      </c>
      <c r="X951" s="5" t="str">
        <f t="shared" si="192"/>
        <v>High</v>
      </c>
      <c r="Y951" s="5" t="str">
        <f t="shared" si="193"/>
        <v>Low</v>
      </c>
      <c r="Z951" s="5" t="str">
        <f>IF(B951=120,"NULL",IF(AND(V951="High Stress", W951="High Risk", Y951="Low"),"High Risk : Reject", IF(AND(V951="Healthy", W951="Good",Y951&lt;&gt;"Low"), "Low Risk : Approve", "Medium Risk : Review")))</f>
        <v>Medium Risk : Review</v>
      </c>
      <c r="AA951" s="5" t="str">
        <f t="shared" si="194"/>
        <v>Medium</v>
      </c>
    </row>
    <row r="952" spans="1:27" x14ac:dyDescent="0.2">
      <c r="A952">
        <v>21054</v>
      </c>
      <c r="B952">
        <v>35</v>
      </c>
      <c r="C952">
        <f t="shared" si="182"/>
        <v>35</v>
      </c>
      <c r="D952" t="s">
        <v>23</v>
      </c>
      <c r="E952" t="str">
        <f t="shared" si="183"/>
        <v>Self-Employed</v>
      </c>
      <c r="F952">
        <v>6481.63</v>
      </c>
      <c r="G952">
        <f>ABS(Table1[[#This Row],[Monthly_Income]])</f>
        <v>6481.63</v>
      </c>
      <c r="H952">
        <v>7098.27</v>
      </c>
      <c r="I952" s="5">
        <f t="shared" si="184"/>
        <v>7098.27</v>
      </c>
      <c r="J952">
        <v>12</v>
      </c>
      <c r="K952">
        <v>14.93</v>
      </c>
      <c r="M952" t="str">
        <f t="shared" si="185"/>
        <v>NULL</v>
      </c>
      <c r="N952">
        <v>9.4</v>
      </c>
      <c r="O952">
        <f t="shared" si="186"/>
        <v>9.4</v>
      </c>
      <c r="P952">
        <v>120</v>
      </c>
      <c r="Q952">
        <f t="shared" si="187"/>
        <v>120</v>
      </c>
      <c r="R952" t="s">
        <v>18</v>
      </c>
      <c r="S952" t="str">
        <f t="shared" si="188"/>
        <v>Non-Performing</v>
      </c>
      <c r="T952" t="s">
        <v>16</v>
      </c>
      <c r="U952" s="3">
        <f t="shared" si="189"/>
        <v>9.1261380239229958E-2</v>
      </c>
      <c r="V952" t="str">
        <f t="shared" si="190"/>
        <v>Healthy</v>
      </c>
      <c r="W952" t="str">
        <f t="shared" si="191"/>
        <v>High Risk</v>
      </c>
      <c r="X952" s="5" t="str">
        <f t="shared" si="192"/>
        <v>Small</v>
      </c>
      <c r="Y952" s="5" t="str">
        <f t="shared" si="193"/>
        <v>Medium</v>
      </c>
      <c r="Z952" s="5" t="str">
        <f>IF(B952=120,"NULL",IF(AND(V952="High Stress", W952="High Risk", Y952="Low"),"High Risk : Reject", IF(AND(V952="Healthy", W952="Good",Y952&lt;&gt;"Low"), "Low Risk : Approve", "Medium Risk : Review")))</f>
        <v>Medium Risk : Review</v>
      </c>
      <c r="AA952" s="5" t="str">
        <f t="shared" si="194"/>
        <v>Medium</v>
      </c>
    </row>
    <row r="953" spans="1:27" x14ac:dyDescent="0.2">
      <c r="A953">
        <v>21824</v>
      </c>
      <c r="B953">
        <v>40</v>
      </c>
      <c r="C953">
        <f t="shared" si="182"/>
        <v>40</v>
      </c>
      <c r="D953" t="s">
        <v>23</v>
      </c>
      <c r="E953" t="str">
        <f t="shared" si="183"/>
        <v>Self-Employed</v>
      </c>
      <c r="F953">
        <v>5295.69</v>
      </c>
      <c r="G953">
        <f>ABS(Table1[[#This Row],[Monthly_Income]])</f>
        <v>5295.69</v>
      </c>
      <c r="H953">
        <v>23055.8</v>
      </c>
      <c r="I953" s="5">
        <f t="shared" si="184"/>
        <v>23055.8</v>
      </c>
      <c r="J953">
        <v>12</v>
      </c>
      <c r="K953">
        <v>23.29</v>
      </c>
      <c r="L953">
        <v>2</v>
      </c>
      <c r="M953">
        <f t="shared" si="185"/>
        <v>2</v>
      </c>
      <c r="N953">
        <v>10.4</v>
      </c>
      <c r="O953">
        <f t="shared" si="186"/>
        <v>10.4</v>
      </c>
      <c r="Q953" t="str">
        <f t="shared" si="187"/>
        <v>NULL</v>
      </c>
      <c r="R953" t="s">
        <v>20</v>
      </c>
      <c r="S953" t="str">
        <f t="shared" si="188"/>
        <v>Written Off</v>
      </c>
      <c r="T953" t="s">
        <v>16</v>
      </c>
      <c r="U953" s="3">
        <f t="shared" si="189"/>
        <v>0.36280761650826743</v>
      </c>
      <c r="V953" t="str">
        <f t="shared" si="190"/>
        <v>Stretched</v>
      </c>
      <c r="W953" t="str">
        <f t="shared" si="191"/>
        <v>NULL</v>
      </c>
      <c r="X953" s="5" t="str">
        <f t="shared" si="192"/>
        <v>Medium</v>
      </c>
      <c r="Y953" s="5" t="str">
        <f t="shared" si="193"/>
        <v>Medium</v>
      </c>
      <c r="Z953" s="5" t="str">
        <f>IF(B953=120,"NULL",IF(AND(V953="High Stress", W953="High Risk", Y953="Low"),"High Risk : Reject", IF(AND(V953="Healthy", W953="Good",Y953&lt;&gt;"Low"), "Low Risk : Approve", "Medium Risk : Review")))</f>
        <v>Medium Risk : Review</v>
      </c>
      <c r="AA953" s="5" t="str">
        <f t="shared" si="194"/>
        <v>Medium</v>
      </c>
    </row>
    <row r="954" spans="1:27" x14ac:dyDescent="0.2">
      <c r="A954">
        <v>23081</v>
      </c>
      <c r="B954">
        <v>45</v>
      </c>
      <c r="C954">
        <f t="shared" si="182"/>
        <v>45</v>
      </c>
      <c r="D954" t="s">
        <v>21</v>
      </c>
      <c r="E954" t="str">
        <f t="shared" si="183"/>
        <v>Salaried</v>
      </c>
      <c r="F954">
        <v>4684.04</v>
      </c>
      <c r="G954">
        <f>ABS(Table1[[#This Row],[Monthly_Income]])</f>
        <v>4684.04</v>
      </c>
      <c r="H954">
        <v>-2813.98</v>
      </c>
      <c r="I954" s="5">
        <f t="shared" si="184"/>
        <v>2813.98</v>
      </c>
      <c r="J954">
        <v>6</v>
      </c>
      <c r="K954">
        <v>23.48</v>
      </c>
      <c r="L954">
        <v>2</v>
      </c>
      <c r="M954">
        <f t="shared" si="185"/>
        <v>2</v>
      </c>
      <c r="N954">
        <v>1</v>
      </c>
      <c r="O954">
        <f t="shared" si="186"/>
        <v>1</v>
      </c>
      <c r="P954">
        <v>90</v>
      </c>
      <c r="Q954">
        <f t="shared" si="187"/>
        <v>90</v>
      </c>
      <c r="R954" t="s">
        <v>13</v>
      </c>
      <c r="S954" t="str">
        <f t="shared" si="188"/>
        <v>Performing</v>
      </c>
      <c r="T954" t="s">
        <v>16</v>
      </c>
      <c r="U954" s="3">
        <f t="shared" si="189"/>
        <v>0.10012652895079177</v>
      </c>
      <c r="V954" t="str">
        <f t="shared" si="190"/>
        <v>Healthy</v>
      </c>
      <c r="W954" t="str">
        <f t="shared" si="191"/>
        <v>High Risk</v>
      </c>
      <c r="X954" s="5" t="str">
        <f t="shared" si="192"/>
        <v>Small</v>
      </c>
      <c r="Y954" s="5" t="str">
        <f t="shared" si="193"/>
        <v>High</v>
      </c>
      <c r="Z954" s="5" t="str">
        <f>IF(B954=120,"NULL",IF(AND(V954="High Stress", W954="High Risk", Y954="Low"),"High Risk : Reject", IF(AND(V954="Healthy", W954="Good",Y954&lt;&gt;"Low"), "Low Risk : Approve", "Medium Risk : Review")))</f>
        <v>Medium Risk : Review</v>
      </c>
      <c r="AA954" s="5" t="str">
        <f t="shared" si="194"/>
        <v>Medium</v>
      </c>
    </row>
    <row r="955" spans="1:27" x14ac:dyDescent="0.2">
      <c r="A955">
        <v>21279</v>
      </c>
      <c r="B955">
        <v>24</v>
      </c>
      <c r="C955">
        <f t="shared" si="182"/>
        <v>24</v>
      </c>
      <c r="D955" t="s">
        <v>26</v>
      </c>
      <c r="E955" t="str">
        <f t="shared" si="183"/>
        <v>Salaried</v>
      </c>
      <c r="F955">
        <v>3388.77</v>
      </c>
      <c r="G955">
        <f>ABS(Table1[[#This Row],[Monthly_Income]])</f>
        <v>3388.77</v>
      </c>
      <c r="H955">
        <v>20616.5</v>
      </c>
      <c r="I955" s="5">
        <f t="shared" si="184"/>
        <v>20616.5</v>
      </c>
      <c r="J955">
        <v>12</v>
      </c>
      <c r="K955">
        <v>25.56</v>
      </c>
      <c r="L955">
        <v>2</v>
      </c>
      <c r="M955">
        <f t="shared" si="185"/>
        <v>2</v>
      </c>
      <c r="N955">
        <v>4.5</v>
      </c>
      <c r="O955">
        <f t="shared" si="186"/>
        <v>4.5</v>
      </c>
      <c r="P955">
        <v>15</v>
      </c>
      <c r="Q955">
        <f t="shared" si="187"/>
        <v>15</v>
      </c>
      <c r="R955" t="s">
        <v>24</v>
      </c>
      <c r="S955" t="str">
        <f t="shared" si="188"/>
        <v>Non-Performing</v>
      </c>
      <c r="T955" t="s">
        <v>14</v>
      </c>
      <c r="U955" s="3">
        <f t="shared" si="189"/>
        <v>0.50698090064143242</v>
      </c>
      <c r="V955" t="str">
        <f t="shared" si="190"/>
        <v>High Stress</v>
      </c>
      <c r="W955" t="str">
        <f t="shared" si="191"/>
        <v>Good</v>
      </c>
      <c r="X955" s="5" t="str">
        <f t="shared" si="192"/>
        <v>Medium</v>
      </c>
      <c r="Y955" s="5" t="str">
        <f t="shared" si="193"/>
        <v>High</v>
      </c>
      <c r="Z955" s="5" t="str">
        <f>IF(B955=120,"NULL",IF(AND(V955="High Stress", W955="High Risk", Y955="Low"),"High Risk : Reject", IF(AND(V955="Healthy", W955="Good",Y955&lt;&gt;"Low"), "Low Risk : Approve", "Medium Risk : Review")))</f>
        <v>Medium Risk : Review</v>
      </c>
      <c r="AA955" s="5" t="str">
        <f t="shared" si="194"/>
        <v>Medium</v>
      </c>
    </row>
    <row r="956" spans="1:27" x14ac:dyDescent="0.2">
      <c r="A956">
        <v>25100</v>
      </c>
      <c r="B956">
        <v>33</v>
      </c>
      <c r="C956">
        <f t="shared" si="182"/>
        <v>33</v>
      </c>
      <c r="D956" t="s">
        <v>27</v>
      </c>
      <c r="E956" t="str">
        <f t="shared" si="183"/>
        <v>Unemployed</v>
      </c>
      <c r="F956">
        <v>3434.21</v>
      </c>
      <c r="G956">
        <f>ABS(Table1[[#This Row],[Monthly_Income]])</f>
        <v>3434.21</v>
      </c>
      <c r="H956">
        <v>28167.040000000001</v>
      </c>
      <c r="I956" s="5">
        <f t="shared" si="184"/>
        <v>28167.040000000001</v>
      </c>
      <c r="J956">
        <v>36</v>
      </c>
      <c r="K956">
        <v>19.82</v>
      </c>
      <c r="L956">
        <v>1</v>
      </c>
      <c r="M956">
        <f t="shared" si="185"/>
        <v>1</v>
      </c>
      <c r="N956">
        <v>3.1</v>
      </c>
      <c r="O956">
        <f t="shared" si="186"/>
        <v>3.1</v>
      </c>
      <c r="Q956" t="str">
        <f t="shared" si="187"/>
        <v>NULL</v>
      </c>
      <c r="R956" t="s">
        <v>24</v>
      </c>
      <c r="S956" t="str">
        <f t="shared" si="188"/>
        <v>Non-Performing</v>
      </c>
      <c r="T956" t="s">
        <v>16</v>
      </c>
      <c r="U956" s="3">
        <f t="shared" si="189"/>
        <v>0.2278304989437972</v>
      </c>
      <c r="V956" t="str">
        <f t="shared" si="190"/>
        <v>Healthy</v>
      </c>
      <c r="W956" t="str">
        <f t="shared" si="191"/>
        <v>NULL</v>
      </c>
      <c r="X956" s="5" t="str">
        <f t="shared" si="192"/>
        <v>Medium</v>
      </c>
      <c r="Y956" s="5" t="str">
        <f t="shared" si="193"/>
        <v>Low</v>
      </c>
      <c r="Z956" s="5" t="str">
        <f>IF(B956=120,"NULL",IF(AND(V956="High Stress", W956="High Risk", Y956="Low"),"High Risk : Reject", IF(AND(V956="Healthy", W956="Good",Y956&lt;&gt;"Low"), "Low Risk : Approve", "Medium Risk : Review")))</f>
        <v>Medium Risk : Review</v>
      </c>
      <c r="AA956" s="5" t="str">
        <f t="shared" si="194"/>
        <v>Medium</v>
      </c>
    </row>
    <row r="957" spans="1:27" x14ac:dyDescent="0.2">
      <c r="A957">
        <v>25745</v>
      </c>
      <c r="B957">
        <v>38</v>
      </c>
      <c r="C957">
        <f t="shared" si="182"/>
        <v>38</v>
      </c>
      <c r="D957" t="s">
        <v>26</v>
      </c>
      <c r="E957" t="str">
        <f t="shared" si="183"/>
        <v>Salaried</v>
      </c>
      <c r="F957">
        <v>8208.9</v>
      </c>
      <c r="G957">
        <f>ABS(Table1[[#This Row],[Monthly_Income]])</f>
        <v>8208.9</v>
      </c>
      <c r="H957">
        <v>26457.360000000001</v>
      </c>
      <c r="I957" s="5">
        <f t="shared" si="184"/>
        <v>26457.360000000001</v>
      </c>
      <c r="J957">
        <v>60</v>
      </c>
      <c r="K957">
        <v>22.92</v>
      </c>
      <c r="L957">
        <v>2</v>
      </c>
      <c r="M957">
        <f t="shared" si="185"/>
        <v>2</v>
      </c>
      <c r="N957">
        <v>5.2</v>
      </c>
      <c r="O957">
        <f t="shared" si="186"/>
        <v>5.2</v>
      </c>
      <c r="Q957" t="str">
        <f t="shared" si="187"/>
        <v>NULL</v>
      </c>
      <c r="R957" t="s">
        <v>20</v>
      </c>
      <c r="S957" t="str">
        <f t="shared" si="188"/>
        <v>Written Off</v>
      </c>
      <c r="T957" t="s">
        <v>14</v>
      </c>
      <c r="U957" s="3">
        <f t="shared" si="189"/>
        <v>5.3716819549513337E-2</v>
      </c>
      <c r="V957" t="str">
        <f t="shared" si="190"/>
        <v>Healthy</v>
      </c>
      <c r="W957" t="str">
        <f t="shared" si="191"/>
        <v>NULL</v>
      </c>
      <c r="X957" s="5" t="str">
        <f t="shared" si="192"/>
        <v>Medium</v>
      </c>
      <c r="Y957" s="5" t="str">
        <f t="shared" si="193"/>
        <v>High</v>
      </c>
      <c r="Z957" s="5" t="str">
        <f>IF(B957=120,"NULL",IF(AND(V957="High Stress", W957="High Risk", Y957="Low"),"High Risk : Reject", IF(AND(V957="Healthy", W957="Good",Y957&lt;&gt;"Low"), "Low Risk : Approve", "Medium Risk : Review")))</f>
        <v>Medium Risk : Review</v>
      </c>
      <c r="AA957" s="5" t="str">
        <f t="shared" si="194"/>
        <v>High</v>
      </c>
    </row>
    <row r="958" spans="1:27" x14ac:dyDescent="0.2">
      <c r="A958">
        <v>23834</v>
      </c>
      <c r="B958">
        <v>27</v>
      </c>
      <c r="C958">
        <f t="shared" si="182"/>
        <v>27</v>
      </c>
      <c r="D958" t="s">
        <v>27</v>
      </c>
      <c r="E958" t="str">
        <f t="shared" si="183"/>
        <v>Unemployed</v>
      </c>
      <c r="F958">
        <v>462.5</v>
      </c>
      <c r="G958">
        <f>ABS(Table1[[#This Row],[Monthly_Income]])</f>
        <v>462.5</v>
      </c>
      <c r="H958">
        <v>12910.16</v>
      </c>
      <c r="I958" s="5">
        <f t="shared" si="184"/>
        <v>12910.16</v>
      </c>
      <c r="J958">
        <v>6</v>
      </c>
      <c r="K958">
        <v>31.94</v>
      </c>
      <c r="L958">
        <v>2</v>
      </c>
      <c r="M958">
        <f t="shared" si="185"/>
        <v>2</v>
      </c>
      <c r="N958">
        <v>8.8000000000000007</v>
      </c>
      <c r="O958">
        <f t="shared" si="186"/>
        <v>8.8000000000000007</v>
      </c>
      <c r="P958">
        <v>15</v>
      </c>
      <c r="Q958">
        <f t="shared" si="187"/>
        <v>15</v>
      </c>
      <c r="R958" t="s">
        <v>20</v>
      </c>
      <c r="S958" t="str">
        <f t="shared" si="188"/>
        <v>Written Off</v>
      </c>
      <c r="T958" t="s">
        <v>22</v>
      </c>
      <c r="U958" s="3">
        <f t="shared" si="189"/>
        <v>4.6523099099099099</v>
      </c>
      <c r="V958" t="str">
        <f t="shared" si="190"/>
        <v>High Stress</v>
      </c>
      <c r="W958" t="str">
        <f t="shared" si="191"/>
        <v>Good</v>
      </c>
      <c r="X958" s="5" t="str">
        <f t="shared" si="192"/>
        <v>Medium</v>
      </c>
      <c r="Y958" s="5" t="str">
        <f t="shared" si="193"/>
        <v>Low</v>
      </c>
      <c r="Z958" s="5" t="str">
        <f>IF(B958=120,"NULL",IF(AND(V958="High Stress", W958="High Risk", Y958="Low"),"High Risk : Reject", IF(AND(V958="Healthy", W958="Good",Y958&lt;&gt;"Low"), "Low Risk : Approve", "Medium Risk : Review")))</f>
        <v>Medium Risk : Review</v>
      </c>
      <c r="AA958" s="5" t="str">
        <f t="shared" si="194"/>
        <v>Low</v>
      </c>
    </row>
    <row r="959" spans="1:27" x14ac:dyDescent="0.2">
      <c r="A959">
        <v>21481</v>
      </c>
      <c r="B959">
        <v>30</v>
      </c>
      <c r="C959">
        <f t="shared" si="182"/>
        <v>30</v>
      </c>
      <c r="D959" t="s">
        <v>17</v>
      </c>
      <c r="E959" t="str">
        <f t="shared" si="183"/>
        <v>Contract</v>
      </c>
      <c r="F959">
        <v>2662.11</v>
      </c>
      <c r="G959">
        <f>ABS(Table1[[#This Row],[Monthly_Income]])</f>
        <v>2662.11</v>
      </c>
      <c r="H959">
        <v>18741.11</v>
      </c>
      <c r="I959" s="5">
        <f t="shared" si="184"/>
        <v>18741.11</v>
      </c>
      <c r="J959">
        <v>6</v>
      </c>
      <c r="K959">
        <v>19.010000000000002</v>
      </c>
      <c r="L959">
        <v>2</v>
      </c>
      <c r="M959">
        <f t="shared" si="185"/>
        <v>2</v>
      </c>
      <c r="N959">
        <v>10.8</v>
      </c>
      <c r="O959">
        <f t="shared" si="186"/>
        <v>10.8</v>
      </c>
      <c r="P959">
        <v>60</v>
      </c>
      <c r="Q959">
        <f t="shared" si="187"/>
        <v>60</v>
      </c>
      <c r="R959" t="s">
        <v>18</v>
      </c>
      <c r="S959" t="str">
        <f t="shared" si="188"/>
        <v>Non-Performing</v>
      </c>
      <c r="T959" t="s">
        <v>25</v>
      </c>
      <c r="U959" s="3">
        <f t="shared" si="189"/>
        <v>1.1733242928854681</v>
      </c>
      <c r="V959" t="str">
        <f t="shared" si="190"/>
        <v>High Stress</v>
      </c>
      <c r="W959" t="str">
        <f t="shared" si="191"/>
        <v>High Risk</v>
      </c>
      <c r="X959" s="5" t="str">
        <f t="shared" si="192"/>
        <v>Medium</v>
      </c>
      <c r="Y959" s="5" t="str">
        <f t="shared" si="193"/>
        <v>Low</v>
      </c>
      <c r="Z959" s="5" t="str">
        <f>IF(B959=120,"NULL",IF(AND(V959="High Stress", W959="High Risk", Y959="Low"),"High Risk : Reject", IF(AND(V959="Healthy", W959="Good",Y959&lt;&gt;"Low"), "Low Risk : Approve", "Medium Risk : Review")))</f>
        <v>High Risk : Reject</v>
      </c>
      <c r="AA959" s="5" t="str">
        <f t="shared" si="194"/>
        <v>Medium</v>
      </c>
    </row>
    <row r="960" spans="1:27" x14ac:dyDescent="0.2">
      <c r="A960">
        <v>21624</v>
      </c>
      <c r="B960">
        <v>75</v>
      </c>
      <c r="C960">
        <f t="shared" si="182"/>
        <v>75</v>
      </c>
      <c r="D960" t="s">
        <v>17</v>
      </c>
      <c r="E960" t="str">
        <f t="shared" si="183"/>
        <v>Contract</v>
      </c>
      <c r="F960">
        <v>4030.09</v>
      </c>
      <c r="G960">
        <f>ABS(Table1[[#This Row],[Monthly_Income]])</f>
        <v>4030.09</v>
      </c>
      <c r="H960">
        <v>20192.22</v>
      </c>
      <c r="I960" s="5">
        <f t="shared" si="184"/>
        <v>20192.22</v>
      </c>
      <c r="J960">
        <v>60</v>
      </c>
      <c r="K960">
        <v>21.97</v>
      </c>
      <c r="M960" t="str">
        <f t="shared" si="185"/>
        <v>NULL</v>
      </c>
      <c r="N960">
        <v>10.199999999999999</v>
      </c>
      <c r="O960">
        <f t="shared" si="186"/>
        <v>10.199999999999999</v>
      </c>
      <c r="P960">
        <v>60</v>
      </c>
      <c r="Q960">
        <f t="shared" si="187"/>
        <v>60</v>
      </c>
      <c r="R960" t="s">
        <v>15</v>
      </c>
      <c r="S960" t="str">
        <f t="shared" si="188"/>
        <v xml:space="preserve">Performing </v>
      </c>
      <c r="T960" t="s">
        <v>22</v>
      </c>
      <c r="U960" s="3">
        <f t="shared" si="189"/>
        <v>8.3506075546699948E-2</v>
      </c>
      <c r="V960" t="str">
        <f t="shared" si="190"/>
        <v>Healthy</v>
      </c>
      <c r="W960" t="str">
        <f t="shared" si="191"/>
        <v>High Risk</v>
      </c>
      <c r="X960" s="5" t="str">
        <f t="shared" si="192"/>
        <v>Medium</v>
      </c>
      <c r="Y960" s="5" t="str">
        <f t="shared" si="193"/>
        <v>Low</v>
      </c>
      <c r="Z960" s="5" t="str">
        <f>IF(B960=120,"NULL",IF(AND(V960="High Stress", W960="High Risk", Y960="Low"),"High Risk : Reject", IF(AND(V960="Healthy", W960="Good",Y960&lt;&gt;"Low"), "Low Risk : Approve", "Medium Risk : Review")))</f>
        <v>Medium Risk : Review</v>
      </c>
      <c r="AA960" s="5" t="str">
        <f t="shared" si="194"/>
        <v>Medium</v>
      </c>
    </row>
    <row r="961" spans="1:27" x14ac:dyDescent="0.2">
      <c r="A961">
        <v>23328</v>
      </c>
      <c r="B961">
        <v>48</v>
      </c>
      <c r="C961">
        <f t="shared" si="182"/>
        <v>48</v>
      </c>
      <c r="D961" t="s">
        <v>12</v>
      </c>
      <c r="E961" t="str">
        <f t="shared" si="183"/>
        <v>Self-Employed</v>
      </c>
      <c r="F961">
        <v>7265.05</v>
      </c>
      <c r="G961">
        <f>ABS(Table1[[#This Row],[Monthly_Income]])</f>
        <v>7265.05</v>
      </c>
      <c r="H961">
        <v>27396.49</v>
      </c>
      <c r="I961" s="5">
        <f t="shared" si="184"/>
        <v>27396.49</v>
      </c>
      <c r="J961">
        <v>18</v>
      </c>
      <c r="K961">
        <v>16.7</v>
      </c>
      <c r="L961">
        <v>3</v>
      </c>
      <c r="M961">
        <f t="shared" si="185"/>
        <v>3</v>
      </c>
      <c r="N961">
        <v>4.3</v>
      </c>
      <c r="O961">
        <f t="shared" si="186"/>
        <v>4.3</v>
      </c>
      <c r="P961">
        <v>120</v>
      </c>
      <c r="Q961">
        <f t="shared" si="187"/>
        <v>120</v>
      </c>
      <c r="R961" t="s">
        <v>20</v>
      </c>
      <c r="S961" t="str">
        <f t="shared" si="188"/>
        <v>Written Off</v>
      </c>
      <c r="T961" t="s">
        <v>19</v>
      </c>
      <c r="U961" s="3">
        <f t="shared" si="189"/>
        <v>0.20949989638367558</v>
      </c>
      <c r="V961" t="str">
        <f t="shared" si="190"/>
        <v>Healthy</v>
      </c>
      <c r="W961" t="str">
        <f t="shared" si="191"/>
        <v>High Risk</v>
      </c>
      <c r="X961" s="5" t="str">
        <f t="shared" si="192"/>
        <v>Medium</v>
      </c>
      <c r="Y961" s="5" t="str">
        <f t="shared" si="193"/>
        <v>Medium</v>
      </c>
      <c r="Z961" s="5" t="str">
        <f>IF(B961=120,"NULL",IF(AND(V961="High Stress", W961="High Risk", Y961="Low"),"High Risk : Reject", IF(AND(V961="Healthy", W961="Good",Y961&lt;&gt;"Low"), "Low Risk : Approve", "Medium Risk : Review")))</f>
        <v>Medium Risk : Review</v>
      </c>
      <c r="AA961" s="5" t="str">
        <f t="shared" si="194"/>
        <v>Medium</v>
      </c>
    </row>
    <row r="962" spans="1:27" x14ac:dyDescent="0.2">
      <c r="A962">
        <v>21317</v>
      </c>
      <c r="B962">
        <v>34</v>
      </c>
      <c r="C962">
        <f t="shared" ref="C962:C1025" si="195">IF(B962=120,"NULL",B962)</f>
        <v>34</v>
      </c>
      <c r="D962" t="s">
        <v>23</v>
      </c>
      <c r="E962" t="str">
        <f t="shared" ref="E962:E1025" si="196">TRIM(IF(D962="Self employed","Self-Employed",D962))</f>
        <v>Self-Employed</v>
      </c>
      <c r="F962">
        <v>2102.14</v>
      </c>
      <c r="G962">
        <f>ABS(Table1[[#This Row],[Monthly_Income]])</f>
        <v>2102.14</v>
      </c>
      <c r="H962">
        <v>4705.26</v>
      </c>
      <c r="I962" s="5">
        <f t="shared" ref="I962:I1025" si="197">IF(H962="","NULL",ABS(H962))</f>
        <v>4705.26</v>
      </c>
      <c r="J962">
        <v>24</v>
      </c>
      <c r="K962">
        <v>26.03</v>
      </c>
      <c r="L962">
        <v>4</v>
      </c>
      <c r="M962">
        <f t="shared" ref="M962:M1025" si="198">IF(L962="","NULL",L962)</f>
        <v>4</v>
      </c>
      <c r="N962">
        <v>14.3</v>
      </c>
      <c r="O962">
        <f t="shared" ref="O962:O1025" si="199">IF(N962="","NULL",ABS(N962))</f>
        <v>14.3</v>
      </c>
      <c r="P962">
        <v>15</v>
      </c>
      <c r="Q962">
        <f t="shared" ref="Q962:Q1025" si="200">IF(P962="","NULL",P962)</f>
        <v>15</v>
      </c>
      <c r="R962" t="s">
        <v>18</v>
      </c>
      <c r="S962" t="str">
        <f t="shared" ref="S962:S1025" si="201">IF(R962="Non performing","Non-Performing",R962)</f>
        <v>Non-Performing</v>
      </c>
      <c r="T962" t="s">
        <v>22</v>
      </c>
      <c r="U962" s="3">
        <f t="shared" ref="U962:U1025" si="202">IFERROR(I962/(G962*J962),"NULL")</f>
        <v>9.3263293596049748E-2</v>
      </c>
      <c r="V962" t="str">
        <f t="shared" ref="V962:V1025" si="203">IF(U962="NULL","NULL",IF(U962&lt;=0.3,"Healthy",IF(U962&lt;=0.45,"Stretched","High Stress")))</f>
        <v>Healthy</v>
      </c>
      <c r="W962" t="str">
        <f t="shared" ref="W962:W1025" si="204">IF(Q962="NULL","NULL",IF(Q962&lt;30,"Good",IF(Q962&lt;60,"At Risk","High Risk")))</f>
        <v>Good</v>
      </c>
      <c r="X962" s="5" t="str">
        <f t="shared" ref="X962:X1025" si="205">IF(I962&lt;10000,"Small",IF(I962&lt;=30000,"Medium","High"))</f>
        <v>Small</v>
      </c>
      <c r="Y962" s="5" t="str">
        <f t="shared" ref="Y962:Y1025" si="206">IF(E962="Salaried","High",IF(E962="Self-Employed","Medium","Low"))</f>
        <v>Medium</v>
      </c>
      <c r="Z962" s="5" t="str">
        <f>IF(B962=120,"NULL",IF(AND(V962="High Stress", W962="High Risk", Y962="Low"),"High Risk : Reject", IF(AND(V962="Healthy", W962="Good",Y962&lt;&gt;"Low"), "Low Risk : Approve", "Medium Risk : Review")))</f>
        <v>Low Risk : Approve</v>
      </c>
      <c r="AA962" s="5" t="str">
        <f t="shared" ref="AA962:AA1025" si="207">IF(G962="NULL","NULL",IF(G962&gt;8000,"High",IF(G962&gt;2000,"Medium","Low")))</f>
        <v>Medium</v>
      </c>
    </row>
    <row r="963" spans="1:27" x14ac:dyDescent="0.2">
      <c r="A963">
        <v>24533</v>
      </c>
      <c r="B963">
        <v>59</v>
      </c>
      <c r="C963">
        <f t="shared" si="195"/>
        <v>59</v>
      </c>
      <c r="D963" t="s">
        <v>12</v>
      </c>
      <c r="E963" t="str">
        <f t="shared" si="196"/>
        <v>Self-Employed</v>
      </c>
      <c r="F963">
        <v>2849.29</v>
      </c>
      <c r="G963">
        <f>ABS(Table1[[#This Row],[Monthly_Income]])</f>
        <v>2849.29</v>
      </c>
      <c r="H963">
        <v>18929.29</v>
      </c>
      <c r="I963" s="5">
        <f t="shared" si="197"/>
        <v>18929.29</v>
      </c>
      <c r="J963">
        <v>12</v>
      </c>
      <c r="K963">
        <v>21.51</v>
      </c>
      <c r="L963">
        <v>0</v>
      </c>
      <c r="M963">
        <f t="shared" si="198"/>
        <v>0</v>
      </c>
      <c r="N963">
        <v>5.4</v>
      </c>
      <c r="O963">
        <f t="shared" si="199"/>
        <v>5.4</v>
      </c>
      <c r="P963">
        <v>60</v>
      </c>
      <c r="Q963">
        <f t="shared" si="200"/>
        <v>60</v>
      </c>
      <c r="R963" t="s">
        <v>24</v>
      </c>
      <c r="S963" t="str">
        <f t="shared" si="201"/>
        <v>Non-Performing</v>
      </c>
      <c r="T963" t="s">
        <v>22</v>
      </c>
      <c r="U963" s="3">
        <f t="shared" si="202"/>
        <v>0.55362593254225911</v>
      </c>
      <c r="V963" t="str">
        <f t="shared" si="203"/>
        <v>High Stress</v>
      </c>
      <c r="W963" t="str">
        <f t="shared" si="204"/>
        <v>High Risk</v>
      </c>
      <c r="X963" s="5" t="str">
        <f t="shared" si="205"/>
        <v>Medium</v>
      </c>
      <c r="Y963" s="5" t="str">
        <f t="shared" si="206"/>
        <v>Medium</v>
      </c>
      <c r="Z963" s="5" t="str">
        <f>IF(B963=120,"NULL",IF(AND(V963="High Stress", W963="High Risk", Y963="Low"),"High Risk : Reject", IF(AND(V963="Healthy", W963="Good",Y963&lt;&gt;"Low"), "Low Risk : Approve", "Medium Risk : Review")))</f>
        <v>Medium Risk : Review</v>
      </c>
      <c r="AA963" s="5" t="str">
        <f t="shared" si="207"/>
        <v>Medium</v>
      </c>
    </row>
    <row r="964" spans="1:27" x14ac:dyDescent="0.2">
      <c r="A964">
        <v>25521</v>
      </c>
      <c r="B964">
        <v>36</v>
      </c>
      <c r="C964">
        <f t="shared" si="195"/>
        <v>36</v>
      </c>
      <c r="D964" t="s">
        <v>12</v>
      </c>
      <c r="E964" t="str">
        <f t="shared" si="196"/>
        <v>Self-Employed</v>
      </c>
      <c r="F964">
        <v>7605.21</v>
      </c>
      <c r="G964">
        <f>ABS(Table1[[#This Row],[Monthly_Income]])</f>
        <v>7605.21</v>
      </c>
      <c r="H964">
        <v>22584.44</v>
      </c>
      <c r="I964" s="5">
        <f t="shared" si="197"/>
        <v>22584.44</v>
      </c>
      <c r="J964">
        <v>6</v>
      </c>
      <c r="K964">
        <v>17.760000000000002</v>
      </c>
      <c r="L964">
        <v>3</v>
      </c>
      <c r="M964">
        <f t="shared" si="198"/>
        <v>3</v>
      </c>
      <c r="N964">
        <v>6.2</v>
      </c>
      <c r="O964">
        <f t="shared" si="199"/>
        <v>6.2</v>
      </c>
      <c r="P964">
        <v>0</v>
      </c>
      <c r="Q964">
        <f t="shared" si="200"/>
        <v>0</v>
      </c>
      <c r="R964" t="s">
        <v>13</v>
      </c>
      <c r="S964" t="str">
        <f t="shared" si="201"/>
        <v>Performing</v>
      </c>
      <c r="T964" t="s">
        <v>19</v>
      </c>
      <c r="U964" s="3">
        <f t="shared" si="202"/>
        <v>0.49493351706702809</v>
      </c>
      <c r="V964" t="str">
        <f t="shared" si="203"/>
        <v>High Stress</v>
      </c>
      <c r="W964" t="str">
        <f t="shared" si="204"/>
        <v>Good</v>
      </c>
      <c r="X964" s="5" t="str">
        <f t="shared" si="205"/>
        <v>Medium</v>
      </c>
      <c r="Y964" s="5" t="str">
        <f t="shared" si="206"/>
        <v>Medium</v>
      </c>
      <c r="Z964" s="5" t="str">
        <f>IF(B964=120,"NULL",IF(AND(V964="High Stress", W964="High Risk", Y964="Low"),"High Risk : Reject", IF(AND(V964="Healthy", W964="Good",Y964&lt;&gt;"Low"), "Low Risk : Approve", "Medium Risk : Review")))</f>
        <v>Medium Risk : Review</v>
      </c>
      <c r="AA964" s="5" t="str">
        <f t="shared" si="207"/>
        <v>Medium</v>
      </c>
    </row>
    <row r="965" spans="1:27" x14ac:dyDescent="0.2">
      <c r="A965">
        <v>23974</v>
      </c>
      <c r="B965">
        <v>36</v>
      </c>
      <c r="C965">
        <f t="shared" si="195"/>
        <v>36</v>
      </c>
      <c r="D965" t="s">
        <v>17</v>
      </c>
      <c r="E965" t="str">
        <f t="shared" si="196"/>
        <v>Contract</v>
      </c>
      <c r="F965">
        <v>4416.8900000000003</v>
      </c>
      <c r="G965">
        <f>ABS(Table1[[#This Row],[Monthly_Income]])</f>
        <v>4416.8900000000003</v>
      </c>
      <c r="H965">
        <v>25405.88</v>
      </c>
      <c r="I965" s="5">
        <f t="shared" si="197"/>
        <v>25405.88</v>
      </c>
      <c r="J965">
        <v>48</v>
      </c>
      <c r="K965">
        <v>18.88</v>
      </c>
      <c r="M965" t="str">
        <f t="shared" si="198"/>
        <v>NULL</v>
      </c>
      <c r="N965">
        <v>5.7</v>
      </c>
      <c r="O965">
        <f t="shared" si="199"/>
        <v>5.7</v>
      </c>
      <c r="P965">
        <v>60</v>
      </c>
      <c r="Q965">
        <f t="shared" si="200"/>
        <v>60</v>
      </c>
      <c r="R965" t="s">
        <v>15</v>
      </c>
      <c r="S965" t="str">
        <f t="shared" si="201"/>
        <v xml:space="preserve">Performing </v>
      </c>
      <c r="T965" t="s">
        <v>14</v>
      </c>
      <c r="U965" s="3">
        <f t="shared" si="202"/>
        <v>0.11983299712391901</v>
      </c>
      <c r="V965" t="str">
        <f t="shared" si="203"/>
        <v>Healthy</v>
      </c>
      <c r="W965" t="str">
        <f t="shared" si="204"/>
        <v>High Risk</v>
      </c>
      <c r="X965" s="5" t="str">
        <f t="shared" si="205"/>
        <v>Medium</v>
      </c>
      <c r="Y965" s="5" t="str">
        <f t="shared" si="206"/>
        <v>Low</v>
      </c>
      <c r="Z965" s="5" t="str">
        <f>IF(B965=120,"NULL",IF(AND(V965="High Stress", W965="High Risk", Y965="Low"),"High Risk : Reject", IF(AND(V965="Healthy", W965="Good",Y965&lt;&gt;"Low"), "Low Risk : Approve", "Medium Risk : Review")))</f>
        <v>Medium Risk : Review</v>
      </c>
      <c r="AA965" s="5" t="str">
        <f t="shared" si="207"/>
        <v>Medium</v>
      </c>
    </row>
    <row r="966" spans="1:27" x14ac:dyDescent="0.2">
      <c r="A966">
        <v>21835</v>
      </c>
      <c r="B966">
        <v>55</v>
      </c>
      <c r="C966">
        <f t="shared" si="195"/>
        <v>55</v>
      </c>
      <c r="D966" t="s">
        <v>21</v>
      </c>
      <c r="E966" t="str">
        <f t="shared" si="196"/>
        <v>Salaried</v>
      </c>
      <c r="F966">
        <v>998.16</v>
      </c>
      <c r="G966">
        <f>ABS(Table1[[#This Row],[Monthly_Income]])</f>
        <v>998.16</v>
      </c>
      <c r="H966">
        <v>25818.27</v>
      </c>
      <c r="I966" s="5">
        <f t="shared" si="197"/>
        <v>25818.27</v>
      </c>
      <c r="J966">
        <v>60</v>
      </c>
      <c r="K966">
        <v>17.63</v>
      </c>
      <c r="L966">
        <v>3</v>
      </c>
      <c r="M966">
        <f t="shared" si="198"/>
        <v>3</v>
      </c>
      <c r="N966">
        <v>2.7</v>
      </c>
      <c r="O966">
        <f t="shared" si="199"/>
        <v>2.7</v>
      </c>
      <c r="P966">
        <v>0</v>
      </c>
      <c r="Q966">
        <f t="shared" si="200"/>
        <v>0</v>
      </c>
      <c r="R966" t="s">
        <v>15</v>
      </c>
      <c r="S966" t="str">
        <f t="shared" si="201"/>
        <v xml:space="preserve">Performing </v>
      </c>
      <c r="T966" t="s">
        <v>22</v>
      </c>
      <c r="U966" s="3">
        <f t="shared" si="202"/>
        <v>0.43109771980444017</v>
      </c>
      <c r="V966" t="str">
        <f t="shared" si="203"/>
        <v>Stretched</v>
      </c>
      <c r="W966" t="str">
        <f t="shared" si="204"/>
        <v>Good</v>
      </c>
      <c r="X966" s="5" t="str">
        <f t="shared" si="205"/>
        <v>Medium</v>
      </c>
      <c r="Y966" s="5" t="str">
        <f t="shared" si="206"/>
        <v>High</v>
      </c>
      <c r="Z966" s="5" t="str">
        <f>IF(B966=120,"NULL",IF(AND(V966="High Stress", W966="High Risk", Y966="Low"),"High Risk : Reject", IF(AND(V966="Healthy", W966="Good",Y966&lt;&gt;"Low"), "Low Risk : Approve", "Medium Risk : Review")))</f>
        <v>Medium Risk : Review</v>
      </c>
      <c r="AA966" s="5" t="str">
        <f t="shared" si="207"/>
        <v>Low</v>
      </c>
    </row>
    <row r="967" spans="1:27" x14ac:dyDescent="0.2">
      <c r="A967">
        <v>21997</v>
      </c>
      <c r="B967">
        <v>34</v>
      </c>
      <c r="C967">
        <f t="shared" si="195"/>
        <v>34</v>
      </c>
      <c r="D967" t="s">
        <v>21</v>
      </c>
      <c r="E967" t="str">
        <f t="shared" si="196"/>
        <v>Salaried</v>
      </c>
      <c r="F967">
        <v>6332.4</v>
      </c>
      <c r="G967">
        <f>ABS(Table1[[#This Row],[Monthly_Income]])</f>
        <v>6332.4</v>
      </c>
      <c r="H967">
        <v>24349.3</v>
      </c>
      <c r="I967" s="5">
        <f t="shared" si="197"/>
        <v>24349.3</v>
      </c>
      <c r="J967">
        <v>60</v>
      </c>
      <c r="K967">
        <v>17.63</v>
      </c>
      <c r="L967">
        <v>4</v>
      </c>
      <c r="M967">
        <f t="shared" si="198"/>
        <v>4</v>
      </c>
      <c r="N967">
        <v>4.5999999999999996</v>
      </c>
      <c r="O967">
        <f t="shared" si="199"/>
        <v>4.5999999999999996</v>
      </c>
      <c r="P967">
        <v>90</v>
      </c>
      <c r="Q967">
        <f t="shared" si="200"/>
        <v>90</v>
      </c>
      <c r="R967" t="s">
        <v>15</v>
      </c>
      <c r="S967" t="str">
        <f t="shared" si="201"/>
        <v xml:space="preserve">Performing </v>
      </c>
      <c r="T967" t="s">
        <v>19</v>
      </c>
      <c r="U967" s="3">
        <f t="shared" si="202"/>
        <v>6.4086549596782685E-2</v>
      </c>
      <c r="V967" t="str">
        <f t="shared" si="203"/>
        <v>Healthy</v>
      </c>
      <c r="W967" t="str">
        <f t="shared" si="204"/>
        <v>High Risk</v>
      </c>
      <c r="X967" s="5" t="str">
        <f t="shared" si="205"/>
        <v>Medium</v>
      </c>
      <c r="Y967" s="5" t="str">
        <f t="shared" si="206"/>
        <v>High</v>
      </c>
      <c r="Z967" s="5" t="str">
        <f>IF(B967=120,"NULL",IF(AND(V967="High Stress", W967="High Risk", Y967="Low"),"High Risk : Reject", IF(AND(V967="Healthy", W967="Good",Y967&lt;&gt;"Low"), "Low Risk : Approve", "Medium Risk : Review")))</f>
        <v>Medium Risk : Review</v>
      </c>
      <c r="AA967" s="5" t="str">
        <f t="shared" si="207"/>
        <v>Medium</v>
      </c>
    </row>
    <row r="968" spans="1:27" x14ac:dyDescent="0.2">
      <c r="A968">
        <v>21005</v>
      </c>
      <c r="B968">
        <v>25</v>
      </c>
      <c r="C968">
        <f t="shared" si="195"/>
        <v>25</v>
      </c>
      <c r="D968" t="s">
        <v>27</v>
      </c>
      <c r="E968" t="str">
        <f t="shared" si="196"/>
        <v>Unemployed</v>
      </c>
      <c r="F968">
        <v>4575.4399999999996</v>
      </c>
      <c r="G968">
        <f>ABS(Table1[[#This Row],[Monthly_Income]])</f>
        <v>4575.4399999999996</v>
      </c>
      <c r="H968">
        <v>15044.09</v>
      </c>
      <c r="I968" s="5">
        <f t="shared" si="197"/>
        <v>15044.09</v>
      </c>
      <c r="J968">
        <v>18</v>
      </c>
      <c r="K968">
        <v>17.02</v>
      </c>
      <c r="L968">
        <v>2</v>
      </c>
      <c r="M968">
        <f t="shared" si="198"/>
        <v>2</v>
      </c>
      <c r="N968">
        <v>-1.4</v>
      </c>
      <c r="O968">
        <f t="shared" si="199"/>
        <v>1.4</v>
      </c>
      <c r="P968">
        <v>120</v>
      </c>
      <c r="Q968">
        <f t="shared" si="200"/>
        <v>120</v>
      </c>
      <c r="R968" t="s">
        <v>13</v>
      </c>
      <c r="S968" t="str">
        <f t="shared" si="201"/>
        <v>Performing</v>
      </c>
      <c r="T968" t="s">
        <v>19</v>
      </c>
      <c r="U968" s="3">
        <f t="shared" si="202"/>
        <v>0.18266719217775293</v>
      </c>
      <c r="V968" t="str">
        <f t="shared" si="203"/>
        <v>Healthy</v>
      </c>
      <c r="W968" t="str">
        <f t="shared" si="204"/>
        <v>High Risk</v>
      </c>
      <c r="X968" s="5" t="str">
        <f t="shared" si="205"/>
        <v>Medium</v>
      </c>
      <c r="Y968" s="5" t="str">
        <f t="shared" si="206"/>
        <v>Low</v>
      </c>
      <c r="Z968" s="5" t="str">
        <f>IF(B968=120,"NULL",IF(AND(V968="High Stress", W968="High Risk", Y968="Low"),"High Risk : Reject", IF(AND(V968="Healthy", W968="Good",Y968&lt;&gt;"Low"), "Low Risk : Approve", "Medium Risk : Review")))</f>
        <v>Medium Risk : Review</v>
      </c>
      <c r="AA968" s="5" t="str">
        <f t="shared" si="207"/>
        <v>Medium</v>
      </c>
    </row>
    <row r="969" spans="1:27" x14ac:dyDescent="0.2">
      <c r="A969">
        <v>20852</v>
      </c>
      <c r="B969">
        <v>64</v>
      </c>
      <c r="C969">
        <f t="shared" si="195"/>
        <v>64</v>
      </c>
      <c r="D969" t="s">
        <v>23</v>
      </c>
      <c r="E969" t="str">
        <f t="shared" si="196"/>
        <v>Self-Employed</v>
      </c>
      <c r="F969">
        <v>7105.61</v>
      </c>
      <c r="G969">
        <f>ABS(Table1[[#This Row],[Monthly_Income]])</f>
        <v>7105.61</v>
      </c>
      <c r="H969">
        <v>18728.169999999998</v>
      </c>
      <c r="I969" s="5">
        <f t="shared" si="197"/>
        <v>18728.169999999998</v>
      </c>
      <c r="J969">
        <v>6</v>
      </c>
      <c r="K969">
        <v>21.94</v>
      </c>
      <c r="L969">
        <v>3</v>
      </c>
      <c r="M969">
        <f t="shared" si="198"/>
        <v>3</v>
      </c>
      <c r="N969">
        <v>6.1</v>
      </c>
      <c r="O969">
        <f t="shared" si="199"/>
        <v>6.1</v>
      </c>
      <c r="P969">
        <v>0</v>
      </c>
      <c r="Q969">
        <f t="shared" si="200"/>
        <v>0</v>
      </c>
      <c r="R969" t="s">
        <v>18</v>
      </c>
      <c r="S969" t="str">
        <f t="shared" si="201"/>
        <v>Non-Performing</v>
      </c>
      <c r="T969" t="s">
        <v>25</v>
      </c>
      <c r="U969" s="3">
        <f t="shared" si="202"/>
        <v>0.43928130965063755</v>
      </c>
      <c r="V969" t="str">
        <f t="shared" si="203"/>
        <v>Stretched</v>
      </c>
      <c r="W969" t="str">
        <f t="shared" si="204"/>
        <v>Good</v>
      </c>
      <c r="X969" s="5" t="str">
        <f t="shared" si="205"/>
        <v>Medium</v>
      </c>
      <c r="Y969" s="5" t="str">
        <f t="shared" si="206"/>
        <v>Medium</v>
      </c>
      <c r="Z969" s="5" t="str">
        <f>IF(B969=120,"NULL",IF(AND(V969="High Stress", W969="High Risk", Y969="Low"),"High Risk : Reject", IF(AND(V969="Healthy", W969="Good",Y969&lt;&gt;"Low"), "Low Risk : Approve", "Medium Risk : Review")))</f>
        <v>Medium Risk : Review</v>
      </c>
      <c r="AA969" s="5" t="str">
        <f t="shared" si="207"/>
        <v>Medium</v>
      </c>
    </row>
    <row r="970" spans="1:27" x14ac:dyDescent="0.2">
      <c r="A970">
        <v>23012</v>
      </c>
      <c r="B970">
        <v>18</v>
      </c>
      <c r="C970">
        <f t="shared" si="195"/>
        <v>18</v>
      </c>
      <c r="D970" t="s">
        <v>17</v>
      </c>
      <c r="E970" t="str">
        <f t="shared" si="196"/>
        <v>Contract</v>
      </c>
      <c r="F970">
        <v>4543.84</v>
      </c>
      <c r="G970">
        <f>ABS(Table1[[#This Row],[Monthly_Income]])</f>
        <v>4543.84</v>
      </c>
      <c r="H970">
        <v>33415.14</v>
      </c>
      <c r="I970" s="5">
        <f t="shared" si="197"/>
        <v>33415.14</v>
      </c>
      <c r="J970">
        <v>24</v>
      </c>
      <c r="K970">
        <v>14.99</v>
      </c>
      <c r="L970">
        <v>1</v>
      </c>
      <c r="M970">
        <f t="shared" si="198"/>
        <v>1</v>
      </c>
      <c r="N970">
        <v>11.2</v>
      </c>
      <c r="O970">
        <f t="shared" si="199"/>
        <v>11.2</v>
      </c>
      <c r="P970">
        <v>60</v>
      </c>
      <c r="Q970">
        <f t="shared" si="200"/>
        <v>60</v>
      </c>
      <c r="R970" t="s">
        <v>13</v>
      </c>
      <c r="S970" t="str">
        <f t="shared" si="201"/>
        <v>Performing</v>
      </c>
      <c r="T970" t="s">
        <v>14</v>
      </c>
      <c r="U970" s="3">
        <f t="shared" si="202"/>
        <v>0.30641428835522377</v>
      </c>
      <c r="V970" t="str">
        <f t="shared" si="203"/>
        <v>Stretched</v>
      </c>
      <c r="W970" t="str">
        <f t="shared" si="204"/>
        <v>High Risk</v>
      </c>
      <c r="X970" s="5" t="str">
        <f t="shared" si="205"/>
        <v>High</v>
      </c>
      <c r="Y970" s="5" t="str">
        <f t="shared" si="206"/>
        <v>Low</v>
      </c>
      <c r="Z970" s="5" t="str">
        <f>IF(B970=120,"NULL",IF(AND(V970="High Stress", W970="High Risk", Y970="Low"),"High Risk : Reject", IF(AND(V970="Healthy", W970="Good",Y970&lt;&gt;"Low"), "Low Risk : Approve", "Medium Risk : Review")))</f>
        <v>Medium Risk : Review</v>
      </c>
      <c r="AA970" s="5" t="str">
        <f t="shared" si="207"/>
        <v>Medium</v>
      </c>
    </row>
    <row r="971" spans="1:27" x14ac:dyDescent="0.2">
      <c r="A971">
        <v>21357</v>
      </c>
      <c r="B971">
        <v>51</v>
      </c>
      <c r="C971">
        <f t="shared" si="195"/>
        <v>51</v>
      </c>
      <c r="D971" t="s">
        <v>12</v>
      </c>
      <c r="E971" t="str">
        <f t="shared" si="196"/>
        <v>Self-Employed</v>
      </c>
      <c r="F971">
        <v>3705.66</v>
      </c>
      <c r="G971">
        <f>ABS(Table1[[#This Row],[Monthly_Income]])</f>
        <v>3705.66</v>
      </c>
      <c r="H971">
        <v>16735.91</v>
      </c>
      <c r="I971" s="5">
        <f t="shared" si="197"/>
        <v>16735.91</v>
      </c>
      <c r="J971">
        <v>60</v>
      </c>
      <c r="K971">
        <v>24.66</v>
      </c>
      <c r="L971">
        <v>2</v>
      </c>
      <c r="M971">
        <f t="shared" si="198"/>
        <v>2</v>
      </c>
      <c r="N971">
        <v>10.8</v>
      </c>
      <c r="O971">
        <f t="shared" si="199"/>
        <v>10.8</v>
      </c>
      <c r="Q971" t="str">
        <f t="shared" si="200"/>
        <v>NULL</v>
      </c>
      <c r="R971" t="s">
        <v>15</v>
      </c>
      <c r="S971" t="str">
        <f t="shared" si="201"/>
        <v xml:space="preserve">Performing </v>
      </c>
      <c r="T971" t="s">
        <v>14</v>
      </c>
      <c r="U971" s="3">
        <f t="shared" si="202"/>
        <v>7.5271836416005072E-2</v>
      </c>
      <c r="V971" t="str">
        <f t="shared" si="203"/>
        <v>Healthy</v>
      </c>
      <c r="W971" t="str">
        <f t="shared" si="204"/>
        <v>NULL</v>
      </c>
      <c r="X971" s="5" t="str">
        <f t="shared" si="205"/>
        <v>Medium</v>
      </c>
      <c r="Y971" s="5" t="str">
        <f t="shared" si="206"/>
        <v>Medium</v>
      </c>
      <c r="Z971" s="5" t="str">
        <f>IF(B971=120,"NULL",IF(AND(V971="High Stress", W971="High Risk", Y971="Low"),"High Risk : Reject", IF(AND(V971="Healthy", W971="Good",Y971&lt;&gt;"Low"), "Low Risk : Approve", "Medium Risk : Review")))</f>
        <v>Medium Risk : Review</v>
      </c>
      <c r="AA971" s="5" t="str">
        <f t="shared" si="207"/>
        <v>Medium</v>
      </c>
    </row>
    <row r="972" spans="1:27" x14ac:dyDescent="0.2">
      <c r="A972">
        <v>20231</v>
      </c>
      <c r="B972">
        <v>38</v>
      </c>
      <c r="C972">
        <f t="shared" si="195"/>
        <v>38</v>
      </c>
      <c r="D972" t="s">
        <v>26</v>
      </c>
      <c r="E972" t="str">
        <f t="shared" si="196"/>
        <v>Salaried</v>
      </c>
      <c r="F972">
        <v>3295.51</v>
      </c>
      <c r="G972">
        <f>ABS(Table1[[#This Row],[Monthly_Income]])</f>
        <v>3295.51</v>
      </c>
      <c r="H972">
        <v>9529.26</v>
      </c>
      <c r="I972" s="5">
        <f t="shared" si="197"/>
        <v>9529.26</v>
      </c>
      <c r="J972">
        <v>24</v>
      </c>
      <c r="K972">
        <v>20</v>
      </c>
      <c r="L972">
        <v>0</v>
      </c>
      <c r="M972">
        <f t="shared" si="198"/>
        <v>0</v>
      </c>
      <c r="N972">
        <v>7</v>
      </c>
      <c r="O972">
        <f t="shared" si="199"/>
        <v>7</v>
      </c>
      <c r="P972">
        <v>60</v>
      </c>
      <c r="Q972">
        <f t="shared" si="200"/>
        <v>60</v>
      </c>
      <c r="R972" t="s">
        <v>24</v>
      </c>
      <c r="S972" t="str">
        <f t="shared" si="201"/>
        <v>Non-Performing</v>
      </c>
      <c r="T972" t="s">
        <v>22</v>
      </c>
      <c r="U972" s="3">
        <f t="shared" si="202"/>
        <v>0.12048286911585764</v>
      </c>
      <c r="V972" t="str">
        <f t="shared" si="203"/>
        <v>Healthy</v>
      </c>
      <c r="W972" t="str">
        <f t="shared" si="204"/>
        <v>High Risk</v>
      </c>
      <c r="X972" s="5" t="str">
        <f t="shared" si="205"/>
        <v>Small</v>
      </c>
      <c r="Y972" s="5" t="str">
        <f t="shared" si="206"/>
        <v>High</v>
      </c>
      <c r="Z972" s="5" t="str">
        <f>IF(B972=120,"NULL",IF(AND(V972="High Stress", W972="High Risk", Y972="Low"),"High Risk : Reject", IF(AND(V972="Healthy", W972="Good",Y972&lt;&gt;"Low"), "Low Risk : Approve", "Medium Risk : Review")))</f>
        <v>Medium Risk : Review</v>
      </c>
      <c r="AA972" s="5" t="str">
        <f t="shared" si="207"/>
        <v>Medium</v>
      </c>
    </row>
    <row r="973" spans="1:27" x14ac:dyDescent="0.2">
      <c r="A973">
        <v>22546</v>
      </c>
      <c r="B973">
        <v>26</v>
      </c>
      <c r="C973">
        <f t="shared" si="195"/>
        <v>26</v>
      </c>
      <c r="D973" t="s">
        <v>26</v>
      </c>
      <c r="E973" t="str">
        <f t="shared" si="196"/>
        <v>Salaried</v>
      </c>
      <c r="F973">
        <v>3742.53</v>
      </c>
      <c r="G973">
        <f>ABS(Table1[[#This Row],[Monthly_Income]])</f>
        <v>3742.53</v>
      </c>
      <c r="H973">
        <v>32410.34</v>
      </c>
      <c r="I973" s="5">
        <f t="shared" si="197"/>
        <v>32410.34</v>
      </c>
      <c r="J973">
        <v>12</v>
      </c>
      <c r="K973">
        <v>19.809999999999999</v>
      </c>
      <c r="L973">
        <v>4</v>
      </c>
      <c r="M973">
        <f t="shared" si="198"/>
        <v>4</v>
      </c>
      <c r="N973">
        <v>0.8</v>
      </c>
      <c r="O973">
        <f t="shared" si="199"/>
        <v>0.8</v>
      </c>
      <c r="P973">
        <v>120</v>
      </c>
      <c r="Q973">
        <f t="shared" si="200"/>
        <v>120</v>
      </c>
      <c r="R973" t="s">
        <v>20</v>
      </c>
      <c r="S973" t="str">
        <f t="shared" si="201"/>
        <v>Written Off</v>
      </c>
      <c r="T973" t="s">
        <v>25</v>
      </c>
      <c r="U973" s="3">
        <f t="shared" si="202"/>
        <v>0.72166733911729941</v>
      </c>
      <c r="V973" t="str">
        <f t="shared" si="203"/>
        <v>High Stress</v>
      </c>
      <c r="W973" t="str">
        <f t="shared" si="204"/>
        <v>High Risk</v>
      </c>
      <c r="X973" s="5" t="str">
        <f t="shared" si="205"/>
        <v>High</v>
      </c>
      <c r="Y973" s="5" t="str">
        <f t="shared" si="206"/>
        <v>High</v>
      </c>
      <c r="Z973" s="5" t="str">
        <f>IF(B973=120,"NULL",IF(AND(V973="High Stress", W973="High Risk", Y973="Low"),"High Risk : Reject", IF(AND(V973="Healthy", W973="Good",Y973&lt;&gt;"Low"), "Low Risk : Approve", "Medium Risk : Review")))</f>
        <v>Medium Risk : Review</v>
      </c>
      <c r="AA973" s="5" t="str">
        <f t="shared" si="207"/>
        <v>Medium</v>
      </c>
    </row>
    <row r="974" spans="1:27" x14ac:dyDescent="0.2">
      <c r="A974">
        <v>21485</v>
      </c>
      <c r="B974">
        <v>33</v>
      </c>
      <c r="C974">
        <f t="shared" si="195"/>
        <v>33</v>
      </c>
      <c r="D974" t="s">
        <v>27</v>
      </c>
      <c r="E974" t="str">
        <f t="shared" si="196"/>
        <v>Unemployed</v>
      </c>
      <c r="F974">
        <v>4577.17</v>
      </c>
      <c r="G974">
        <f>ABS(Table1[[#This Row],[Monthly_Income]])</f>
        <v>4577.17</v>
      </c>
      <c r="H974">
        <v>23777.35</v>
      </c>
      <c r="I974" s="5">
        <f t="shared" si="197"/>
        <v>23777.35</v>
      </c>
      <c r="J974">
        <v>12</v>
      </c>
      <c r="K974">
        <v>19.88</v>
      </c>
      <c r="L974">
        <v>0</v>
      </c>
      <c r="M974">
        <f t="shared" si="198"/>
        <v>0</v>
      </c>
      <c r="N974">
        <v>10</v>
      </c>
      <c r="O974">
        <f t="shared" si="199"/>
        <v>10</v>
      </c>
      <c r="P974">
        <v>120</v>
      </c>
      <c r="Q974">
        <f t="shared" si="200"/>
        <v>120</v>
      </c>
      <c r="R974" t="s">
        <v>24</v>
      </c>
      <c r="S974" t="str">
        <f t="shared" si="201"/>
        <v>Non-Performing</v>
      </c>
      <c r="T974" t="s">
        <v>19</v>
      </c>
      <c r="U974" s="3">
        <f t="shared" si="202"/>
        <v>0.43289758373259746</v>
      </c>
      <c r="V974" t="str">
        <f t="shared" si="203"/>
        <v>Stretched</v>
      </c>
      <c r="W974" t="str">
        <f t="shared" si="204"/>
        <v>High Risk</v>
      </c>
      <c r="X974" s="5" t="str">
        <f t="shared" si="205"/>
        <v>Medium</v>
      </c>
      <c r="Y974" s="5" t="str">
        <f t="shared" si="206"/>
        <v>Low</v>
      </c>
      <c r="Z974" s="5" t="str">
        <f>IF(B974=120,"NULL",IF(AND(V974="High Stress", W974="High Risk", Y974="Low"),"High Risk : Reject", IF(AND(V974="Healthy", W974="Good",Y974&lt;&gt;"Low"), "Low Risk : Approve", "Medium Risk : Review")))</f>
        <v>Medium Risk : Review</v>
      </c>
      <c r="AA974" s="5" t="str">
        <f t="shared" si="207"/>
        <v>Medium</v>
      </c>
    </row>
    <row r="975" spans="1:27" x14ac:dyDescent="0.2">
      <c r="A975">
        <v>21462</v>
      </c>
      <c r="B975">
        <v>61</v>
      </c>
      <c r="C975">
        <f t="shared" si="195"/>
        <v>61</v>
      </c>
      <c r="D975" t="s">
        <v>23</v>
      </c>
      <c r="E975" t="str">
        <f t="shared" si="196"/>
        <v>Self-Employed</v>
      </c>
      <c r="F975">
        <v>8059.63</v>
      </c>
      <c r="G975">
        <f>ABS(Table1[[#This Row],[Monthly_Income]])</f>
        <v>8059.63</v>
      </c>
      <c r="H975">
        <v>16479.12</v>
      </c>
      <c r="I975" s="5">
        <f t="shared" si="197"/>
        <v>16479.12</v>
      </c>
      <c r="J975">
        <v>6</v>
      </c>
      <c r="K975">
        <v>21.05</v>
      </c>
      <c r="L975">
        <v>1</v>
      </c>
      <c r="M975">
        <f t="shared" si="198"/>
        <v>1</v>
      </c>
      <c r="N975">
        <v>12.3</v>
      </c>
      <c r="O975">
        <f t="shared" si="199"/>
        <v>12.3</v>
      </c>
      <c r="P975">
        <v>120</v>
      </c>
      <c r="Q975">
        <f t="shared" si="200"/>
        <v>120</v>
      </c>
      <c r="R975" t="s">
        <v>15</v>
      </c>
      <c r="S975" t="str">
        <f t="shared" si="201"/>
        <v xml:space="preserve">Performing </v>
      </c>
      <c r="T975" t="s">
        <v>19</v>
      </c>
      <c r="U975" s="3">
        <f t="shared" si="202"/>
        <v>0.34077494872593406</v>
      </c>
      <c r="V975" t="str">
        <f t="shared" si="203"/>
        <v>Stretched</v>
      </c>
      <c r="W975" t="str">
        <f t="shared" si="204"/>
        <v>High Risk</v>
      </c>
      <c r="X975" s="5" t="str">
        <f t="shared" si="205"/>
        <v>Medium</v>
      </c>
      <c r="Y975" s="5" t="str">
        <f t="shared" si="206"/>
        <v>Medium</v>
      </c>
      <c r="Z975" s="5" t="str">
        <f>IF(B975=120,"NULL",IF(AND(V975="High Stress", W975="High Risk", Y975="Low"),"High Risk : Reject", IF(AND(V975="Healthy", W975="Good",Y975&lt;&gt;"Low"), "Low Risk : Approve", "Medium Risk : Review")))</f>
        <v>Medium Risk : Review</v>
      </c>
      <c r="AA975" s="5" t="str">
        <f t="shared" si="207"/>
        <v>High</v>
      </c>
    </row>
    <row r="976" spans="1:27" x14ac:dyDescent="0.2">
      <c r="A976">
        <v>24515</v>
      </c>
      <c r="B976">
        <v>42</v>
      </c>
      <c r="C976">
        <f t="shared" si="195"/>
        <v>42</v>
      </c>
      <c r="D976" t="s">
        <v>17</v>
      </c>
      <c r="E976" t="str">
        <f t="shared" si="196"/>
        <v>Contract</v>
      </c>
      <c r="F976">
        <v>7968.73</v>
      </c>
      <c r="G976">
        <f>ABS(Table1[[#This Row],[Monthly_Income]])</f>
        <v>7968.73</v>
      </c>
      <c r="H976">
        <v>18353.5</v>
      </c>
      <c r="I976" s="5">
        <f t="shared" si="197"/>
        <v>18353.5</v>
      </c>
      <c r="J976">
        <v>48</v>
      </c>
      <c r="K976">
        <v>12.74</v>
      </c>
      <c r="L976">
        <v>2</v>
      </c>
      <c r="M976">
        <f t="shared" si="198"/>
        <v>2</v>
      </c>
      <c r="N976">
        <v>10.7</v>
      </c>
      <c r="O976">
        <f t="shared" si="199"/>
        <v>10.7</v>
      </c>
      <c r="P976">
        <v>0</v>
      </c>
      <c r="Q976">
        <f t="shared" si="200"/>
        <v>0</v>
      </c>
      <c r="R976" t="s">
        <v>24</v>
      </c>
      <c r="S976" t="str">
        <f t="shared" si="201"/>
        <v>Non-Performing</v>
      </c>
      <c r="T976" t="s">
        <v>22</v>
      </c>
      <c r="U976" s="3">
        <f t="shared" si="202"/>
        <v>4.7983126964187939E-2</v>
      </c>
      <c r="V976" t="str">
        <f t="shared" si="203"/>
        <v>Healthy</v>
      </c>
      <c r="W976" t="str">
        <f t="shared" si="204"/>
        <v>Good</v>
      </c>
      <c r="X976" s="5" t="str">
        <f t="shared" si="205"/>
        <v>Medium</v>
      </c>
      <c r="Y976" s="5" t="str">
        <f t="shared" si="206"/>
        <v>Low</v>
      </c>
      <c r="Z976" s="5" t="str">
        <f>IF(B976=120,"NULL",IF(AND(V976="High Stress", W976="High Risk", Y976="Low"),"High Risk : Reject", IF(AND(V976="Healthy", W976="Good",Y976&lt;&gt;"Low"), "Low Risk : Approve", "Medium Risk : Review")))</f>
        <v>Medium Risk : Review</v>
      </c>
      <c r="AA976" s="5" t="str">
        <f t="shared" si="207"/>
        <v>Medium</v>
      </c>
    </row>
    <row r="977" spans="1:27" x14ac:dyDescent="0.2">
      <c r="A977">
        <v>22673</v>
      </c>
      <c r="B977">
        <v>61</v>
      </c>
      <c r="C977">
        <f t="shared" si="195"/>
        <v>61</v>
      </c>
      <c r="D977" t="s">
        <v>26</v>
      </c>
      <c r="E977" t="str">
        <f t="shared" si="196"/>
        <v>Salaried</v>
      </c>
      <c r="F977">
        <v>3830.18</v>
      </c>
      <c r="G977">
        <f>ABS(Table1[[#This Row],[Monthly_Income]])</f>
        <v>3830.18</v>
      </c>
      <c r="H977">
        <v>23111.279999999999</v>
      </c>
      <c r="I977" s="5">
        <f t="shared" si="197"/>
        <v>23111.279999999999</v>
      </c>
      <c r="J977">
        <v>48</v>
      </c>
      <c r="K977">
        <v>20.41</v>
      </c>
      <c r="L977">
        <v>1</v>
      </c>
      <c r="M977">
        <f t="shared" si="198"/>
        <v>1</v>
      </c>
      <c r="N977">
        <v>6.2</v>
      </c>
      <c r="O977">
        <f t="shared" si="199"/>
        <v>6.2</v>
      </c>
      <c r="P977">
        <v>90</v>
      </c>
      <c r="Q977">
        <f t="shared" si="200"/>
        <v>90</v>
      </c>
      <c r="R977" t="s">
        <v>13</v>
      </c>
      <c r="S977" t="str">
        <f t="shared" si="201"/>
        <v>Performing</v>
      </c>
      <c r="T977" t="s">
        <v>16</v>
      </c>
      <c r="U977" s="3">
        <f t="shared" si="202"/>
        <v>0.12570819125994079</v>
      </c>
      <c r="V977" t="str">
        <f t="shared" si="203"/>
        <v>Healthy</v>
      </c>
      <c r="W977" t="str">
        <f t="shared" si="204"/>
        <v>High Risk</v>
      </c>
      <c r="X977" s="5" t="str">
        <f t="shared" si="205"/>
        <v>Medium</v>
      </c>
      <c r="Y977" s="5" t="str">
        <f t="shared" si="206"/>
        <v>High</v>
      </c>
      <c r="Z977" s="5" t="str">
        <f>IF(B977=120,"NULL",IF(AND(V977="High Stress", W977="High Risk", Y977="Low"),"High Risk : Reject", IF(AND(V977="Healthy", W977="Good",Y977&lt;&gt;"Low"), "Low Risk : Approve", "Medium Risk : Review")))</f>
        <v>Medium Risk : Review</v>
      </c>
      <c r="AA977" s="5" t="str">
        <f t="shared" si="207"/>
        <v>Medium</v>
      </c>
    </row>
    <row r="978" spans="1:27" x14ac:dyDescent="0.2">
      <c r="A978">
        <v>20710</v>
      </c>
      <c r="B978">
        <v>30</v>
      </c>
      <c r="C978">
        <f t="shared" si="195"/>
        <v>30</v>
      </c>
      <c r="D978" t="s">
        <v>23</v>
      </c>
      <c r="E978" t="str">
        <f t="shared" si="196"/>
        <v>Self-Employed</v>
      </c>
      <c r="F978">
        <v>1552.17</v>
      </c>
      <c r="G978">
        <f>ABS(Table1[[#This Row],[Monthly_Income]])</f>
        <v>1552.17</v>
      </c>
      <c r="H978">
        <v>15773.87</v>
      </c>
      <c r="I978" s="5">
        <f t="shared" si="197"/>
        <v>15773.87</v>
      </c>
      <c r="J978">
        <v>24</v>
      </c>
      <c r="K978">
        <v>17.07</v>
      </c>
      <c r="L978">
        <v>0</v>
      </c>
      <c r="M978">
        <f t="shared" si="198"/>
        <v>0</v>
      </c>
      <c r="N978">
        <v>11.7</v>
      </c>
      <c r="O978">
        <f t="shared" si="199"/>
        <v>11.7</v>
      </c>
      <c r="P978">
        <v>0</v>
      </c>
      <c r="Q978">
        <f t="shared" si="200"/>
        <v>0</v>
      </c>
      <c r="R978" t="s">
        <v>24</v>
      </c>
      <c r="S978" t="str">
        <f t="shared" si="201"/>
        <v>Non-Performing</v>
      </c>
      <c r="T978" t="s">
        <v>25</v>
      </c>
      <c r="U978" s="3">
        <f t="shared" si="202"/>
        <v>0.42343595310651111</v>
      </c>
      <c r="V978" t="str">
        <f t="shared" si="203"/>
        <v>Stretched</v>
      </c>
      <c r="W978" t="str">
        <f t="shared" si="204"/>
        <v>Good</v>
      </c>
      <c r="X978" s="5" t="str">
        <f t="shared" si="205"/>
        <v>Medium</v>
      </c>
      <c r="Y978" s="5" t="str">
        <f t="shared" si="206"/>
        <v>Medium</v>
      </c>
      <c r="Z978" s="5" t="str">
        <f>IF(B978=120,"NULL",IF(AND(V978="High Stress", W978="High Risk", Y978="Low"),"High Risk : Reject", IF(AND(V978="Healthy", W978="Good",Y978&lt;&gt;"Low"), "Low Risk : Approve", "Medium Risk : Review")))</f>
        <v>Medium Risk : Review</v>
      </c>
      <c r="AA978" s="5" t="str">
        <f t="shared" si="207"/>
        <v>Low</v>
      </c>
    </row>
    <row r="979" spans="1:27" x14ac:dyDescent="0.2">
      <c r="A979">
        <v>21861</v>
      </c>
      <c r="B979">
        <v>51</v>
      </c>
      <c r="C979">
        <f t="shared" si="195"/>
        <v>51</v>
      </c>
      <c r="D979" t="s">
        <v>27</v>
      </c>
      <c r="E979" t="str">
        <f t="shared" si="196"/>
        <v>Unemployed</v>
      </c>
      <c r="F979">
        <v>3389.86</v>
      </c>
      <c r="G979">
        <f>ABS(Table1[[#This Row],[Monthly_Income]])</f>
        <v>3389.86</v>
      </c>
      <c r="H979">
        <v>6821.99</v>
      </c>
      <c r="I979" s="5">
        <f t="shared" si="197"/>
        <v>6821.99</v>
      </c>
      <c r="J979">
        <v>48</v>
      </c>
      <c r="K979">
        <v>31.15</v>
      </c>
      <c r="L979">
        <v>3</v>
      </c>
      <c r="M979">
        <f t="shared" si="198"/>
        <v>3</v>
      </c>
      <c r="N979">
        <v>12.1</v>
      </c>
      <c r="O979">
        <f t="shared" si="199"/>
        <v>12.1</v>
      </c>
      <c r="P979">
        <v>0</v>
      </c>
      <c r="Q979">
        <f t="shared" si="200"/>
        <v>0</v>
      </c>
      <c r="R979" t="s">
        <v>18</v>
      </c>
      <c r="S979" t="str">
        <f t="shared" si="201"/>
        <v>Non-Performing</v>
      </c>
      <c r="T979" t="s">
        <v>16</v>
      </c>
      <c r="U979" s="3">
        <f t="shared" si="202"/>
        <v>4.1926448781562264E-2</v>
      </c>
      <c r="V979" t="str">
        <f t="shared" si="203"/>
        <v>Healthy</v>
      </c>
      <c r="W979" t="str">
        <f t="shared" si="204"/>
        <v>Good</v>
      </c>
      <c r="X979" s="5" t="str">
        <f t="shared" si="205"/>
        <v>Small</v>
      </c>
      <c r="Y979" s="5" t="str">
        <f t="shared" si="206"/>
        <v>Low</v>
      </c>
      <c r="Z979" s="5" t="str">
        <f>IF(B979=120,"NULL",IF(AND(V979="High Stress", W979="High Risk", Y979="Low"),"High Risk : Reject", IF(AND(V979="Healthy", W979="Good",Y979&lt;&gt;"Low"), "Low Risk : Approve", "Medium Risk : Review")))</f>
        <v>Medium Risk : Review</v>
      </c>
      <c r="AA979" s="5" t="str">
        <f t="shared" si="207"/>
        <v>Medium</v>
      </c>
    </row>
    <row r="980" spans="1:27" x14ac:dyDescent="0.2">
      <c r="A980">
        <v>25940</v>
      </c>
      <c r="B980">
        <v>24</v>
      </c>
      <c r="C980">
        <f t="shared" si="195"/>
        <v>24</v>
      </c>
      <c r="D980" t="s">
        <v>26</v>
      </c>
      <c r="E980" t="str">
        <f t="shared" si="196"/>
        <v>Salaried</v>
      </c>
      <c r="F980">
        <v>4988.24</v>
      </c>
      <c r="G980">
        <f>ABS(Table1[[#This Row],[Monthly_Income]])</f>
        <v>4988.24</v>
      </c>
      <c r="H980">
        <v>25339.4</v>
      </c>
      <c r="I980" s="5">
        <f t="shared" si="197"/>
        <v>25339.4</v>
      </c>
      <c r="J980">
        <v>18</v>
      </c>
      <c r="K980">
        <v>23.37</v>
      </c>
      <c r="L980">
        <v>3</v>
      </c>
      <c r="M980">
        <f t="shared" si="198"/>
        <v>3</v>
      </c>
      <c r="N980">
        <v>11.8</v>
      </c>
      <c r="O980">
        <f t="shared" si="199"/>
        <v>11.8</v>
      </c>
      <c r="P980">
        <v>120</v>
      </c>
      <c r="Q980">
        <f t="shared" si="200"/>
        <v>120</v>
      </c>
      <c r="R980" t="s">
        <v>18</v>
      </c>
      <c r="S980" t="str">
        <f t="shared" si="201"/>
        <v>Non-Performing</v>
      </c>
      <c r="T980" t="s">
        <v>22</v>
      </c>
      <c r="U980" s="3">
        <f t="shared" si="202"/>
        <v>0.28221265304885984</v>
      </c>
      <c r="V980" t="str">
        <f t="shared" si="203"/>
        <v>Healthy</v>
      </c>
      <c r="W980" t="str">
        <f t="shared" si="204"/>
        <v>High Risk</v>
      </c>
      <c r="X980" s="5" t="str">
        <f t="shared" si="205"/>
        <v>Medium</v>
      </c>
      <c r="Y980" s="5" t="str">
        <f t="shared" si="206"/>
        <v>High</v>
      </c>
      <c r="Z980" s="5" t="str">
        <f>IF(B980=120,"NULL",IF(AND(V980="High Stress", W980="High Risk", Y980="Low"),"High Risk : Reject", IF(AND(V980="Healthy", W980="Good",Y980&lt;&gt;"Low"), "Low Risk : Approve", "Medium Risk : Review")))</f>
        <v>Medium Risk : Review</v>
      </c>
      <c r="AA980" s="5" t="str">
        <f t="shared" si="207"/>
        <v>Medium</v>
      </c>
    </row>
    <row r="981" spans="1:27" x14ac:dyDescent="0.2">
      <c r="A981">
        <v>22473</v>
      </c>
      <c r="B981">
        <v>57</v>
      </c>
      <c r="C981">
        <f t="shared" si="195"/>
        <v>57</v>
      </c>
      <c r="D981" t="s">
        <v>17</v>
      </c>
      <c r="E981" t="str">
        <f t="shared" si="196"/>
        <v>Contract</v>
      </c>
      <c r="F981">
        <v>5824.06</v>
      </c>
      <c r="G981">
        <f>ABS(Table1[[#This Row],[Monthly_Income]])</f>
        <v>5824.06</v>
      </c>
      <c r="H981">
        <v>27236.880000000001</v>
      </c>
      <c r="I981" s="5">
        <f t="shared" si="197"/>
        <v>27236.880000000001</v>
      </c>
      <c r="J981">
        <v>60</v>
      </c>
      <c r="K981">
        <v>20.45</v>
      </c>
      <c r="L981">
        <v>2</v>
      </c>
      <c r="M981">
        <f t="shared" si="198"/>
        <v>2</v>
      </c>
      <c r="N981">
        <v>2.2000000000000002</v>
      </c>
      <c r="O981">
        <f t="shared" si="199"/>
        <v>2.2000000000000002</v>
      </c>
      <c r="P981">
        <v>0</v>
      </c>
      <c r="Q981">
        <f t="shared" si="200"/>
        <v>0</v>
      </c>
      <c r="R981" t="s">
        <v>18</v>
      </c>
      <c r="S981" t="str">
        <f t="shared" si="201"/>
        <v>Non-Performing</v>
      </c>
      <c r="T981" t="s">
        <v>16</v>
      </c>
      <c r="U981" s="3">
        <f t="shared" si="202"/>
        <v>7.7943565141842627E-2</v>
      </c>
      <c r="V981" t="str">
        <f t="shared" si="203"/>
        <v>Healthy</v>
      </c>
      <c r="W981" t="str">
        <f t="shared" si="204"/>
        <v>Good</v>
      </c>
      <c r="X981" s="5" t="str">
        <f t="shared" si="205"/>
        <v>Medium</v>
      </c>
      <c r="Y981" s="5" t="str">
        <f t="shared" si="206"/>
        <v>Low</v>
      </c>
      <c r="Z981" s="5" t="str">
        <f>IF(B981=120,"NULL",IF(AND(V981="High Stress", W981="High Risk", Y981="Low"),"High Risk : Reject", IF(AND(V981="Healthy", W981="Good",Y981&lt;&gt;"Low"), "Low Risk : Approve", "Medium Risk : Review")))</f>
        <v>Medium Risk : Review</v>
      </c>
      <c r="AA981" s="5" t="str">
        <f t="shared" si="207"/>
        <v>Medium</v>
      </c>
    </row>
    <row r="982" spans="1:27" x14ac:dyDescent="0.2">
      <c r="A982">
        <v>24805</v>
      </c>
      <c r="B982">
        <v>41</v>
      </c>
      <c r="C982">
        <f t="shared" si="195"/>
        <v>41</v>
      </c>
      <c r="D982" t="s">
        <v>17</v>
      </c>
      <c r="E982" t="str">
        <f t="shared" si="196"/>
        <v>Contract</v>
      </c>
      <c r="F982">
        <v>4707.3</v>
      </c>
      <c r="G982">
        <f>ABS(Table1[[#This Row],[Monthly_Income]])</f>
        <v>4707.3</v>
      </c>
      <c r="H982">
        <v>25108.79</v>
      </c>
      <c r="I982" s="5">
        <f t="shared" si="197"/>
        <v>25108.79</v>
      </c>
      <c r="J982">
        <v>18</v>
      </c>
      <c r="K982">
        <v>19.68</v>
      </c>
      <c r="L982">
        <v>3</v>
      </c>
      <c r="M982">
        <f t="shared" si="198"/>
        <v>3</v>
      </c>
      <c r="N982">
        <v>8.4</v>
      </c>
      <c r="O982">
        <f t="shared" si="199"/>
        <v>8.4</v>
      </c>
      <c r="P982">
        <v>30</v>
      </c>
      <c r="Q982">
        <f t="shared" si="200"/>
        <v>30</v>
      </c>
      <c r="R982" t="s">
        <v>15</v>
      </c>
      <c r="S982" t="str">
        <f t="shared" si="201"/>
        <v xml:space="preserve">Performing </v>
      </c>
      <c r="T982" t="s">
        <v>16</v>
      </c>
      <c r="U982" s="3">
        <f t="shared" si="202"/>
        <v>0.29633394467694385</v>
      </c>
      <c r="V982" t="str">
        <f t="shared" si="203"/>
        <v>Healthy</v>
      </c>
      <c r="W982" t="str">
        <f t="shared" si="204"/>
        <v>At Risk</v>
      </c>
      <c r="X982" s="5" t="str">
        <f t="shared" si="205"/>
        <v>Medium</v>
      </c>
      <c r="Y982" s="5" t="str">
        <f t="shared" si="206"/>
        <v>Low</v>
      </c>
      <c r="Z982" s="5" t="str">
        <f>IF(B982=120,"NULL",IF(AND(V982="High Stress", W982="High Risk", Y982="Low"),"High Risk : Reject", IF(AND(V982="Healthy", W982="Good",Y982&lt;&gt;"Low"), "Low Risk : Approve", "Medium Risk : Review")))</f>
        <v>Medium Risk : Review</v>
      </c>
      <c r="AA982" s="5" t="str">
        <f t="shared" si="207"/>
        <v>Medium</v>
      </c>
    </row>
    <row r="983" spans="1:27" x14ac:dyDescent="0.2">
      <c r="A983">
        <v>21250</v>
      </c>
      <c r="B983">
        <v>59</v>
      </c>
      <c r="C983">
        <f t="shared" si="195"/>
        <v>59</v>
      </c>
      <c r="D983" t="s">
        <v>23</v>
      </c>
      <c r="E983" t="str">
        <f t="shared" si="196"/>
        <v>Self-Employed</v>
      </c>
      <c r="F983">
        <v>5352.85</v>
      </c>
      <c r="G983">
        <f>ABS(Table1[[#This Row],[Monthly_Income]])</f>
        <v>5352.85</v>
      </c>
      <c r="H983">
        <v>10654.36</v>
      </c>
      <c r="I983" s="5">
        <f t="shared" si="197"/>
        <v>10654.36</v>
      </c>
      <c r="J983">
        <v>24</v>
      </c>
      <c r="K983">
        <v>31.15</v>
      </c>
      <c r="L983">
        <v>0</v>
      </c>
      <c r="M983">
        <f t="shared" si="198"/>
        <v>0</v>
      </c>
      <c r="N983">
        <v>3</v>
      </c>
      <c r="O983">
        <f t="shared" si="199"/>
        <v>3</v>
      </c>
      <c r="P983">
        <v>0</v>
      </c>
      <c r="Q983">
        <f t="shared" si="200"/>
        <v>0</v>
      </c>
      <c r="R983" t="s">
        <v>20</v>
      </c>
      <c r="S983" t="str">
        <f t="shared" si="201"/>
        <v>Written Off</v>
      </c>
      <c r="T983" t="s">
        <v>14</v>
      </c>
      <c r="U983" s="3">
        <f t="shared" si="202"/>
        <v>8.2933701984301195E-2</v>
      </c>
      <c r="V983" t="str">
        <f t="shared" si="203"/>
        <v>Healthy</v>
      </c>
      <c r="W983" t="str">
        <f t="shared" si="204"/>
        <v>Good</v>
      </c>
      <c r="X983" s="5" t="str">
        <f t="shared" si="205"/>
        <v>Medium</v>
      </c>
      <c r="Y983" s="5" t="str">
        <f t="shared" si="206"/>
        <v>Medium</v>
      </c>
      <c r="Z983" s="5" t="str">
        <f>IF(B983=120,"NULL",IF(AND(V983="High Stress", W983="High Risk", Y983="Low"),"High Risk : Reject", IF(AND(V983="Healthy", W983="Good",Y983&lt;&gt;"Low"), "Low Risk : Approve", "Medium Risk : Review")))</f>
        <v>Low Risk : Approve</v>
      </c>
      <c r="AA983" s="5" t="str">
        <f t="shared" si="207"/>
        <v>Medium</v>
      </c>
    </row>
    <row r="984" spans="1:27" x14ac:dyDescent="0.2">
      <c r="A984">
        <v>23588</v>
      </c>
      <c r="B984">
        <v>58</v>
      </c>
      <c r="C984">
        <f t="shared" si="195"/>
        <v>58</v>
      </c>
      <c r="D984" t="s">
        <v>12</v>
      </c>
      <c r="E984" t="str">
        <f t="shared" si="196"/>
        <v>Self-Employed</v>
      </c>
      <c r="F984">
        <v>10719.23</v>
      </c>
      <c r="G984">
        <f>ABS(Table1[[#This Row],[Monthly_Income]])</f>
        <v>10719.23</v>
      </c>
      <c r="H984">
        <v>26631.24</v>
      </c>
      <c r="I984" s="5">
        <f t="shared" si="197"/>
        <v>26631.24</v>
      </c>
      <c r="J984">
        <v>6</v>
      </c>
      <c r="K984">
        <v>8.7799999999999994</v>
      </c>
      <c r="M984" t="str">
        <f t="shared" si="198"/>
        <v>NULL</v>
      </c>
      <c r="N984">
        <v>15.8</v>
      </c>
      <c r="O984">
        <f t="shared" si="199"/>
        <v>15.8</v>
      </c>
      <c r="P984">
        <v>0</v>
      </c>
      <c r="Q984">
        <f t="shared" si="200"/>
        <v>0</v>
      </c>
      <c r="R984" t="s">
        <v>24</v>
      </c>
      <c r="S984" t="str">
        <f t="shared" si="201"/>
        <v>Non-Performing</v>
      </c>
      <c r="T984" t="s">
        <v>25</v>
      </c>
      <c r="U984" s="3">
        <f t="shared" si="202"/>
        <v>0.41407265260657722</v>
      </c>
      <c r="V984" t="str">
        <f t="shared" si="203"/>
        <v>Stretched</v>
      </c>
      <c r="W984" t="str">
        <f t="shared" si="204"/>
        <v>Good</v>
      </c>
      <c r="X984" s="5" t="str">
        <f t="shared" si="205"/>
        <v>Medium</v>
      </c>
      <c r="Y984" s="5" t="str">
        <f t="shared" si="206"/>
        <v>Medium</v>
      </c>
      <c r="Z984" s="5" t="str">
        <f>IF(B984=120,"NULL",IF(AND(V984="High Stress", W984="High Risk", Y984="Low"),"High Risk : Reject", IF(AND(V984="Healthy", W984="Good",Y984&lt;&gt;"Low"), "Low Risk : Approve", "Medium Risk : Review")))</f>
        <v>Medium Risk : Review</v>
      </c>
      <c r="AA984" s="5" t="str">
        <f t="shared" si="207"/>
        <v>High</v>
      </c>
    </row>
    <row r="985" spans="1:27" x14ac:dyDescent="0.2">
      <c r="A985">
        <v>20704</v>
      </c>
      <c r="B985">
        <v>52</v>
      </c>
      <c r="C985">
        <f t="shared" si="195"/>
        <v>52</v>
      </c>
      <c r="D985" t="s">
        <v>12</v>
      </c>
      <c r="E985" t="str">
        <f t="shared" si="196"/>
        <v>Self-Employed</v>
      </c>
      <c r="F985">
        <v>4354.33</v>
      </c>
      <c r="G985">
        <f>ABS(Table1[[#This Row],[Monthly_Income]])</f>
        <v>4354.33</v>
      </c>
      <c r="H985">
        <v>7254.84</v>
      </c>
      <c r="I985" s="5">
        <f t="shared" si="197"/>
        <v>7254.84</v>
      </c>
      <c r="J985">
        <v>18</v>
      </c>
      <c r="K985">
        <v>20.67</v>
      </c>
      <c r="L985">
        <v>4</v>
      </c>
      <c r="M985">
        <f t="shared" si="198"/>
        <v>4</v>
      </c>
      <c r="N985">
        <v>11.1</v>
      </c>
      <c r="O985">
        <f t="shared" si="199"/>
        <v>11.1</v>
      </c>
      <c r="Q985" t="str">
        <f t="shared" si="200"/>
        <v>NULL</v>
      </c>
      <c r="R985" t="s">
        <v>20</v>
      </c>
      <c r="S985" t="str">
        <f t="shared" si="201"/>
        <v>Written Off</v>
      </c>
      <c r="T985" t="s">
        <v>14</v>
      </c>
      <c r="U985" s="3">
        <f t="shared" si="202"/>
        <v>9.2562269434486283E-2</v>
      </c>
      <c r="V985" t="str">
        <f t="shared" si="203"/>
        <v>Healthy</v>
      </c>
      <c r="W985" t="str">
        <f t="shared" si="204"/>
        <v>NULL</v>
      </c>
      <c r="X985" s="5" t="str">
        <f t="shared" si="205"/>
        <v>Small</v>
      </c>
      <c r="Y985" s="5" t="str">
        <f t="shared" si="206"/>
        <v>Medium</v>
      </c>
      <c r="Z985" s="5" t="str">
        <f>IF(B985=120,"NULL",IF(AND(V985="High Stress", W985="High Risk", Y985="Low"),"High Risk : Reject", IF(AND(V985="Healthy", W985="Good",Y985&lt;&gt;"Low"), "Low Risk : Approve", "Medium Risk : Review")))</f>
        <v>Medium Risk : Review</v>
      </c>
      <c r="AA985" s="5" t="str">
        <f t="shared" si="207"/>
        <v>Medium</v>
      </c>
    </row>
    <row r="986" spans="1:27" x14ac:dyDescent="0.2">
      <c r="A986">
        <v>20772</v>
      </c>
      <c r="B986">
        <v>51</v>
      </c>
      <c r="C986">
        <f t="shared" si="195"/>
        <v>51</v>
      </c>
      <c r="D986" t="s">
        <v>17</v>
      </c>
      <c r="E986" t="str">
        <f t="shared" si="196"/>
        <v>Contract</v>
      </c>
      <c r="F986">
        <v>4396.3500000000004</v>
      </c>
      <c r="G986">
        <f>ABS(Table1[[#This Row],[Monthly_Income]])</f>
        <v>4396.3500000000004</v>
      </c>
      <c r="H986">
        <v>11491.32</v>
      </c>
      <c r="I986" s="5">
        <f t="shared" si="197"/>
        <v>11491.32</v>
      </c>
      <c r="J986">
        <v>48</v>
      </c>
      <c r="K986">
        <v>19.84</v>
      </c>
      <c r="L986">
        <v>2</v>
      </c>
      <c r="M986">
        <f t="shared" si="198"/>
        <v>2</v>
      </c>
      <c r="N986">
        <v>6.9</v>
      </c>
      <c r="O986">
        <f t="shared" si="199"/>
        <v>6.9</v>
      </c>
      <c r="P986">
        <v>0</v>
      </c>
      <c r="Q986">
        <f t="shared" si="200"/>
        <v>0</v>
      </c>
      <c r="R986" t="s">
        <v>15</v>
      </c>
      <c r="S986" t="str">
        <f t="shared" si="201"/>
        <v xml:space="preserve">Performing </v>
      </c>
      <c r="T986" t="s">
        <v>16</v>
      </c>
      <c r="U986" s="3">
        <f t="shared" si="202"/>
        <v>5.4454831849147581E-2</v>
      </c>
      <c r="V986" t="str">
        <f t="shared" si="203"/>
        <v>Healthy</v>
      </c>
      <c r="W986" t="str">
        <f t="shared" si="204"/>
        <v>Good</v>
      </c>
      <c r="X986" s="5" t="str">
        <f t="shared" si="205"/>
        <v>Medium</v>
      </c>
      <c r="Y986" s="5" t="str">
        <f t="shared" si="206"/>
        <v>Low</v>
      </c>
      <c r="Z986" s="5" t="str">
        <f>IF(B986=120,"NULL",IF(AND(V986="High Stress", W986="High Risk", Y986="Low"),"High Risk : Reject", IF(AND(V986="Healthy", W986="Good",Y986&lt;&gt;"Low"), "Low Risk : Approve", "Medium Risk : Review")))</f>
        <v>Medium Risk : Review</v>
      </c>
      <c r="AA986" s="5" t="str">
        <f t="shared" si="207"/>
        <v>Medium</v>
      </c>
    </row>
    <row r="987" spans="1:27" x14ac:dyDescent="0.2">
      <c r="A987">
        <v>23634</v>
      </c>
      <c r="B987">
        <v>33</v>
      </c>
      <c r="C987">
        <f t="shared" si="195"/>
        <v>33</v>
      </c>
      <c r="D987" t="s">
        <v>23</v>
      </c>
      <c r="E987" t="str">
        <f t="shared" si="196"/>
        <v>Self-Employed</v>
      </c>
      <c r="F987">
        <v>5176.99</v>
      </c>
      <c r="G987">
        <f>ABS(Table1[[#This Row],[Monthly_Income]])</f>
        <v>5176.99</v>
      </c>
      <c r="H987">
        <v>25855.31</v>
      </c>
      <c r="I987" s="5">
        <f t="shared" si="197"/>
        <v>25855.31</v>
      </c>
      <c r="J987">
        <v>18</v>
      </c>
      <c r="K987">
        <v>12.04</v>
      </c>
      <c r="L987">
        <v>0</v>
      </c>
      <c r="M987">
        <f t="shared" si="198"/>
        <v>0</v>
      </c>
      <c r="N987">
        <v>4.8</v>
      </c>
      <c r="O987">
        <f t="shared" si="199"/>
        <v>4.8</v>
      </c>
      <c r="P987">
        <v>0</v>
      </c>
      <c r="Q987">
        <f t="shared" si="200"/>
        <v>0</v>
      </c>
      <c r="R987" t="s">
        <v>20</v>
      </c>
      <c r="S987" t="str">
        <f t="shared" si="201"/>
        <v>Written Off</v>
      </c>
      <c r="T987" t="s">
        <v>22</v>
      </c>
      <c r="U987" s="3">
        <f t="shared" si="202"/>
        <v>0.27745970363302058</v>
      </c>
      <c r="V987" t="str">
        <f t="shared" si="203"/>
        <v>Healthy</v>
      </c>
      <c r="W987" t="str">
        <f t="shared" si="204"/>
        <v>Good</v>
      </c>
      <c r="X987" s="5" t="str">
        <f t="shared" si="205"/>
        <v>Medium</v>
      </c>
      <c r="Y987" s="5" t="str">
        <f t="shared" si="206"/>
        <v>Medium</v>
      </c>
      <c r="Z987" s="5" t="str">
        <f>IF(B987=120,"NULL",IF(AND(V987="High Stress", W987="High Risk", Y987="Low"),"High Risk : Reject", IF(AND(V987="Healthy", W987="Good",Y987&lt;&gt;"Low"), "Low Risk : Approve", "Medium Risk : Review")))</f>
        <v>Low Risk : Approve</v>
      </c>
      <c r="AA987" s="5" t="str">
        <f t="shared" si="207"/>
        <v>Medium</v>
      </c>
    </row>
    <row r="988" spans="1:27" x14ac:dyDescent="0.2">
      <c r="A988">
        <v>20647</v>
      </c>
      <c r="B988">
        <v>25</v>
      </c>
      <c r="C988">
        <f t="shared" si="195"/>
        <v>25</v>
      </c>
      <c r="D988" t="s">
        <v>26</v>
      </c>
      <c r="E988" t="str">
        <f t="shared" si="196"/>
        <v>Salaried</v>
      </c>
      <c r="F988">
        <v>6313.67</v>
      </c>
      <c r="G988">
        <f>ABS(Table1[[#This Row],[Monthly_Income]])</f>
        <v>6313.67</v>
      </c>
      <c r="H988">
        <v>35801.43</v>
      </c>
      <c r="I988" s="5">
        <f t="shared" si="197"/>
        <v>35801.43</v>
      </c>
      <c r="J988">
        <v>36</v>
      </c>
      <c r="K988">
        <v>24.74</v>
      </c>
      <c r="L988">
        <v>1</v>
      </c>
      <c r="M988">
        <f t="shared" si="198"/>
        <v>1</v>
      </c>
      <c r="N988">
        <v>8.1999999999999993</v>
      </c>
      <c r="O988">
        <f t="shared" si="199"/>
        <v>8.1999999999999993</v>
      </c>
      <c r="P988">
        <v>0</v>
      </c>
      <c r="Q988">
        <f t="shared" si="200"/>
        <v>0</v>
      </c>
      <c r="R988" t="s">
        <v>15</v>
      </c>
      <c r="S988" t="str">
        <f t="shared" si="201"/>
        <v xml:space="preserve">Performing </v>
      </c>
      <c r="T988" t="s">
        <v>16</v>
      </c>
      <c r="U988" s="3">
        <f t="shared" si="202"/>
        <v>0.15751285174338645</v>
      </c>
      <c r="V988" t="str">
        <f t="shared" si="203"/>
        <v>Healthy</v>
      </c>
      <c r="W988" t="str">
        <f t="shared" si="204"/>
        <v>Good</v>
      </c>
      <c r="X988" s="5" t="str">
        <f t="shared" si="205"/>
        <v>High</v>
      </c>
      <c r="Y988" s="5" t="str">
        <f t="shared" si="206"/>
        <v>High</v>
      </c>
      <c r="Z988" s="5" t="str">
        <f>IF(B988=120,"NULL",IF(AND(V988="High Stress", W988="High Risk", Y988="Low"),"High Risk : Reject", IF(AND(V988="Healthy", W988="Good",Y988&lt;&gt;"Low"), "Low Risk : Approve", "Medium Risk : Review")))</f>
        <v>Low Risk : Approve</v>
      </c>
      <c r="AA988" s="5" t="str">
        <f t="shared" si="207"/>
        <v>Medium</v>
      </c>
    </row>
    <row r="989" spans="1:27" x14ac:dyDescent="0.2">
      <c r="A989">
        <v>24183</v>
      </c>
      <c r="B989">
        <v>48</v>
      </c>
      <c r="C989">
        <f t="shared" si="195"/>
        <v>48</v>
      </c>
      <c r="D989" t="s">
        <v>27</v>
      </c>
      <c r="E989" t="str">
        <f t="shared" si="196"/>
        <v>Unemployed</v>
      </c>
      <c r="F989">
        <v>6246.74</v>
      </c>
      <c r="G989">
        <f>ABS(Table1[[#This Row],[Monthly_Income]])</f>
        <v>6246.74</v>
      </c>
      <c r="H989">
        <v>8437.42</v>
      </c>
      <c r="I989" s="5">
        <f t="shared" si="197"/>
        <v>8437.42</v>
      </c>
      <c r="J989">
        <v>18</v>
      </c>
      <c r="K989">
        <v>19.91</v>
      </c>
      <c r="L989">
        <v>4</v>
      </c>
      <c r="M989">
        <f t="shared" si="198"/>
        <v>4</v>
      </c>
      <c r="N989">
        <v>12.6</v>
      </c>
      <c r="O989">
        <f t="shared" si="199"/>
        <v>12.6</v>
      </c>
      <c r="P989">
        <v>90</v>
      </c>
      <c r="Q989">
        <f t="shared" si="200"/>
        <v>90</v>
      </c>
      <c r="R989" t="s">
        <v>18</v>
      </c>
      <c r="S989" t="str">
        <f t="shared" si="201"/>
        <v>Non-Performing</v>
      </c>
      <c r="T989" t="s">
        <v>25</v>
      </c>
      <c r="U989" s="3">
        <f t="shared" si="202"/>
        <v>7.5038428933420567E-2</v>
      </c>
      <c r="V989" t="str">
        <f t="shared" si="203"/>
        <v>Healthy</v>
      </c>
      <c r="W989" t="str">
        <f t="shared" si="204"/>
        <v>High Risk</v>
      </c>
      <c r="X989" s="5" t="str">
        <f t="shared" si="205"/>
        <v>Small</v>
      </c>
      <c r="Y989" s="5" t="str">
        <f t="shared" si="206"/>
        <v>Low</v>
      </c>
      <c r="Z989" s="5" t="str">
        <f>IF(B989=120,"NULL",IF(AND(V989="High Stress", W989="High Risk", Y989="Low"),"High Risk : Reject", IF(AND(V989="Healthy", W989="Good",Y989&lt;&gt;"Low"), "Low Risk : Approve", "Medium Risk : Review")))</f>
        <v>Medium Risk : Review</v>
      </c>
      <c r="AA989" s="5" t="str">
        <f t="shared" si="207"/>
        <v>Medium</v>
      </c>
    </row>
    <row r="990" spans="1:27" x14ac:dyDescent="0.2">
      <c r="A990">
        <v>21502</v>
      </c>
      <c r="B990">
        <v>25</v>
      </c>
      <c r="C990">
        <f t="shared" si="195"/>
        <v>25</v>
      </c>
      <c r="D990" t="s">
        <v>26</v>
      </c>
      <c r="E990" t="str">
        <f t="shared" si="196"/>
        <v>Salaried</v>
      </c>
      <c r="F990">
        <v>9232.68</v>
      </c>
      <c r="G990">
        <f>ABS(Table1[[#This Row],[Monthly_Income]])</f>
        <v>9232.68</v>
      </c>
      <c r="H990">
        <v>23234.95</v>
      </c>
      <c r="I990" s="5">
        <f t="shared" si="197"/>
        <v>23234.95</v>
      </c>
      <c r="J990">
        <v>12</v>
      </c>
      <c r="K990">
        <v>35.68</v>
      </c>
      <c r="L990">
        <v>1</v>
      </c>
      <c r="M990">
        <f t="shared" si="198"/>
        <v>1</v>
      </c>
      <c r="O990" t="str">
        <f t="shared" si="199"/>
        <v>NULL</v>
      </c>
      <c r="P990">
        <v>0</v>
      </c>
      <c r="Q990">
        <f t="shared" si="200"/>
        <v>0</v>
      </c>
      <c r="R990" t="s">
        <v>18</v>
      </c>
      <c r="S990" t="str">
        <f t="shared" si="201"/>
        <v>Non-Performing</v>
      </c>
      <c r="T990" t="s">
        <v>25</v>
      </c>
      <c r="U990" s="3">
        <f t="shared" si="202"/>
        <v>0.20971655395110989</v>
      </c>
      <c r="V990" t="str">
        <f t="shared" si="203"/>
        <v>Healthy</v>
      </c>
      <c r="W990" t="str">
        <f t="shared" si="204"/>
        <v>Good</v>
      </c>
      <c r="X990" s="5" t="str">
        <f t="shared" si="205"/>
        <v>Medium</v>
      </c>
      <c r="Y990" s="5" t="str">
        <f t="shared" si="206"/>
        <v>High</v>
      </c>
      <c r="Z990" s="5" t="str">
        <f>IF(B990=120,"NULL",IF(AND(V990="High Stress", W990="High Risk", Y990="Low"),"High Risk : Reject", IF(AND(V990="Healthy", W990="Good",Y990&lt;&gt;"Low"), "Low Risk : Approve", "Medium Risk : Review")))</f>
        <v>Low Risk : Approve</v>
      </c>
      <c r="AA990" s="5" t="str">
        <f t="shared" si="207"/>
        <v>High</v>
      </c>
    </row>
    <row r="991" spans="1:27" x14ac:dyDescent="0.2">
      <c r="A991">
        <v>25832</v>
      </c>
      <c r="B991">
        <v>41</v>
      </c>
      <c r="C991">
        <f t="shared" si="195"/>
        <v>41</v>
      </c>
      <c r="D991" t="s">
        <v>17</v>
      </c>
      <c r="E991" t="str">
        <f t="shared" si="196"/>
        <v>Contract</v>
      </c>
      <c r="F991">
        <v>2856.52</v>
      </c>
      <c r="G991">
        <f>ABS(Table1[[#This Row],[Monthly_Income]])</f>
        <v>2856.52</v>
      </c>
      <c r="H991">
        <v>14426.97</v>
      </c>
      <c r="I991" s="5">
        <f t="shared" si="197"/>
        <v>14426.97</v>
      </c>
      <c r="J991">
        <v>12</v>
      </c>
      <c r="K991">
        <v>17.829999999999998</v>
      </c>
      <c r="L991">
        <v>4</v>
      </c>
      <c r="M991">
        <f t="shared" si="198"/>
        <v>4</v>
      </c>
      <c r="N991">
        <v>11.1</v>
      </c>
      <c r="O991">
        <f t="shared" si="199"/>
        <v>11.1</v>
      </c>
      <c r="P991">
        <v>120</v>
      </c>
      <c r="Q991">
        <f t="shared" si="200"/>
        <v>120</v>
      </c>
      <c r="R991" t="s">
        <v>15</v>
      </c>
      <c r="S991" t="str">
        <f t="shared" si="201"/>
        <v xml:space="preserve">Performing </v>
      </c>
      <c r="T991" t="s">
        <v>14</v>
      </c>
      <c r="U991" s="3">
        <f t="shared" si="202"/>
        <v>0.42087837648607396</v>
      </c>
      <c r="V991" t="str">
        <f t="shared" si="203"/>
        <v>Stretched</v>
      </c>
      <c r="W991" t="str">
        <f t="shared" si="204"/>
        <v>High Risk</v>
      </c>
      <c r="X991" s="5" t="str">
        <f t="shared" si="205"/>
        <v>Medium</v>
      </c>
      <c r="Y991" s="5" t="str">
        <f t="shared" si="206"/>
        <v>Low</v>
      </c>
      <c r="Z991" s="5" t="str">
        <f>IF(B991=120,"NULL",IF(AND(V991="High Stress", W991="High Risk", Y991="Low"),"High Risk : Reject", IF(AND(V991="Healthy", W991="Good",Y991&lt;&gt;"Low"), "Low Risk : Approve", "Medium Risk : Review")))</f>
        <v>Medium Risk : Review</v>
      </c>
      <c r="AA991" s="5" t="str">
        <f t="shared" si="207"/>
        <v>Medium</v>
      </c>
    </row>
    <row r="992" spans="1:27" x14ac:dyDescent="0.2">
      <c r="A992">
        <v>24686</v>
      </c>
      <c r="B992">
        <v>18</v>
      </c>
      <c r="C992">
        <f t="shared" si="195"/>
        <v>18</v>
      </c>
      <c r="D992" t="s">
        <v>17</v>
      </c>
      <c r="E992" t="str">
        <f t="shared" si="196"/>
        <v>Contract</v>
      </c>
      <c r="F992">
        <v>6748.15</v>
      </c>
      <c r="G992">
        <f>ABS(Table1[[#This Row],[Monthly_Income]])</f>
        <v>6748.15</v>
      </c>
      <c r="H992">
        <v>15886.63</v>
      </c>
      <c r="I992" s="5">
        <f t="shared" si="197"/>
        <v>15886.63</v>
      </c>
      <c r="J992">
        <v>36</v>
      </c>
      <c r="K992">
        <v>27.01</v>
      </c>
      <c r="M992" t="str">
        <f t="shared" si="198"/>
        <v>NULL</v>
      </c>
      <c r="N992">
        <v>7.2</v>
      </c>
      <c r="O992">
        <f t="shared" si="199"/>
        <v>7.2</v>
      </c>
      <c r="P992">
        <v>90</v>
      </c>
      <c r="Q992">
        <f t="shared" si="200"/>
        <v>90</v>
      </c>
      <c r="R992" t="s">
        <v>15</v>
      </c>
      <c r="S992" t="str">
        <f t="shared" si="201"/>
        <v xml:space="preserve">Performing </v>
      </c>
      <c r="T992" t="s">
        <v>16</v>
      </c>
      <c r="U992" s="3">
        <f t="shared" si="202"/>
        <v>6.5395001263720831E-2</v>
      </c>
      <c r="V992" t="str">
        <f t="shared" si="203"/>
        <v>Healthy</v>
      </c>
      <c r="W992" t="str">
        <f t="shared" si="204"/>
        <v>High Risk</v>
      </c>
      <c r="X992" s="5" t="str">
        <f t="shared" si="205"/>
        <v>Medium</v>
      </c>
      <c r="Y992" s="5" t="str">
        <f t="shared" si="206"/>
        <v>Low</v>
      </c>
      <c r="Z992" s="5" t="str">
        <f>IF(B992=120,"NULL",IF(AND(V992="High Stress", W992="High Risk", Y992="Low"),"High Risk : Reject", IF(AND(V992="Healthy", W992="Good",Y992&lt;&gt;"Low"), "Low Risk : Approve", "Medium Risk : Review")))</f>
        <v>Medium Risk : Review</v>
      </c>
      <c r="AA992" s="5" t="str">
        <f t="shared" si="207"/>
        <v>Medium</v>
      </c>
    </row>
    <row r="993" spans="1:27" x14ac:dyDescent="0.2">
      <c r="A993">
        <v>21974</v>
      </c>
      <c r="B993">
        <v>25</v>
      </c>
      <c r="C993">
        <f t="shared" si="195"/>
        <v>25</v>
      </c>
      <c r="D993" t="s">
        <v>27</v>
      </c>
      <c r="E993" t="str">
        <f t="shared" si="196"/>
        <v>Unemployed</v>
      </c>
      <c r="F993">
        <v>5642.99</v>
      </c>
      <c r="G993">
        <f>ABS(Table1[[#This Row],[Monthly_Income]])</f>
        <v>5642.99</v>
      </c>
      <c r="H993">
        <v>18687.97</v>
      </c>
      <c r="I993" s="5">
        <f t="shared" si="197"/>
        <v>18687.97</v>
      </c>
      <c r="J993">
        <v>48</v>
      </c>
      <c r="K993">
        <v>15.39</v>
      </c>
      <c r="M993" t="str">
        <f t="shared" si="198"/>
        <v>NULL</v>
      </c>
      <c r="N993">
        <v>12.6</v>
      </c>
      <c r="O993">
        <f t="shared" si="199"/>
        <v>12.6</v>
      </c>
      <c r="Q993" t="str">
        <f t="shared" si="200"/>
        <v>NULL</v>
      </c>
      <c r="R993" t="s">
        <v>18</v>
      </c>
      <c r="S993" t="str">
        <f t="shared" si="201"/>
        <v>Non-Performing</v>
      </c>
      <c r="T993" t="s">
        <v>19</v>
      </c>
      <c r="U993" s="3">
        <f t="shared" si="202"/>
        <v>6.899404541445818E-2</v>
      </c>
      <c r="V993" t="str">
        <f t="shared" si="203"/>
        <v>Healthy</v>
      </c>
      <c r="W993" t="str">
        <f t="shared" si="204"/>
        <v>NULL</v>
      </c>
      <c r="X993" s="5" t="str">
        <f t="shared" si="205"/>
        <v>Medium</v>
      </c>
      <c r="Y993" s="5" t="str">
        <f t="shared" si="206"/>
        <v>Low</v>
      </c>
      <c r="Z993" s="5" t="str">
        <f>IF(B993=120,"NULL",IF(AND(V993="High Stress", W993="High Risk", Y993="Low"),"High Risk : Reject", IF(AND(V993="Healthy", W993="Good",Y993&lt;&gt;"Low"), "Low Risk : Approve", "Medium Risk : Review")))</f>
        <v>Medium Risk : Review</v>
      </c>
      <c r="AA993" s="5" t="str">
        <f t="shared" si="207"/>
        <v>Medium</v>
      </c>
    </row>
    <row r="994" spans="1:27" x14ac:dyDescent="0.2">
      <c r="A994">
        <v>22151</v>
      </c>
      <c r="B994">
        <v>59</v>
      </c>
      <c r="C994">
        <f t="shared" si="195"/>
        <v>59</v>
      </c>
      <c r="D994" t="s">
        <v>23</v>
      </c>
      <c r="E994" t="str">
        <f t="shared" si="196"/>
        <v>Self-Employed</v>
      </c>
      <c r="F994">
        <v>6929.49</v>
      </c>
      <c r="G994">
        <f>ABS(Table1[[#This Row],[Monthly_Income]])</f>
        <v>6929.49</v>
      </c>
      <c r="H994">
        <v>15482.2</v>
      </c>
      <c r="I994" s="5">
        <f t="shared" si="197"/>
        <v>15482.2</v>
      </c>
      <c r="J994">
        <v>60</v>
      </c>
      <c r="K994">
        <v>24.19</v>
      </c>
      <c r="M994" t="str">
        <f t="shared" si="198"/>
        <v>NULL</v>
      </c>
      <c r="N994">
        <v>14.2</v>
      </c>
      <c r="O994">
        <f t="shared" si="199"/>
        <v>14.2</v>
      </c>
      <c r="P994">
        <v>15</v>
      </c>
      <c r="Q994">
        <f t="shared" si="200"/>
        <v>15</v>
      </c>
      <c r="R994" t="s">
        <v>24</v>
      </c>
      <c r="S994" t="str">
        <f t="shared" si="201"/>
        <v>Non-Performing</v>
      </c>
      <c r="T994" t="s">
        <v>22</v>
      </c>
      <c r="U994" s="3">
        <f t="shared" si="202"/>
        <v>3.7237468654499353E-2</v>
      </c>
      <c r="V994" t="str">
        <f t="shared" si="203"/>
        <v>Healthy</v>
      </c>
      <c r="W994" t="str">
        <f t="shared" si="204"/>
        <v>Good</v>
      </c>
      <c r="X994" s="5" t="str">
        <f t="shared" si="205"/>
        <v>Medium</v>
      </c>
      <c r="Y994" s="5" t="str">
        <f t="shared" si="206"/>
        <v>Medium</v>
      </c>
      <c r="Z994" s="5" t="str">
        <f>IF(B994=120,"NULL",IF(AND(V994="High Stress", W994="High Risk", Y994="Low"),"High Risk : Reject", IF(AND(V994="Healthy", W994="Good",Y994&lt;&gt;"Low"), "Low Risk : Approve", "Medium Risk : Review")))</f>
        <v>Low Risk : Approve</v>
      </c>
      <c r="AA994" s="5" t="str">
        <f t="shared" si="207"/>
        <v>Medium</v>
      </c>
    </row>
    <row r="995" spans="1:27" x14ac:dyDescent="0.2">
      <c r="A995">
        <v>23269</v>
      </c>
      <c r="B995">
        <v>32</v>
      </c>
      <c r="C995">
        <f t="shared" si="195"/>
        <v>32</v>
      </c>
      <c r="D995" t="s">
        <v>23</v>
      </c>
      <c r="E995" t="str">
        <f t="shared" si="196"/>
        <v>Self-Employed</v>
      </c>
      <c r="F995">
        <v>2529.34</v>
      </c>
      <c r="G995">
        <f>ABS(Table1[[#This Row],[Monthly_Income]])</f>
        <v>2529.34</v>
      </c>
      <c r="H995">
        <v>27942.76</v>
      </c>
      <c r="I995" s="5">
        <f t="shared" si="197"/>
        <v>27942.76</v>
      </c>
      <c r="J995">
        <v>60</v>
      </c>
      <c r="K995">
        <v>27.86</v>
      </c>
      <c r="L995">
        <v>0</v>
      </c>
      <c r="M995">
        <f t="shared" si="198"/>
        <v>0</v>
      </c>
      <c r="N995">
        <v>2.2000000000000002</v>
      </c>
      <c r="O995">
        <f t="shared" si="199"/>
        <v>2.2000000000000002</v>
      </c>
      <c r="P995">
        <v>90</v>
      </c>
      <c r="Q995">
        <f t="shared" si="200"/>
        <v>90</v>
      </c>
      <c r="R995" t="s">
        <v>18</v>
      </c>
      <c r="S995" t="str">
        <f t="shared" si="201"/>
        <v>Non-Performing</v>
      </c>
      <c r="T995" t="s">
        <v>22</v>
      </c>
      <c r="U995" s="3">
        <f t="shared" si="202"/>
        <v>0.18412418522882118</v>
      </c>
      <c r="V995" t="str">
        <f t="shared" si="203"/>
        <v>Healthy</v>
      </c>
      <c r="W995" t="str">
        <f t="shared" si="204"/>
        <v>High Risk</v>
      </c>
      <c r="X995" s="5" t="str">
        <f t="shared" si="205"/>
        <v>Medium</v>
      </c>
      <c r="Y995" s="5" t="str">
        <f t="shared" si="206"/>
        <v>Medium</v>
      </c>
      <c r="Z995" s="5" t="str">
        <f>IF(B995=120,"NULL",IF(AND(V995="High Stress", W995="High Risk", Y995="Low"),"High Risk : Reject", IF(AND(V995="Healthy", W995="Good",Y995&lt;&gt;"Low"), "Low Risk : Approve", "Medium Risk : Review")))</f>
        <v>Medium Risk : Review</v>
      </c>
      <c r="AA995" s="5" t="str">
        <f t="shared" si="207"/>
        <v>Medium</v>
      </c>
    </row>
    <row r="996" spans="1:27" x14ac:dyDescent="0.2">
      <c r="A996">
        <v>22106</v>
      </c>
      <c r="B996">
        <v>64</v>
      </c>
      <c r="C996">
        <f t="shared" si="195"/>
        <v>64</v>
      </c>
      <c r="D996" t="s">
        <v>23</v>
      </c>
      <c r="E996" t="str">
        <f t="shared" si="196"/>
        <v>Self-Employed</v>
      </c>
      <c r="F996">
        <v>4053.44</v>
      </c>
      <c r="G996">
        <f>ABS(Table1[[#This Row],[Monthly_Income]])</f>
        <v>4053.44</v>
      </c>
      <c r="H996">
        <v>20131.11</v>
      </c>
      <c r="I996" s="5">
        <f t="shared" si="197"/>
        <v>20131.11</v>
      </c>
      <c r="J996">
        <v>12</v>
      </c>
      <c r="K996">
        <v>21.97</v>
      </c>
      <c r="L996">
        <v>3</v>
      </c>
      <c r="M996">
        <f t="shared" si="198"/>
        <v>3</v>
      </c>
      <c r="N996">
        <v>3.5</v>
      </c>
      <c r="O996">
        <f t="shared" si="199"/>
        <v>3.5</v>
      </c>
      <c r="P996">
        <v>0</v>
      </c>
      <c r="Q996">
        <f t="shared" si="200"/>
        <v>0</v>
      </c>
      <c r="R996" t="s">
        <v>13</v>
      </c>
      <c r="S996" t="str">
        <f t="shared" si="201"/>
        <v>Performing</v>
      </c>
      <c r="T996" t="s">
        <v>22</v>
      </c>
      <c r="U996" s="3">
        <f t="shared" si="202"/>
        <v>0.4138688373332281</v>
      </c>
      <c r="V996" t="str">
        <f t="shared" si="203"/>
        <v>Stretched</v>
      </c>
      <c r="W996" t="str">
        <f t="shared" si="204"/>
        <v>Good</v>
      </c>
      <c r="X996" s="5" t="str">
        <f t="shared" si="205"/>
        <v>Medium</v>
      </c>
      <c r="Y996" s="5" t="str">
        <f t="shared" si="206"/>
        <v>Medium</v>
      </c>
      <c r="Z996" s="5" t="str">
        <f>IF(B996=120,"NULL",IF(AND(V996="High Stress", W996="High Risk", Y996="Low"),"High Risk : Reject", IF(AND(V996="Healthy", W996="Good",Y996&lt;&gt;"Low"), "Low Risk : Approve", "Medium Risk : Review")))</f>
        <v>Medium Risk : Review</v>
      </c>
      <c r="AA996" s="5" t="str">
        <f t="shared" si="207"/>
        <v>Medium</v>
      </c>
    </row>
    <row r="997" spans="1:27" x14ac:dyDescent="0.2">
      <c r="A997">
        <v>22257</v>
      </c>
      <c r="B997">
        <v>29</v>
      </c>
      <c r="C997">
        <f t="shared" si="195"/>
        <v>29</v>
      </c>
      <c r="D997" t="s">
        <v>21</v>
      </c>
      <c r="E997" t="str">
        <f t="shared" si="196"/>
        <v>Salaried</v>
      </c>
      <c r="F997">
        <v>-801.42</v>
      </c>
      <c r="G997">
        <f>ABS(Table1[[#This Row],[Monthly_Income]])</f>
        <v>801.42</v>
      </c>
      <c r="H997">
        <v>22872.42</v>
      </c>
      <c r="I997" s="5">
        <f t="shared" si="197"/>
        <v>22872.42</v>
      </c>
      <c r="J997">
        <v>60</v>
      </c>
      <c r="K997">
        <v>15.66</v>
      </c>
      <c r="L997">
        <v>1</v>
      </c>
      <c r="M997">
        <f t="shared" si="198"/>
        <v>1</v>
      </c>
      <c r="N997">
        <v>3.7</v>
      </c>
      <c r="O997">
        <f t="shared" si="199"/>
        <v>3.7</v>
      </c>
      <c r="P997">
        <v>60</v>
      </c>
      <c r="Q997">
        <f t="shared" si="200"/>
        <v>60</v>
      </c>
      <c r="R997" t="s">
        <v>20</v>
      </c>
      <c r="S997" t="str">
        <f t="shared" si="201"/>
        <v>Written Off</v>
      </c>
      <c r="T997" t="s">
        <v>14</v>
      </c>
      <c r="U997" s="3">
        <f t="shared" si="202"/>
        <v>0.47566444560904392</v>
      </c>
      <c r="V997" t="str">
        <f t="shared" si="203"/>
        <v>High Stress</v>
      </c>
      <c r="W997" t="str">
        <f t="shared" si="204"/>
        <v>High Risk</v>
      </c>
      <c r="X997" s="5" t="str">
        <f t="shared" si="205"/>
        <v>Medium</v>
      </c>
      <c r="Y997" s="5" t="str">
        <f t="shared" si="206"/>
        <v>High</v>
      </c>
      <c r="Z997" s="5" t="str">
        <f>IF(B997=120,"NULL",IF(AND(V997="High Stress", W997="High Risk", Y997="Low"),"High Risk : Reject", IF(AND(V997="Healthy", W997="Good",Y997&lt;&gt;"Low"), "Low Risk : Approve", "Medium Risk : Review")))</f>
        <v>Medium Risk : Review</v>
      </c>
      <c r="AA997" s="5" t="str">
        <f t="shared" si="207"/>
        <v>Low</v>
      </c>
    </row>
    <row r="998" spans="1:27" x14ac:dyDescent="0.2">
      <c r="A998">
        <v>25157</v>
      </c>
      <c r="B998">
        <v>24</v>
      </c>
      <c r="C998">
        <f t="shared" si="195"/>
        <v>24</v>
      </c>
      <c r="D998" t="s">
        <v>21</v>
      </c>
      <c r="E998" t="str">
        <f t="shared" si="196"/>
        <v>Salaried</v>
      </c>
      <c r="F998">
        <v>8783.17</v>
      </c>
      <c r="G998">
        <f>ABS(Table1[[#This Row],[Monthly_Income]])</f>
        <v>8783.17</v>
      </c>
      <c r="H998">
        <v>13459.94</v>
      </c>
      <c r="I998" s="5">
        <f t="shared" si="197"/>
        <v>13459.94</v>
      </c>
      <c r="J998">
        <v>6</v>
      </c>
      <c r="K998">
        <v>24.84</v>
      </c>
      <c r="L998">
        <v>2</v>
      </c>
      <c r="M998">
        <f t="shared" si="198"/>
        <v>2</v>
      </c>
      <c r="N998">
        <v>8.4</v>
      </c>
      <c r="O998">
        <f t="shared" si="199"/>
        <v>8.4</v>
      </c>
      <c r="Q998" t="str">
        <f t="shared" si="200"/>
        <v>NULL</v>
      </c>
      <c r="R998" t="s">
        <v>15</v>
      </c>
      <c r="S998" t="str">
        <f t="shared" si="201"/>
        <v xml:space="preserve">Performing </v>
      </c>
      <c r="T998" t="s">
        <v>19</v>
      </c>
      <c r="U998" s="3">
        <f t="shared" si="202"/>
        <v>0.25541158070871145</v>
      </c>
      <c r="V998" t="str">
        <f t="shared" si="203"/>
        <v>Healthy</v>
      </c>
      <c r="W998" t="str">
        <f t="shared" si="204"/>
        <v>NULL</v>
      </c>
      <c r="X998" s="5" t="str">
        <f t="shared" si="205"/>
        <v>Medium</v>
      </c>
      <c r="Y998" s="5" t="str">
        <f t="shared" si="206"/>
        <v>High</v>
      </c>
      <c r="Z998" s="5" t="str">
        <f>IF(B998=120,"NULL",IF(AND(V998="High Stress", W998="High Risk", Y998="Low"),"High Risk : Reject", IF(AND(V998="Healthy", W998="Good",Y998&lt;&gt;"Low"), "Low Risk : Approve", "Medium Risk : Review")))</f>
        <v>Medium Risk : Review</v>
      </c>
      <c r="AA998" s="5" t="str">
        <f t="shared" si="207"/>
        <v>High</v>
      </c>
    </row>
    <row r="999" spans="1:27" x14ac:dyDescent="0.2">
      <c r="A999">
        <v>23148</v>
      </c>
      <c r="B999">
        <v>51</v>
      </c>
      <c r="C999">
        <f t="shared" si="195"/>
        <v>51</v>
      </c>
      <c r="D999" t="s">
        <v>23</v>
      </c>
      <c r="E999" t="str">
        <f t="shared" si="196"/>
        <v>Self-Employed</v>
      </c>
      <c r="F999">
        <v>7474.39</v>
      </c>
      <c r="G999">
        <f>ABS(Table1[[#This Row],[Monthly_Income]])</f>
        <v>7474.39</v>
      </c>
      <c r="H999">
        <v>19962.580000000002</v>
      </c>
      <c r="I999" s="5">
        <f t="shared" si="197"/>
        <v>19962.580000000002</v>
      </c>
      <c r="J999">
        <v>60</v>
      </c>
      <c r="K999">
        <v>20.48</v>
      </c>
      <c r="M999" t="str">
        <f t="shared" si="198"/>
        <v>NULL</v>
      </c>
      <c r="N999">
        <v>3.1</v>
      </c>
      <c r="O999">
        <f t="shared" si="199"/>
        <v>3.1</v>
      </c>
      <c r="P999">
        <v>0</v>
      </c>
      <c r="Q999">
        <f t="shared" si="200"/>
        <v>0</v>
      </c>
      <c r="R999" t="s">
        <v>20</v>
      </c>
      <c r="S999" t="str">
        <f t="shared" si="201"/>
        <v>Written Off</v>
      </c>
      <c r="T999" t="s">
        <v>19</v>
      </c>
      <c r="U999" s="3">
        <f t="shared" si="202"/>
        <v>4.45132869259788E-2</v>
      </c>
      <c r="V999" t="str">
        <f t="shared" si="203"/>
        <v>Healthy</v>
      </c>
      <c r="W999" t="str">
        <f t="shared" si="204"/>
        <v>Good</v>
      </c>
      <c r="X999" s="5" t="str">
        <f t="shared" si="205"/>
        <v>Medium</v>
      </c>
      <c r="Y999" s="5" t="str">
        <f t="shared" si="206"/>
        <v>Medium</v>
      </c>
      <c r="Z999" s="5" t="str">
        <f>IF(B999=120,"NULL",IF(AND(V999="High Stress", W999="High Risk", Y999="Low"),"High Risk : Reject", IF(AND(V999="Healthy", W999="Good",Y999&lt;&gt;"Low"), "Low Risk : Approve", "Medium Risk : Review")))</f>
        <v>Low Risk : Approve</v>
      </c>
      <c r="AA999" s="5" t="str">
        <f t="shared" si="207"/>
        <v>Medium</v>
      </c>
    </row>
    <row r="1000" spans="1:27" x14ac:dyDescent="0.2">
      <c r="A1000">
        <v>20212</v>
      </c>
      <c r="B1000">
        <v>59</v>
      </c>
      <c r="C1000">
        <f t="shared" si="195"/>
        <v>59</v>
      </c>
      <c r="D1000" t="s">
        <v>12</v>
      </c>
      <c r="E1000" t="str">
        <f t="shared" si="196"/>
        <v>Self-Employed</v>
      </c>
      <c r="F1000">
        <v>1688</v>
      </c>
      <c r="G1000">
        <f>ABS(Table1[[#This Row],[Monthly_Income]])</f>
        <v>1688</v>
      </c>
      <c r="H1000">
        <v>27122.09</v>
      </c>
      <c r="I1000" s="5">
        <f t="shared" si="197"/>
        <v>27122.09</v>
      </c>
      <c r="J1000">
        <v>60</v>
      </c>
      <c r="K1000">
        <v>24.89</v>
      </c>
      <c r="L1000">
        <v>3</v>
      </c>
      <c r="M1000">
        <f t="shared" si="198"/>
        <v>3</v>
      </c>
      <c r="N1000">
        <v>9.6</v>
      </c>
      <c r="O1000">
        <f t="shared" si="199"/>
        <v>9.6</v>
      </c>
      <c r="P1000">
        <v>0</v>
      </c>
      <c r="Q1000">
        <f t="shared" si="200"/>
        <v>0</v>
      </c>
      <c r="R1000" t="s">
        <v>24</v>
      </c>
      <c r="S1000" t="str">
        <f t="shared" si="201"/>
        <v>Non-Performing</v>
      </c>
      <c r="T1000" t="s">
        <v>22</v>
      </c>
      <c r="U1000" s="3">
        <f t="shared" si="202"/>
        <v>0.26779314770932072</v>
      </c>
      <c r="V1000" t="str">
        <f t="shared" si="203"/>
        <v>Healthy</v>
      </c>
      <c r="W1000" t="str">
        <f t="shared" si="204"/>
        <v>Good</v>
      </c>
      <c r="X1000" s="5" t="str">
        <f t="shared" si="205"/>
        <v>Medium</v>
      </c>
      <c r="Y1000" s="5" t="str">
        <f t="shared" si="206"/>
        <v>Medium</v>
      </c>
      <c r="Z1000" s="5" t="str">
        <f>IF(B1000=120,"NULL",IF(AND(V1000="High Stress", W1000="High Risk", Y1000="Low"),"High Risk : Reject", IF(AND(V1000="Healthy", W1000="Good",Y1000&lt;&gt;"Low"), "Low Risk : Approve", "Medium Risk : Review")))</f>
        <v>Low Risk : Approve</v>
      </c>
      <c r="AA1000" s="5" t="str">
        <f t="shared" si="207"/>
        <v>Low</v>
      </c>
    </row>
    <row r="1001" spans="1:27" x14ac:dyDescent="0.2">
      <c r="A1001">
        <v>25833</v>
      </c>
      <c r="B1001">
        <v>28</v>
      </c>
      <c r="C1001">
        <f t="shared" si="195"/>
        <v>28</v>
      </c>
      <c r="D1001" t="s">
        <v>26</v>
      </c>
      <c r="E1001" t="str">
        <f t="shared" si="196"/>
        <v>Salaried</v>
      </c>
      <c r="F1001">
        <v>3122</v>
      </c>
      <c r="G1001">
        <f>ABS(Table1[[#This Row],[Monthly_Income]])</f>
        <v>3122</v>
      </c>
      <c r="H1001">
        <v>34142.589999999997</v>
      </c>
      <c r="I1001" s="5">
        <f t="shared" si="197"/>
        <v>34142.589999999997</v>
      </c>
      <c r="J1001">
        <v>12</v>
      </c>
      <c r="K1001">
        <v>32.75</v>
      </c>
      <c r="L1001">
        <v>0</v>
      </c>
      <c r="M1001">
        <f t="shared" si="198"/>
        <v>0</v>
      </c>
      <c r="N1001">
        <v>1.1000000000000001</v>
      </c>
      <c r="O1001">
        <f t="shared" si="199"/>
        <v>1.1000000000000001</v>
      </c>
      <c r="P1001">
        <v>90</v>
      </c>
      <c r="Q1001">
        <f t="shared" si="200"/>
        <v>90</v>
      </c>
      <c r="R1001" t="s">
        <v>18</v>
      </c>
      <c r="S1001" t="str">
        <f t="shared" si="201"/>
        <v>Non-Performing</v>
      </c>
      <c r="T1001" t="s">
        <v>19</v>
      </c>
      <c r="U1001" s="3">
        <f t="shared" si="202"/>
        <v>0.91134395686525727</v>
      </c>
      <c r="V1001" t="str">
        <f t="shared" si="203"/>
        <v>High Stress</v>
      </c>
      <c r="W1001" t="str">
        <f t="shared" si="204"/>
        <v>High Risk</v>
      </c>
      <c r="X1001" s="5" t="str">
        <f t="shared" si="205"/>
        <v>High</v>
      </c>
      <c r="Y1001" s="5" t="str">
        <f t="shared" si="206"/>
        <v>High</v>
      </c>
      <c r="Z1001" s="5" t="str">
        <f>IF(B1001=120,"NULL",IF(AND(V1001="High Stress", W1001="High Risk", Y1001="Low"),"High Risk : Reject", IF(AND(V1001="Healthy", W1001="Good",Y1001&lt;&gt;"Low"), "Low Risk : Approve", "Medium Risk : Review")))</f>
        <v>Medium Risk : Review</v>
      </c>
      <c r="AA1001" s="5" t="str">
        <f t="shared" si="207"/>
        <v>Medium</v>
      </c>
    </row>
    <row r="1002" spans="1:27" x14ac:dyDescent="0.2">
      <c r="A1002">
        <v>21856</v>
      </c>
      <c r="B1002">
        <v>50</v>
      </c>
      <c r="C1002">
        <f t="shared" si="195"/>
        <v>50</v>
      </c>
      <c r="D1002" t="s">
        <v>12</v>
      </c>
      <c r="E1002" t="str">
        <f t="shared" si="196"/>
        <v>Self-Employed</v>
      </c>
      <c r="F1002">
        <v>5777.73</v>
      </c>
      <c r="G1002">
        <f>ABS(Table1[[#This Row],[Monthly_Income]])</f>
        <v>5777.73</v>
      </c>
      <c r="H1002">
        <v>9395</v>
      </c>
      <c r="I1002" s="5">
        <f t="shared" si="197"/>
        <v>9395</v>
      </c>
      <c r="J1002">
        <v>18</v>
      </c>
      <c r="K1002">
        <v>13.66</v>
      </c>
      <c r="L1002">
        <v>3</v>
      </c>
      <c r="M1002">
        <f t="shared" si="198"/>
        <v>3</v>
      </c>
      <c r="N1002">
        <v>10</v>
      </c>
      <c r="O1002">
        <f t="shared" si="199"/>
        <v>10</v>
      </c>
      <c r="P1002">
        <v>60</v>
      </c>
      <c r="Q1002">
        <f t="shared" si="200"/>
        <v>60</v>
      </c>
      <c r="R1002" t="s">
        <v>15</v>
      </c>
      <c r="S1002" t="str">
        <f t="shared" si="201"/>
        <v xml:space="preserve">Performing </v>
      </c>
      <c r="T1002" t="s">
        <v>14</v>
      </c>
      <c r="U1002" s="3">
        <f t="shared" si="202"/>
        <v>9.0337285481399188E-2</v>
      </c>
      <c r="V1002" t="str">
        <f t="shared" si="203"/>
        <v>Healthy</v>
      </c>
      <c r="W1002" t="str">
        <f t="shared" si="204"/>
        <v>High Risk</v>
      </c>
      <c r="X1002" s="5" t="str">
        <f t="shared" si="205"/>
        <v>Small</v>
      </c>
      <c r="Y1002" s="5" t="str">
        <f t="shared" si="206"/>
        <v>Medium</v>
      </c>
      <c r="Z1002" s="5" t="str">
        <f>IF(B1002=120,"NULL",IF(AND(V1002="High Stress", W1002="High Risk", Y1002="Low"),"High Risk : Reject", IF(AND(V1002="Healthy", W1002="Good",Y1002&lt;&gt;"Low"), "Low Risk : Approve", "Medium Risk : Review")))</f>
        <v>Medium Risk : Review</v>
      </c>
      <c r="AA1002" s="5" t="str">
        <f t="shared" si="207"/>
        <v>Medium</v>
      </c>
    </row>
    <row r="1003" spans="1:27" x14ac:dyDescent="0.2">
      <c r="A1003">
        <v>24963</v>
      </c>
      <c r="B1003">
        <v>38</v>
      </c>
      <c r="C1003">
        <f t="shared" si="195"/>
        <v>38</v>
      </c>
      <c r="D1003" t="s">
        <v>21</v>
      </c>
      <c r="E1003" t="str">
        <f t="shared" si="196"/>
        <v>Salaried</v>
      </c>
      <c r="F1003">
        <v>-1500</v>
      </c>
      <c r="G1003">
        <f>ABS(Table1[[#This Row],[Monthly_Income]])</f>
        <v>1500</v>
      </c>
      <c r="H1003">
        <v>11786.92</v>
      </c>
      <c r="I1003" s="5">
        <f t="shared" si="197"/>
        <v>11786.92</v>
      </c>
      <c r="J1003">
        <v>60</v>
      </c>
      <c r="K1003">
        <v>23.97</v>
      </c>
      <c r="L1003">
        <v>1</v>
      </c>
      <c r="M1003">
        <f t="shared" si="198"/>
        <v>1</v>
      </c>
      <c r="O1003" t="str">
        <f t="shared" si="199"/>
        <v>NULL</v>
      </c>
      <c r="P1003">
        <v>15</v>
      </c>
      <c r="Q1003">
        <f t="shared" si="200"/>
        <v>15</v>
      </c>
      <c r="R1003" t="s">
        <v>18</v>
      </c>
      <c r="S1003" t="str">
        <f t="shared" si="201"/>
        <v>Non-Performing</v>
      </c>
      <c r="T1003" t="s">
        <v>16</v>
      </c>
      <c r="U1003" s="3">
        <f t="shared" si="202"/>
        <v>0.13096577777777779</v>
      </c>
      <c r="V1003" t="str">
        <f t="shared" si="203"/>
        <v>Healthy</v>
      </c>
      <c r="W1003" t="str">
        <f t="shared" si="204"/>
        <v>Good</v>
      </c>
      <c r="X1003" s="5" t="str">
        <f t="shared" si="205"/>
        <v>Medium</v>
      </c>
      <c r="Y1003" s="5" t="str">
        <f t="shared" si="206"/>
        <v>High</v>
      </c>
      <c r="Z1003" s="5" t="str">
        <f>IF(B1003=120,"NULL",IF(AND(V1003="High Stress", W1003="High Risk", Y1003="Low"),"High Risk : Reject", IF(AND(V1003="Healthy", W1003="Good",Y1003&lt;&gt;"Low"), "Low Risk : Approve", "Medium Risk : Review")))</f>
        <v>Low Risk : Approve</v>
      </c>
      <c r="AA1003" s="5" t="str">
        <f t="shared" si="207"/>
        <v>Low</v>
      </c>
    </row>
    <row r="1004" spans="1:27" x14ac:dyDescent="0.2">
      <c r="A1004">
        <v>21533</v>
      </c>
      <c r="B1004">
        <v>57</v>
      </c>
      <c r="C1004">
        <f t="shared" si="195"/>
        <v>57</v>
      </c>
      <c r="D1004" t="s">
        <v>26</v>
      </c>
      <c r="E1004" t="str">
        <f t="shared" si="196"/>
        <v>Salaried</v>
      </c>
      <c r="F1004">
        <v>6330.95</v>
      </c>
      <c r="G1004">
        <f>ABS(Table1[[#This Row],[Monthly_Income]])</f>
        <v>6330.95</v>
      </c>
      <c r="H1004">
        <v>14039.72</v>
      </c>
      <c r="I1004" s="5">
        <f t="shared" si="197"/>
        <v>14039.72</v>
      </c>
      <c r="J1004">
        <v>12</v>
      </c>
      <c r="K1004">
        <v>22.92</v>
      </c>
      <c r="M1004" t="str">
        <f t="shared" si="198"/>
        <v>NULL</v>
      </c>
      <c r="N1004">
        <v>8</v>
      </c>
      <c r="O1004">
        <f t="shared" si="199"/>
        <v>8</v>
      </c>
      <c r="P1004">
        <v>120</v>
      </c>
      <c r="Q1004">
        <f t="shared" si="200"/>
        <v>120</v>
      </c>
      <c r="R1004" t="s">
        <v>13</v>
      </c>
      <c r="S1004" t="str">
        <f t="shared" si="201"/>
        <v>Performing</v>
      </c>
      <c r="T1004" t="s">
        <v>14</v>
      </c>
      <c r="U1004" s="3">
        <f t="shared" si="202"/>
        <v>0.18480270206946298</v>
      </c>
      <c r="V1004" t="str">
        <f t="shared" si="203"/>
        <v>Healthy</v>
      </c>
      <c r="W1004" t="str">
        <f t="shared" si="204"/>
        <v>High Risk</v>
      </c>
      <c r="X1004" s="5" t="str">
        <f t="shared" si="205"/>
        <v>Medium</v>
      </c>
      <c r="Y1004" s="5" t="str">
        <f t="shared" si="206"/>
        <v>High</v>
      </c>
      <c r="Z1004" s="5" t="str">
        <f>IF(B1004=120,"NULL",IF(AND(V1004="High Stress", W1004="High Risk", Y1004="Low"),"High Risk : Reject", IF(AND(V1004="Healthy", W1004="Good",Y1004&lt;&gt;"Low"), "Low Risk : Approve", "Medium Risk : Review")))</f>
        <v>Medium Risk : Review</v>
      </c>
      <c r="AA1004" s="5" t="str">
        <f t="shared" si="207"/>
        <v>Medium</v>
      </c>
    </row>
    <row r="1005" spans="1:27" x14ac:dyDescent="0.2">
      <c r="A1005">
        <v>25456</v>
      </c>
      <c r="B1005">
        <v>63</v>
      </c>
      <c r="C1005">
        <f t="shared" si="195"/>
        <v>63</v>
      </c>
      <c r="D1005" t="s">
        <v>23</v>
      </c>
      <c r="E1005" t="str">
        <f t="shared" si="196"/>
        <v>Self-Employed</v>
      </c>
      <c r="F1005">
        <v>4291.6899999999996</v>
      </c>
      <c r="G1005">
        <f>ABS(Table1[[#This Row],[Monthly_Income]])</f>
        <v>4291.6899999999996</v>
      </c>
      <c r="H1005">
        <v>9132.1299999999992</v>
      </c>
      <c r="I1005" s="5">
        <f t="shared" si="197"/>
        <v>9132.1299999999992</v>
      </c>
      <c r="J1005">
        <v>12</v>
      </c>
      <c r="K1005">
        <v>21.16</v>
      </c>
      <c r="L1005">
        <v>1</v>
      </c>
      <c r="M1005">
        <f t="shared" si="198"/>
        <v>1</v>
      </c>
      <c r="N1005">
        <v>9</v>
      </c>
      <c r="O1005">
        <f t="shared" si="199"/>
        <v>9</v>
      </c>
      <c r="P1005">
        <v>0</v>
      </c>
      <c r="Q1005">
        <f t="shared" si="200"/>
        <v>0</v>
      </c>
      <c r="R1005" t="s">
        <v>18</v>
      </c>
      <c r="S1005" t="str">
        <f t="shared" si="201"/>
        <v>Non-Performing</v>
      </c>
      <c r="T1005" t="s">
        <v>19</v>
      </c>
      <c r="U1005" s="3">
        <f t="shared" si="202"/>
        <v>0.17732194854086228</v>
      </c>
      <c r="V1005" t="str">
        <f t="shared" si="203"/>
        <v>Healthy</v>
      </c>
      <c r="W1005" t="str">
        <f t="shared" si="204"/>
        <v>Good</v>
      </c>
      <c r="X1005" s="5" t="str">
        <f t="shared" si="205"/>
        <v>Small</v>
      </c>
      <c r="Y1005" s="5" t="str">
        <f t="shared" si="206"/>
        <v>Medium</v>
      </c>
      <c r="Z1005" s="5" t="str">
        <f>IF(B1005=120,"NULL",IF(AND(V1005="High Stress", W1005="High Risk", Y1005="Low"),"High Risk : Reject", IF(AND(V1005="Healthy", W1005="Good",Y1005&lt;&gt;"Low"), "Low Risk : Approve", "Medium Risk : Review")))</f>
        <v>Low Risk : Approve</v>
      </c>
      <c r="AA1005" s="5" t="str">
        <f t="shared" si="207"/>
        <v>Medium</v>
      </c>
    </row>
    <row r="1006" spans="1:27" x14ac:dyDescent="0.2">
      <c r="A1006">
        <v>25737</v>
      </c>
      <c r="B1006">
        <v>39</v>
      </c>
      <c r="C1006">
        <f t="shared" si="195"/>
        <v>39</v>
      </c>
      <c r="D1006" t="s">
        <v>17</v>
      </c>
      <c r="E1006" t="str">
        <f t="shared" si="196"/>
        <v>Contract</v>
      </c>
      <c r="F1006">
        <v>8007.56</v>
      </c>
      <c r="G1006">
        <f>ABS(Table1[[#This Row],[Monthly_Income]])</f>
        <v>8007.56</v>
      </c>
      <c r="H1006">
        <v>26029.25</v>
      </c>
      <c r="I1006" s="5">
        <f t="shared" si="197"/>
        <v>26029.25</v>
      </c>
      <c r="J1006">
        <v>12</v>
      </c>
      <c r="K1006">
        <v>23.03</v>
      </c>
      <c r="L1006">
        <v>4</v>
      </c>
      <c r="M1006">
        <f t="shared" si="198"/>
        <v>4</v>
      </c>
      <c r="N1006">
        <v>8.3000000000000007</v>
      </c>
      <c r="O1006">
        <f t="shared" si="199"/>
        <v>8.3000000000000007</v>
      </c>
      <c r="P1006">
        <v>60</v>
      </c>
      <c r="Q1006">
        <f t="shared" si="200"/>
        <v>60</v>
      </c>
      <c r="R1006" t="s">
        <v>13</v>
      </c>
      <c r="S1006" t="str">
        <f t="shared" si="201"/>
        <v>Performing</v>
      </c>
      <c r="T1006" t="s">
        <v>19</v>
      </c>
      <c r="U1006" s="3">
        <f t="shared" si="202"/>
        <v>0.27088203730807719</v>
      </c>
      <c r="V1006" t="str">
        <f t="shared" si="203"/>
        <v>Healthy</v>
      </c>
      <c r="W1006" t="str">
        <f t="shared" si="204"/>
        <v>High Risk</v>
      </c>
      <c r="X1006" s="5" t="str">
        <f t="shared" si="205"/>
        <v>Medium</v>
      </c>
      <c r="Y1006" s="5" t="str">
        <f t="shared" si="206"/>
        <v>Low</v>
      </c>
      <c r="Z1006" s="5" t="str">
        <f>IF(B1006=120,"NULL",IF(AND(V1006="High Stress", W1006="High Risk", Y1006="Low"),"High Risk : Reject", IF(AND(V1006="Healthy", W1006="Good",Y1006&lt;&gt;"Low"), "Low Risk : Approve", "Medium Risk : Review")))</f>
        <v>Medium Risk : Review</v>
      </c>
      <c r="AA1006" s="5" t="str">
        <f t="shared" si="207"/>
        <v>High</v>
      </c>
    </row>
    <row r="1007" spans="1:27" x14ac:dyDescent="0.2">
      <c r="A1007">
        <v>23995</v>
      </c>
      <c r="B1007">
        <v>30</v>
      </c>
      <c r="C1007">
        <f t="shared" si="195"/>
        <v>30</v>
      </c>
      <c r="D1007" t="s">
        <v>12</v>
      </c>
      <c r="E1007" t="str">
        <f t="shared" si="196"/>
        <v>Self-Employed</v>
      </c>
      <c r="F1007">
        <v>4960.6499999999996</v>
      </c>
      <c r="G1007">
        <f>ABS(Table1[[#This Row],[Monthly_Income]])</f>
        <v>4960.6499999999996</v>
      </c>
      <c r="H1007">
        <v>15771.32</v>
      </c>
      <c r="I1007" s="5">
        <f t="shared" si="197"/>
        <v>15771.32</v>
      </c>
      <c r="J1007">
        <v>36</v>
      </c>
      <c r="K1007">
        <v>10.039999999999999</v>
      </c>
      <c r="L1007">
        <v>1</v>
      </c>
      <c r="M1007">
        <f t="shared" si="198"/>
        <v>1</v>
      </c>
      <c r="N1007">
        <v>-0.6</v>
      </c>
      <c r="O1007">
        <f t="shared" si="199"/>
        <v>0.6</v>
      </c>
      <c r="Q1007" t="str">
        <f t="shared" si="200"/>
        <v>NULL</v>
      </c>
      <c r="R1007" t="s">
        <v>18</v>
      </c>
      <c r="S1007" t="str">
        <f t="shared" si="201"/>
        <v>Non-Performing</v>
      </c>
      <c r="T1007" t="s">
        <v>22</v>
      </c>
      <c r="U1007" s="3">
        <f t="shared" si="202"/>
        <v>8.8313471464872992E-2</v>
      </c>
      <c r="V1007" t="str">
        <f t="shared" si="203"/>
        <v>Healthy</v>
      </c>
      <c r="W1007" t="str">
        <f t="shared" si="204"/>
        <v>NULL</v>
      </c>
      <c r="X1007" s="5" t="str">
        <f t="shared" si="205"/>
        <v>Medium</v>
      </c>
      <c r="Y1007" s="5" t="str">
        <f t="shared" si="206"/>
        <v>Medium</v>
      </c>
      <c r="Z1007" s="5" t="str">
        <f>IF(B1007=120,"NULL",IF(AND(V1007="High Stress", W1007="High Risk", Y1007="Low"),"High Risk : Reject", IF(AND(V1007="Healthy", W1007="Good",Y1007&lt;&gt;"Low"), "Low Risk : Approve", "Medium Risk : Review")))</f>
        <v>Medium Risk : Review</v>
      </c>
      <c r="AA1007" s="5" t="str">
        <f t="shared" si="207"/>
        <v>Medium</v>
      </c>
    </row>
    <row r="1008" spans="1:27" x14ac:dyDescent="0.2">
      <c r="A1008">
        <v>24606</v>
      </c>
      <c r="B1008">
        <v>39</v>
      </c>
      <c r="C1008">
        <f t="shared" si="195"/>
        <v>39</v>
      </c>
      <c r="D1008" t="s">
        <v>21</v>
      </c>
      <c r="E1008" t="str">
        <f t="shared" si="196"/>
        <v>Salaried</v>
      </c>
      <c r="F1008">
        <v>5946.79</v>
      </c>
      <c r="G1008">
        <f>ABS(Table1[[#This Row],[Monthly_Income]])</f>
        <v>5946.79</v>
      </c>
      <c r="H1008">
        <v>32497.58</v>
      </c>
      <c r="I1008" s="5">
        <f t="shared" si="197"/>
        <v>32497.58</v>
      </c>
      <c r="J1008">
        <v>24</v>
      </c>
      <c r="K1008">
        <v>14.62</v>
      </c>
      <c r="L1008">
        <v>3</v>
      </c>
      <c r="M1008">
        <f t="shared" si="198"/>
        <v>3</v>
      </c>
      <c r="N1008">
        <v>4.5</v>
      </c>
      <c r="O1008">
        <f t="shared" si="199"/>
        <v>4.5</v>
      </c>
      <c r="Q1008" t="str">
        <f t="shared" si="200"/>
        <v>NULL</v>
      </c>
      <c r="R1008" t="s">
        <v>18</v>
      </c>
      <c r="S1008" t="str">
        <f t="shared" si="201"/>
        <v>Non-Performing</v>
      </c>
      <c r="T1008" t="s">
        <v>22</v>
      </c>
      <c r="U1008" s="3">
        <f t="shared" si="202"/>
        <v>0.2276969311735127</v>
      </c>
      <c r="V1008" t="str">
        <f t="shared" si="203"/>
        <v>Healthy</v>
      </c>
      <c r="W1008" t="str">
        <f t="shared" si="204"/>
        <v>NULL</v>
      </c>
      <c r="X1008" s="5" t="str">
        <f t="shared" si="205"/>
        <v>High</v>
      </c>
      <c r="Y1008" s="5" t="str">
        <f t="shared" si="206"/>
        <v>High</v>
      </c>
      <c r="Z1008" s="5" t="str">
        <f>IF(B1008=120,"NULL",IF(AND(V1008="High Stress", W1008="High Risk", Y1008="Low"),"High Risk : Reject", IF(AND(V1008="Healthy", W1008="Good",Y1008&lt;&gt;"Low"), "Low Risk : Approve", "Medium Risk : Review")))</f>
        <v>Medium Risk : Review</v>
      </c>
      <c r="AA1008" s="5" t="str">
        <f t="shared" si="207"/>
        <v>Medium</v>
      </c>
    </row>
    <row r="1009" spans="1:27" x14ac:dyDescent="0.2">
      <c r="A1009">
        <v>24762</v>
      </c>
      <c r="B1009">
        <v>21</v>
      </c>
      <c r="C1009">
        <f t="shared" si="195"/>
        <v>21</v>
      </c>
      <c r="D1009" t="s">
        <v>26</v>
      </c>
      <c r="E1009" t="str">
        <f t="shared" si="196"/>
        <v>Salaried</v>
      </c>
      <c r="F1009">
        <v>5271.53</v>
      </c>
      <c r="G1009">
        <f>ABS(Table1[[#This Row],[Monthly_Income]])</f>
        <v>5271.53</v>
      </c>
      <c r="H1009">
        <v>8436.74</v>
      </c>
      <c r="I1009" s="5">
        <f t="shared" si="197"/>
        <v>8436.74</v>
      </c>
      <c r="J1009">
        <v>48</v>
      </c>
      <c r="K1009">
        <v>18.54</v>
      </c>
      <c r="L1009">
        <v>2</v>
      </c>
      <c r="M1009">
        <f t="shared" si="198"/>
        <v>2</v>
      </c>
      <c r="N1009">
        <v>3.9</v>
      </c>
      <c r="O1009">
        <f t="shared" si="199"/>
        <v>3.9</v>
      </c>
      <c r="P1009">
        <v>60</v>
      </c>
      <c r="Q1009">
        <f t="shared" si="200"/>
        <v>60</v>
      </c>
      <c r="R1009" t="s">
        <v>18</v>
      </c>
      <c r="S1009" t="str">
        <f t="shared" si="201"/>
        <v>Non-Performing</v>
      </c>
      <c r="T1009" t="s">
        <v>25</v>
      </c>
      <c r="U1009" s="3">
        <f t="shared" si="202"/>
        <v>3.3342391424627513E-2</v>
      </c>
      <c r="V1009" t="str">
        <f t="shared" si="203"/>
        <v>Healthy</v>
      </c>
      <c r="W1009" t="str">
        <f t="shared" si="204"/>
        <v>High Risk</v>
      </c>
      <c r="X1009" s="5" t="str">
        <f t="shared" si="205"/>
        <v>Small</v>
      </c>
      <c r="Y1009" s="5" t="str">
        <f t="shared" si="206"/>
        <v>High</v>
      </c>
      <c r="Z1009" s="5" t="str">
        <f>IF(B1009=120,"NULL",IF(AND(V1009="High Stress", W1009="High Risk", Y1009="Low"),"High Risk : Reject", IF(AND(V1009="Healthy", W1009="Good",Y1009&lt;&gt;"Low"), "Low Risk : Approve", "Medium Risk : Review")))</f>
        <v>Medium Risk : Review</v>
      </c>
      <c r="AA1009" s="5" t="str">
        <f t="shared" si="207"/>
        <v>Medium</v>
      </c>
    </row>
    <row r="1010" spans="1:27" x14ac:dyDescent="0.2">
      <c r="A1010">
        <v>22525</v>
      </c>
      <c r="B1010">
        <v>52</v>
      </c>
      <c r="C1010">
        <f t="shared" si="195"/>
        <v>52</v>
      </c>
      <c r="D1010" t="s">
        <v>17</v>
      </c>
      <c r="E1010" t="str">
        <f t="shared" si="196"/>
        <v>Contract</v>
      </c>
      <c r="F1010">
        <v>6485.1</v>
      </c>
      <c r="G1010">
        <f>ABS(Table1[[#This Row],[Monthly_Income]])</f>
        <v>6485.1</v>
      </c>
      <c r="H1010">
        <v>21070.39</v>
      </c>
      <c r="I1010" s="5">
        <f t="shared" si="197"/>
        <v>21070.39</v>
      </c>
      <c r="J1010">
        <v>60</v>
      </c>
      <c r="K1010">
        <v>28.52</v>
      </c>
      <c r="L1010">
        <v>4</v>
      </c>
      <c r="M1010">
        <f t="shared" si="198"/>
        <v>4</v>
      </c>
      <c r="N1010">
        <v>11.7</v>
      </c>
      <c r="O1010">
        <f t="shared" si="199"/>
        <v>11.7</v>
      </c>
      <c r="P1010">
        <v>30</v>
      </c>
      <c r="Q1010">
        <f t="shared" si="200"/>
        <v>30</v>
      </c>
      <c r="R1010" t="s">
        <v>18</v>
      </c>
      <c r="S1010" t="str">
        <f t="shared" si="201"/>
        <v>Non-Performing</v>
      </c>
      <c r="T1010" t="s">
        <v>14</v>
      </c>
      <c r="U1010" s="3">
        <f t="shared" si="202"/>
        <v>5.415077125513356E-2</v>
      </c>
      <c r="V1010" t="str">
        <f t="shared" si="203"/>
        <v>Healthy</v>
      </c>
      <c r="W1010" t="str">
        <f t="shared" si="204"/>
        <v>At Risk</v>
      </c>
      <c r="X1010" s="5" t="str">
        <f t="shared" si="205"/>
        <v>Medium</v>
      </c>
      <c r="Y1010" s="5" t="str">
        <f t="shared" si="206"/>
        <v>Low</v>
      </c>
      <c r="Z1010" s="5" t="str">
        <f>IF(B1010=120,"NULL",IF(AND(V1010="High Stress", W1010="High Risk", Y1010="Low"),"High Risk : Reject", IF(AND(V1010="Healthy", W1010="Good",Y1010&lt;&gt;"Low"), "Low Risk : Approve", "Medium Risk : Review")))</f>
        <v>Medium Risk : Review</v>
      </c>
      <c r="AA1010" s="5" t="str">
        <f t="shared" si="207"/>
        <v>Medium</v>
      </c>
    </row>
    <row r="1011" spans="1:27" x14ac:dyDescent="0.2">
      <c r="A1011">
        <v>20674</v>
      </c>
      <c r="B1011">
        <v>54</v>
      </c>
      <c r="C1011">
        <f t="shared" si="195"/>
        <v>54</v>
      </c>
      <c r="D1011" t="s">
        <v>26</v>
      </c>
      <c r="E1011" t="str">
        <f t="shared" si="196"/>
        <v>Salaried</v>
      </c>
      <c r="F1011">
        <v>5145.01</v>
      </c>
      <c r="G1011">
        <f>ABS(Table1[[#This Row],[Monthly_Income]])</f>
        <v>5145.01</v>
      </c>
      <c r="H1011">
        <v>30290.1</v>
      </c>
      <c r="I1011" s="5">
        <f t="shared" si="197"/>
        <v>30290.1</v>
      </c>
      <c r="J1011">
        <v>18</v>
      </c>
      <c r="K1011">
        <v>16.760000000000002</v>
      </c>
      <c r="L1011">
        <v>4</v>
      </c>
      <c r="M1011">
        <f t="shared" si="198"/>
        <v>4</v>
      </c>
      <c r="N1011">
        <v>10.7</v>
      </c>
      <c r="O1011">
        <f t="shared" si="199"/>
        <v>10.7</v>
      </c>
      <c r="P1011">
        <v>15</v>
      </c>
      <c r="Q1011">
        <f t="shared" si="200"/>
        <v>15</v>
      </c>
      <c r="R1011" t="s">
        <v>20</v>
      </c>
      <c r="S1011" t="str">
        <f t="shared" si="201"/>
        <v>Written Off</v>
      </c>
      <c r="T1011" t="s">
        <v>25</v>
      </c>
      <c r="U1011" s="3">
        <f t="shared" si="202"/>
        <v>0.32707095483455484</v>
      </c>
      <c r="V1011" t="str">
        <f t="shared" si="203"/>
        <v>Stretched</v>
      </c>
      <c r="W1011" t="str">
        <f t="shared" si="204"/>
        <v>Good</v>
      </c>
      <c r="X1011" s="5" t="str">
        <f t="shared" si="205"/>
        <v>High</v>
      </c>
      <c r="Y1011" s="5" t="str">
        <f t="shared" si="206"/>
        <v>High</v>
      </c>
      <c r="Z1011" s="5" t="str">
        <f>IF(B1011=120,"NULL",IF(AND(V1011="High Stress", W1011="High Risk", Y1011="Low"),"High Risk : Reject", IF(AND(V1011="Healthy", W1011="Good",Y1011&lt;&gt;"Low"), "Low Risk : Approve", "Medium Risk : Review")))</f>
        <v>Medium Risk : Review</v>
      </c>
      <c r="AA1011" s="5" t="str">
        <f t="shared" si="207"/>
        <v>Medium</v>
      </c>
    </row>
    <row r="1012" spans="1:27" x14ac:dyDescent="0.2">
      <c r="A1012">
        <v>20108</v>
      </c>
      <c r="B1012">
        <v>62</v>
      </c>
      <c r="C1012">
        <f t="shared" si="195"/>
        <v>62</v>
      </c>
      <c r="D1012" t="s">
        <v>26</v>
      </c>
      <c r="E1012" t="str">
        <f t="shared" si="196"/>
        <v>Salaried</v>
      </c>
      <c r="F1012">
        <v>8970.64</v>
      </c>
      <c r="G1012">
        <f>ABS(Table1[[#This Row],[Monthly_Income]])</f>
        <v>8970.64</v>
      </c>
      <c r="H1012">
        <v>15681.58</v>
      </c>
      <c r="I1012" s="5">
        <f t="shared" si="197"/>
        <v>15681.58</v>
      </c>
      <c r="J1012">
        <v>60</v>
      </c>
      <c r="K1012">
        <v>18</v>
      </c>
      <c r="L1012">
        <v>1</v>
      </c>
      <c r="M1012">
        <f t="shared" si="198"/>
        <v>1</v>
      </c>
      <c r="N1012">
        <v>14.3</v>
      </c>
      <c r="O1012">
        <f t="shared" si="199"/>
        <v>14.3</v>
      </c>
      <c r="Q1012" t="str">
        <f t="shared" si="200"/>
        <v>NULL</v>
      </c>
      <c r="R1012" t="s">
        <v>15</v>
      </c>
      <c r="S1012" t="str">
        <f t="shared" si="201"/>
        <v xml:space="preserve">Performing </v>
      </c>
      <c r="T1012" t="s">
        <v>14</v>
      </c>
      <c r="U1012" s="3">
        <f t="shared" si="202"/>
        <v>2.9135007832960268E-2</v>
      </c>
      <c r="V1012" t="str">
        <f t="shared" si="203"/>
        <v>Healthy</v>
      </c>
      <c r="W1012" t="str">
        <f t="shared" si="204"/>
        <v>NULL</v>
      </c>
      <c r="X1012" s="5" t="str">
        <f t="shared" si="205"/>
        <v>Medium</v>
      </c>
      <c r="Y1012" s="5" t="str">
        <f t="shared" si="206"/>
        <v>High</v>
      </c>
      <c r="Z1012" s="5" t="str">
        <f>IF(B1012=120,"NULL",IF(AND(V1012="High Stress", W1012="High Risk", Y1012="Low"),"High Risk : Reject", IF(AND(V1012="Healthy", W1012="Good",Y1012&lt;&gt;"Low"), "Low Risk : Approve", "Medium Risk : Review")))</f>
        <v>Medium Risk : Review</v>
      </c>
      <c r="AA1012" s="5" t="str">
        <f t="shared" si="207"/>
        <v>High</v>
      </c>
    </row>
    <row r="1013" spans="1:27" x14ac:dyDescent="0.2">
      <c r="A1013">
        <v>22880</v>
      </c>
      <c r="B1013">
        <v>35</v>
      </c>
      <c r="C1013">
        <f t="shared" si="195"/>
        <v>35</v>
      </c>
      <c r="D1013" t="s">
        <v>27</v>
      </c>
      <c r="E1013" t="str">
        <f t="shared" si="196"/>
        <v>Unemployed</v>
      </c>
      <c r="F1013">
        <v>2495.63</v>
      </c>
      <c r="G1013">
        <f>ABS(Table1[[#This Row],[Monthly_Income]])</f>
        <v>2495.63</v>
      </c>
      <c r="H1013">
        <v>18751.82</v>
      </c>
      <c r="I1013" s="5">
        <f t="shared" si="197"/>
        <v>18751.82</v>
      </c>
      <c r="J1013">
        <v>60</v>
      </c>
      <c r="K1013">
        <v>19.95</v>
      </c>
      <c r="L1013">
        <v>3</v>
      </c>
      <c r="M1013">
        <f t="shared" si="198"/>
        <v>3</v>
      </c>
      <c r="N1013">
        <v>3.5</v>
      </c>
      <c r="O1013">
        <f t="shared" si="199"/>
        <v>3.5</v>
      </c>
      <c r="P1013">
        <v>0</v>
      </c>
      <c r="Q1013">
        <f t="shared" si="200"/>
        <v>0</v>
      </c>
      <c r="R1013" t="s">
        <v>20</v>
      </c>
      <c r="S1013" t="str">
        <f t="shared" si="201"/>
        <v>Written Off</v>
      </c>
      <c r="T1013" t="s">
        <v>14</v>
      </c>
      <c r="U1013" s="3">
        <f t="shared" si="202"/>
        <v>0.12523103718633502</v>
      </c>
      <c r="V1013" t="str">
        <f t="shared" si="203"/>
        <v>Healthy</v>
      </c>
      <c r="W1013" t="str">
        <f t="shared" si="204"/>
        <v>Good</v>
      </c>
      <c r="X1013" s="5" t="str">
        <f t="shared" si="205"/>
        <v>Medium</v>
      </c>
      <c r="Y1013" s="5" t="str">
        <f t="shared" si="206"/>
        <v>Low</v>
      </c>
      <c r="Z1013" s="5" t="str">
        <f>IF(B1013=120,"NULL",IF(AND(V1013="High Stress", W1013="High Risk", Y1013="Low"),"High Risk : Reject", IF(AND(V1013="Healthy", W1013="Good",Y1013&lt;&gt;"Low"), "Low Risk : Approve", "Medium Risk : Review")))</f>
        <v>Medium Risk : Review</v>
      </c>
      <c r="AA1013" s="5" t="str">
        <f t="shared" si="207"/>
        <v>Medium</v>
      </c>
    </row>
    <row r="1014" spans="1:27" x14ac:dyDescent="0.2">
      <c r="A1014">
        <v>21879</v>
      </c>
      <c r="B1014">
        <v>62</v>
      </c>
      <c r="C1014">
        <f t="shared" si="195"/>
        <v>62</v>
      </c>
      <c r="D1014" t="s">
        <v>12</v>
      </c>
      <c r="E1014" t="str">
        <f t="shared" si="196"/>
        <v>Self-Employed</v>
      </c>
      <c r="F1014">
        <v>3570.59</v>
      </c>
      <c r="G1014">
        <f>ABS(Table1[[#This Row],[Monthly_Income]])</f>
        <v>3570.59</v>
      </c>
      <c r="H1014">
        <v>31904.23</v>
      </c>
      <c r="I1014" s="5">
        <f t="shared" si="197"/>
        <v>31904.23</v>
      </c>
      <c r="J1014">
        <v>24</v>
      </c>
      <c r="K1014">
        <v>12.65</v>
      </c>
      <c r="L1014">
        <v>2</v>
      </c>
      <c r="M1014">
        <f t="shared" si="198"/>
        <v>2</v>
      </c>
      <c r="N1014">
        <v>4</v>
      </c>
      <c r="O1014">
        <f t="shared" si="199"/>
        <v>4</v>
      </c>
      <c r="Q1014" t="str">
        <f t="shared" si="200"/>
        <v>NULL</v>
      </c>
      <c r="R1014" t="s">
        <v>20</v>
      </c>
      <c r="S1014" t="str">
        <f t="shared" si="201"/>
        <v>Written Off</v>
      </c>
      <c r="T1014" t="s">
        <v>16</v>
      </c>
      <c r="U1014" s="3">
        <f t="shared" si="202"/>
        <v>0.37230343351285544</v>
      </c>
      <c r="V1014" t="str">
        <f t="shared" si="203"/>
        <v>Stretched</v>
      </c>
      <c r="W1014" t="str">
        <f t="shared" si="204"/>
        <v>NULL</v>
      </c>
      <c r="X1014" s="5" t="str">
        <f t="shared" si="205"/>
        <v>High</v>
      </c>
      <c r="Y1014" s="5" t="str">
        <f t="shared" si="206"/>
        <v>Medium</v>
      </c>
      <c r="Z1014" s="5" t="str">
        <f>IF(B1014=120,"NULL",IF(AND(V1014="High Stress", W1014="High Risk", Y1014="Low"),"High Risk : Reject", IF(AND(V1014="Healthy", W1014="Good",Y1014&lt;&gt;"Low"), "Low Risk : Approve", "Medium Risk : Review")))</f>
        <v>Medium Risk : Review</v>
      </c>
      <c r="AA1014" s="5" t="str">
        <f t="shared" si="207"/>
        <v>Medium</v>
      </c>
    </row>
    <row r="1015" spans="1:27" x14ac:dyDescent="0.2">
      <c r="A1015">
        <v>21050</v>
      </c>
      <c r="B1015">
        <v>26</v>
      </c>
      <c r="C1015">
        <f t="shared" si="195"/>
        <v>26</v>
      </c>
      <c r="D1015" t="s">
        <v>26</v>
      </c>
      <c r="E1015" t="str">
        <f t="shared" si="196"/>
        <v>Salaried</v>
      </c>
      <c r="F1015">
        <v>7493.35</v>
      </c>
      <c r="G1015">
        <f>ABS(Table1[[#This Row],[Monthly_Income]])</f>
        <v>7493.35</v>
      </c>
      <c r="H1015">
        <v>9405.7199999999993</v>
      </c>
      <c r="I1015" s="5">
        <f t="shared" si="197"/>
        <v>9405.7199999999993</v>
      </c>
      <c r="J1015">
        <v>48</v>
      </c>
      <c r="K1015">
        <v>17.989999999999998</v>
      </c>
      <c r="L1015">
        <v>3</v>
      </c>
      <c r="M1015">
        <f t="shared" si="198"/>
        <v>3</v>
      </c>
      <c r="N1015">
        <v>8.1999999999999993</v>
      </c>
      <c r="O1015">
        <f t="shared" si="199"/>
        <v>8.1999999999999993</v>
      </c>
      <c r="P1015">
        <v>120</v>
      </c>
      <c r="Q1015">
        <f t="shared" si="200"/>
        <v>120</v>
      </c>
      <c r="R1015" t="s">
        <v>15</v>
      </c>
      <c r="S1015" t="str">
        <f t="shared" si="201"/>
        <v xml:space="preserve">Performing </v>
      </c>
      <c r="T1015" t="s">
        <v>25</v>
      </c>
      <c r="U1015" s="3">
        <f t="shared" si="202"/>
        <v>2.6150186498695504E-2</v>
      </c>
      <c r="V1015" t="str">
        <f t="shared" si="203"/>
        <v>Healthy</v>
      </c>
      <c r="W1015" t="str">
        <f t="shared" si="204"/>
        <v>High Risk</v>
      </c>
      <c r="X1015" s="5" t="str">
        <f t="shared" si="205"/>
        <v>Small</v>
      </c>
      <c r="Y1015" s="5" t="str">
        <f t="shared" si="206"/>
        <v>High</v>
      </c>
      <c r="Z1015" s="5" t="str">
        <f>IF(B1015=120,"NULL",IF(AND(V1015="High Stress", W1015="High Risk", Y1015="Low"),"High Risk : Reject", IF(AND(V1015="Healthy", W1015="Good",Y1015&lt;&gt;"Low"), "Low Risk : Approve", "Medium Risk : Review")))</f>
        <v>Medium Risk : Review</v>
      </c>
      <c r="AA1015" s="5" t="str">
        <f t="shared" si="207"/>
        <v>Medium</v>
      </c>
    </row>
    <row r="1016" spans="1:27" x14ac:dyDescent="0.2">
      <c r="A1016">
        <v>20810</v>
      </c>
      <c r="B1016">
        <v>33</v>
      </c>
      <c r="C1016">
        <f t="shared" si="195"/>
        <v>33</v>
      </c>
      <c r="D1016" t="s">
        <v>23</v>
      </c>
      <c r="E1016" t="str">
        <f t="shared" si="196"/>
        <v>Self-Employed</v>
      </c>
      <c r="F1016">
        <v>1915.53</v>
      </c>
      <c r="G1016">
        <f>ABS(Table1[[#This Row],[Monthly_Income]])</f>
        <v>1915.53</v>
      </c>
      <c r="H1016">
        <v>13276.9</v>
      </c>
      <c r="I1016" s="5">
        <f t="shared" si="197"/>
        <v>13276.9</v>
      </c>
      <c r="J1016">
        <v>36</v>
      </c>
      <c r="K1016">
        <v>15.75</v>
      </c>
      <c r="L1016">
        <v>3</v>
      </c>
      <c r="M1016">
        <f t="shared" si="198"/>
        <v>3</v>
      </c>
      <c r="N1016">
        <v>12.8</v>
      </c>
      <c r="O1016">
        <f t="shared" si="199"/>
        <v>12.8</v>
      </c>
      <c r="P1016">
        <v>0</v>
      </c>
      <c r="Q1016">
        <f t="shared" si="200"/>
        <v>0</v>
      </c>
      <c r="R1016" t="s">
        <v>13</v>
      </c>
      <c r="S1016" t="str">
        <f t="shared" si="201"/>
        <v>Performing</v>
      </c>
      <c r="T1016" t="s">
        <v>14</v>
      </c>
      <c r="U1016" s="3">
        <f t="shared" si="202"/>
        <v>0.19253302103218314</v>
      </c>
      <c r="V1016" t="str">
        <f t="shared" si="203"/>
        <v>Healthy</v>
      </c>
      <c r="W1016" t="str">
        <f t="shared" si="204"/>
        <v>Good</v>
      </c>
      <c r="X1016" s="5" t="str">
        <f t="shared" si="205"/>
        <v>Medium</v>
      </c>
      <c r="Y1016" s="5" t="str">
        <f t="shared" si="206"/>
        <v>Medium</v>
      </c>
      <c r="Z1016" s="5" t="str">
        <f>IF(B1016=120,"NULL",IF(AND(V1016="High Stress", W1016="High Risk", Y1016="Low"),"High Risk : Reject", IF(AND(V1016="Healthy", W1016="Good",Y1016&lt;&gt;"Low"), "Low Risk : Approve", "Medium Risk : Review")))</f>
        <v>Low Risk : Approve</v>
      </c>
      <c r="AA1016" s="5" t="str">
        <f t="shared" si="207"/>
        <v>Low</v>
      </c>
    </row>
    <row r="1017" spans="1:27" x14ac:dyDescent="0.2">
      <c r="A1017">
        <v>21260</v>
      </c>
      <c r="B1017">
        <v>31</v>
      </c>
      <c r="C1017">
        <f t="shared" si="195"/>
        <v>31</v>
      </c>
      <c r="D1017" t="s">
        <v>26</v>
      </c>
      <c r="E1017" t="str">
        <f t="shared" si="196"/>
        <v>Salaried</v>
      </c>
      <c r="F1017">
        <v>2856</v>
      </c>
      <c r="G1017">
        <f>ABS(Table1[[#This Row],[Monthly_Income]])</f>
        <v>2856</v>
      </c>
      <c r="H1017">
        <v>21230.62</v>
      </c>
      <c r="I1017" s="5">
        <f t="shared" si="197"/>
        <v>21230.62</v>
      </c>
      <c r="J1017">
        <v>12</v>
      </c>
      <c r="K1017">
        <v>8.8699999999999992</v>
      </c>
      <c r="M1017" t="str">
        <f t="shared" si="198"/>
        <v>NULL</v>
      </c>
      <c r="N1017">
        <v>8.6999999999999993</v>
      </c>
      <c r="O1017">
        <f t="shared" si="199"/>
        <v>8.6999999999999993</v>
      </c>
      <c r="P1017">
        <v>0</v>
      </c>
      <c r="Q1017">
        <f t="shared" si="200"/>
        <v>0</v>
      </c>
      <c r="R1017" t="s">
        <v>24</v>
      </c>
      <c r="S1017" t="str">
        <f t="shared" si="201"/>
        <v>Non-Performing</v>
      </c>
      <c r="T1017" t="s">
        <v>19</v>
      </c>
      <c r="U1017" s="3">
        <f t="shared" si="202"/>
        <v>0.61947420634920636</v>
      </c>
      <c r="V1017" t="str">
        <f t="shared" si="203"/>
        <v>High Stress</v>
      </c>
      <c r="W1017" t="str">
        <f t="shared" si="204"/>
        <v>Good</v>
      </c>
      <c r="X1017" s="5" t="str">
        <f t="shared" si="205"/>
        <v>Medium</v>
      </c>
      <c r="Y1017" s="5" t="str">
        <f t="shared" si="206"/>
        <v>High</v>
      </c>
      <c r="Z1017" s="5" t="str">
        <f>IF(B1017=120,"NULL",IF(AND(V1017="High Stress", W1017="High Risk", Y1017="Low"),"High Risk : Reject", IF(AND(V1017="Healthy", W1017="Good",Y1017&lt;&gt;"Low"), "Low Risk : Approve", "Medium Risk : Review")))</f>
        <v>Medium Risk : Review</v>
      </c>
      <c r="AA1017" s="5" t="str">
        <f t="shared" si="207"/>
        <v>Medium</v>
      </c>
    </row>
    <row r="1018" spans="1:27" x14ac:dyDescent="0.2">
      <c r="A1018">
        <v>24488</v>
      </c>
      <c r="B1018">
        <v>49</v>
      </c>
      <c r="C1018">
        <f t="shared" si="195"/>
        <v>49</v>
      </c>
      <c r="D1018" t="s">
        <v>27</v>
      </c>
      <c r="E1018" t="str">
        <f t="shared" si="196"/>
        <v>Unemployed</v>
      </c>
      <c r="F1018">
        <v>1711.34</v>
      </c>
      <c r="G1018">
        <f>ABS(Table1[[#This Row],[Monthly_Income]])</f>
        <v>1711.34</v>
      </c>
      <c r="H1018">
        <v>29420.01</v>
      </c>
      <c r="I1018" s="5">
        <f t="shared" si="197"/>
        <v>29420.01</v>
      </c>
      <c r="J1018">
        <v>36</v>
      </c>
      <c r="K1018">
        <v>7.09</v>
      </c>
      <c r="M1018" t="str">
        <f t="shared" si="198"/>
        <v>NULL</v>
      </c>
      <c r="N1018">
        <v>2.1</v>
      </c>
      <c r="O1018">
        <f t="shared" si="199"/>
        <v>2.1</v>
      </c>
      <c r="P1018">
        <v>90</v>
      </c>
      <c r="Q1018">
        <f t="shared" si="200"/>
        <v>90</v>
      </c>
      <c r="R1018" t="s">
        <v>24</v>
      </c>
      <c r="S1018" t="str">
        <f t="shared" si="201"/>
        <v>Non-Performing</v>
      </c>
      <c r="T1018" t="s">
        <v>25</v>
      </c>
      <c r="U1018" s="3">
        <f t="shared" si="202"/>
        <v>0.47753368705225147</v>
      </c>
      <c r="V1018" t="str">
        <f t="shared" si="203"/>
        <v>High Stress</v>
      </c>
      <c r="W1018" t="str">
        <f t="shared" si="204"/>
        <v>High Risk</v>
      </c>
      <c r="X1018" s="5" t="str">
        <f t="shared" si="205"/>
        <v>Medium</v>
      </c>
      <c r="Y1018" s="5" t="str">
        <f t="shared" si="206"/>
        <v>Low</v>
      </c>
      <c r="Z1018" s="5" t="str">
        <f>IF(B1018=120,"NULL",IF(AND(V1018="High Stress", W1018="High Risk", Y1018="Low"),"High Risk : Reject", IF(AND(V1018="Healthy", W1018="Good",Y1018&lt;&gt;"Low"), "Low Risk : Approve", "Medium Risk : Review")))</f>
        <v>High Risk : Reject</v>
      </c>
      <c r="AA1018" s="5" t="str">
        <f t="shared" si="207"/>
        <v>Low</v>
      </c>
    </row>
    <row r="1019" spans="1:27" x14ac:dyDescent="0.2">
      <c r="A1019">
        <v>21248</v>
      </c>
      <c r="B1019">
        <v>53</v>
      </c>
      <c r="C1019">
        <f t="shared" si="195"/>
        <v>53</v>
      </c>
      <c r="D1019" t="s">
        <v>21</v>
      </c>
      <c r="E1019" t="str">
        <f t="shared" si="196"/>
        <v>Salaried</v>
      </c>
      <c r="F1019">
        <v>5062.5200000000004</v>
      </c>
      <c r="G1019">
        <f>ABS(Table1[[#This Row],[Monthly_Income]])</f>
        <v>5062.5200000000004</v>
      </c>
      <c r="H1019">
        <v>13993.3</v>
      </c>
      <c r="I1019" s="5">
        <f t="shared" si="197"/>
        <v>13993.3</v>
      </c>
      <c r="J1019">
        <v>24</v>
      </c>
      <c r="K1019">
        <v>18.170000000000002</v>
      </c>
      <c r="L1019">
        <v>2</v>
      </c>
      <c r="M1019">
        <f t="shared" si="198"/>
        <v>2</v>
      </c>
      <c r="N1019">
        <v>10</v>
      </c>
      <c r="O1019">
        <f t="shared" si="199"/>
        <v>10</v>
      </c>
      <c r="P1019">
        <v>0</v>
      </c>
      <c r="Q1019">
        <f t="shared" si="200"/>
        <v>0</v>
      </c>
      <c r="R1019" t="s">
        <v>20</v>
      </c>
      <c r="S1019" t="str">
        <f t="shared" si="201"/>
        <v>Written Off</v>
      </c>
      <c r="T1019" t="s">
        <v>19</v>
      </c>
      <c r="U1019" s="3">
        <f t="shared" si="202"/>
        <v>0.11517073842012804</v>
      </c>
      <c r="V1019" t="str">
        <f t="shared" si="203"/>
        <v>Healthy</v>
      </c>
      <c r="W1019" t="str">
        <f t="shared" si="204"/>
        <v>Good</v>
      </c>
      <c r="X1019" s="5" t="str">
        <f t="shared" si="205"/>
        <v>Medium</v>
      </c>
      <c r="Y1019" s="5" t="str">
        <f t="shared" si="206"/>
        <v>High</v>
      </c>
      <c r="Z1019" s="5" t="str">
        <f>IF(B1019=120,"NULL",IF(AND(V1019="High Stress", W1019="High Risk", Y1019="Low"),"High Risk : Reject", IF(AND(V1019="Healthy", W1019="Good",Y1019&lt;&gt;"Low"), "Low Risk : Approve", "Medium Risk : Review")))</f>
        <v>Low Risk : Approve</v>
      </c>
      <c r="AA1019" s="5" t="str">
        <f t="shared" si="207"/>
        <v>Medium</v>
      </c>
    </row>
    <row r="1020" spans="1:27" x14ac:dyDescent="0.2">
      <c r="A1020">
        <v>24158</v>
      </c>
      <c r="B1020">
        <v>26</v>
      </c>
      <c r="C1020">
        <f t="shared" si="195"/>
        <v>26</v>
      </c>
      <c r="D1020" t="s">
        <v>27</v>
      </c>
      <c r="E1020" t="str">
        <f t="shared" si="196"/>
        <v>Unemployed</v>
      </c>
      <c r="F1020">
        <v>5224.3500000000004</v>
      </c>
      <c r="G1020">
        <f>ABS(Table1[[#This Row],[Monthly_Income]])</f>
        <v>5224.3500000000004</v>
      </c>
      <c r="H1020">
        <v>30899.69</v>
      </c>
      <c r="I1020" s="5">
        <f t="shared" si="197"/>
        <v>30899.69</v>
      </c>
      <c r="J1020">
        <v>24</v>
      </c>
      <c r="K1020">
        <v>20.149999999999999</v>
      </c>
      <c r="L1020">
        <v>4</v>
      </c>
      <c r="M1020">
        <f t="shared" si="198"/>
        <v>4</v>
      </c>
      <c r="N1020">
        <v>12.3</v>
      </c>
      <c r="O1020">
        <f t="shared" si="199"/>
        <v>12.3</v>
      </c>
      <c r="P1020">
        <v>0</v>
      </c>
      <c r="Q1020">
        <f t="shared" si="200"/>
        <v>0</v>
      </c>
      <c r="R1020" t="s">
        <v>15</v>
      </c>
      <c r="S1020" t="str">
        <f t="shared" si="201"/>
        <v xml:space="preserve">Performing </v>
      </c>
      <c r="T1020" t="s">
        <v>14</v>
      </c>
      <c r="U1020" s="3">
        <f t="shared" si="202"/>
        <v>0.24643966873071926</v>
      </c>
      <c r="V1020" t="str">
        <f t="shared" si="203"/>
        <v>Healthy</v>
      </c>
      <c r="W1020" t="str">
        <f t="shared" si="204"/>
        <v>Good</v>
      </c>
      <c r="X1020" s="5" t="str">
        <f t="shared" si="205"/>
        <v>High</v>
      </c>
      <c r="Y1020" s="5" t="str">
        <f t="shared" si="206"/>
        <v>Low</v>
      </c>
      <c r="Z1020" s="5" t="str">
        <f>IF(B1020=120,"NULL",IF(AND(V1020="High Stress", W1020="High Risk", Y1020="Low"),"High Risk : Reject", IF(AND(V1020="Healthy", W1020="Good",Y1020&lt;&gt;"Low"), "Low Risk : Approve", "Medium Risk : Review")))</f>
        <v>Medium Risk : Review</v>
      </c>
      <c r="AA1020" s="5" t="str">
        <f t="shared" si="207"/>
        <v>Medium</v>
      </c>
    </row>
    <row r="1021" spans="1:27" x14ac:dyDescent="0.2">
      <c r="A1021">
        <v>22123</v>
      </c>
      <c r="B1021">
        <v>57</v>
      </c>
      <c r="C1021">
        <f t="shared" si="195"/>
        <v>57</v>
      </c>
      <c r="D1021" t="s">
        <v>21</v>
      </c>
      <c r="E1021" t="str">
        <f t="shared" si="196"/>
        <v>Salaried</v>
      </c>
      <c r="F1021">
        <v>2306.5300000000002</v>
      </c>
      <c r="G1021">
        <f>ABS(Table1[[#This Row],[Monthly_Income]])</f>
        <v>2306.5300000000002</v>
      </c>
      <c r="H1021">
        <v>20434.849999999999</v>
      </c>
      <c r="I1021" s="5">
        <f t="shared" si="197"/>
        <v>20434.849999999999</v>
      </c>
      <c r="J1021">
        <v>60</v>
      </c>
      <c r="K1021">
        <v>18.04</v>
      </c>
      <c r="L1021">
        <v>0</v>
      </c>
      <c r="M1021">
        <f t="shared" si="198"/>
        <v>0</v>
      </c>
      <c r="N1021">
        <v>11.9</v>
      </c>
      <c r="O1021">
        <f t="shared" si="199"/>
        <v>11.9</v>
      </c>
      <c r="P1021">
        <v>90</v>
      </c>
      <c r="Q1021">
        <f t="shared" si="200"/>
        <v>90</v>
      </c>
      <c r="R1021" t="s">
        <v>20</v>
      </c>
      <c r="S1021" t="str">
        <f t="shared" si="201"/>
        <v>Written Off</v>
      </c>
      <c r="T1021" t="s">
        <v>16</v>
      </c>
      <c r="U1021" s="3">
        <f t="shared" si="202"/>
        <v>0.14765939889502122</v>
      </c>
      <c r="V1021" t="str">
        <f t="shared" si="203"/>
        <v>Healthy</v>
      </c>
      <c r="W1021" t="str">
        <f t="shared" si="204"/>
        <v>High Risk</v>
      </c>
      <c r="X1021" s="5" t="str">
        <f t="shared" si="205"/>
        <v>Medium</v>
      </c>
      <c r="Y1021" s="5" t="str">
        <f t="shared" si="206"/>
        <v>High</v>
      </c>
      <c r="Z1021" s="5" t="str">
        <f>IF(B1021=120,"NULL",IF(AND(V1021="High Stress", W1021="High Risk", Y1021="Low"),"High Risk : Reject", IF(AND(V1021="Healthy", W1021="Good",Y1021&lt;&gt;"Low"), "Low Risk : Approve", "Medium Risk : Review")))</f>
        <v>Medium Risk : Review</v>
      </c>
      <c r="AA1021" s="5" t="str">
        <f t="shared" si="207"/>
        <v>Medium</v>
      </c>
    </row>
    <row r="1022" spans="1:27" x14ac:dyDescent="0.2">
      <c r="A1022">
        <v>22000</v>
      </c>
      <c r="B1022">
        <v>18</v>
      </c>
      <c r="C1022">
        <f t="shared" si="195"/>
        <v>18</v>
      </c>
      <c r="D1022" t="s">
        <v>17</v>
      </c>
      <c r="E1022" t="str">
        <f t="shared" si="196"/>
        <v>Contract</v>
      </c>
      <c r="F1022">
        <v>2955.65</v>
      </c>
      <c r="G1022">
        <f>ABS(Table1[[#This Row],[Monthly_Income]])</f>
        <v>2955.65</v>
      </c>
      <c r="H1022">
        <v>6649.02</v>
      </c>
      <c r="I1022" s="5">
        <f t="shared" si="197"/>
        <v>6649.02</v>
      </c>
      <c r="J1022">
        <v>24</v>
      </c>
      <c r="K1022">
        <v>14.23</v>
      </c>
      <c r="L1022">
        <v>1</v>
      </c>
      <c r="M1022">
        <f t="shared" si="198"/>
        <v>1</v>
      </c>
      <c r="N1022">
        <v>11.1</v>
      </c>
      <c r="O1022">
        <f t="shared" si="199"/>
        <v>11.1</v>
      </c>
      <c r="P1022">
        <v>15</v>
      </c>
      <c r="Q1022">
        <f t="shared" si="200"/>
        <v>15</v>
      </c>
      <c r="R1022" t="s">
        <v>24</v>
      </c>
      <c r="S1022" t="str">
        <f t="shared" si="201"/>
        <v>Non-Performing</v>
      </c>
      <c r="T1022" t="s">
        <v>25</v>
      </c>
      <c r="U1022" s="3">
        <f t="shared" si="202"/>
        <v>9.3733188977043969E-2</v>
      </c>
      <c r="V1022" t="str">
        <f t="shared" si="203"/>
        <v>Healthy</v>
      </c>
      <c r="W1022" t="str">
        <f t="shared" si="204"/>
        <v>Good</v>
      </c>
      <c r="X1022" s="5" t="str">
        <f t="shared" si="205"/>
        <v>Small</v>
      </c>
      <c r="Y1022" s="5" t="str">
        <f t="shared" si="206"/>
        <v>Low</v>
      </c>
      <c r="Z1022" s="5" t="str">
        <f>IF(B1022=120,"NULL",IF(AND(V1022="High Stress", W1022="High Risk", Y1022="Low"),"High Risk : Reject", IF(AND(V1022="Healthy", W1022="Good",Y1022&lt;&gt;"Low"), "Low Risk : Approve", "Medium Risk : Review")))</f>
        <v>Medium Risk : Review</v>
      </c>
      <c r="AA1022" s="5" t="str">
        <f t="shared" si="207"/>
        <v>Medium</v>
      </c>
    </row>
    <row r="1023" spans="1:27" x14ac:dyDescent="0.2">
      <c r="A1023">
        <v>24667</v>
      </c>
      <c r="B1023">
        <v>49</v>
      </c>
      <c r="C1023">
        <f t="shared" si="195"/>
        <v>49</v>
      </c>
      <c r="D1023" t="s">
        <v>17</v>
      </c>
      <c r="E1023" t="str">
        <f t="shared" si="196"/>
        <v>Contract</v>
      </c>
      <c r="F1023">
        <v>6207.18</v>
      </c>
      <c r="G1023">
        <f>ABS(Table1[[#This Row],[Monthly_Income]])</f>
        <v>6207.18</v>
      </c>
      <c r="H1023">
        <v>4237.07</v>
      </c>
      <c r="I1023" s="5">
        <f t="shared" si="197"/>
        <v>4237.07</v>
      </c>
      <c r="J1023">
        <v>36</v>
      </c>
      <c r="K1023">
        <v>22.85</v>
      </c>
      <c r="L1023">
        <v>3</v>
      </c>
      <c r="M1023">
        <f t="shared" si="198"/>
        <v>3</v>
      </c>
      <c r="N1023">
        <v>3.6</v>
      </c>
      <c r="O1023">
        <f t="shared" si="199"/>
        <v>3.6</v>
      </c>
      <c r="P1023">
        <v>60</v>
      </c>
      <c r="Q1023">
        <f t="shared" si="200"/>
        <v>60</v>
      </c>
      <c r="R1023" t="s">
        <v>24</v>
      </c>
      <c r="S1023" t="str">
        <f t="shared" si="201"/>
        <v>Non-Performing</v>
      </c>
      <c r="T1023" t="s">
        <v>25</v>
      </c>
      <c r="U1023" s="3">
        <f t="shared" si="202"/>
        <v>1.8961330086913683E-2</v>
      </c>
      <c r="V1023" t="str">
        <f t="shared" si="203"/>
        <v>Healthy</v>
      </c>
      <c r="W1023" t="str">
        <f t="shared" si="204"/>
        <v>High Risk</v>
      </c>
      <c r="X1023" s="5" t="str">
        <f t="shared" si="205"/>
        <v>Small</v>
      </c>
      <c r="Y1023" s="5" t="str">
        <f t="shared" si="206"/>
        <v>Low</v>
      </c>
      <c r="Z1023" s="5" t="str">
        <f>IF(B1023=120,"NULL",IF(AND(V1023="High Stress", W1023="High Risk", Y1023="Low"),"High Risk : Reject", IF(AND(V1023="Healthy", W1023="Good",Y1023&lt;&gt;"Low"), "Low Risk : Approve", "Medium Risk : Review")))</f>
        <v>Medium Risk : Review</v>
      </c>
      <c r="AA1023" s="5" t="str">
        <f t="shared" si="207"/>
        <v>Medium</v>
      </c>
    </row>
    <row r="1024" spans="1:27" x14ac:dyDescent="0.2">
      <c r="A1024">
        <v>25872</v>
      </c>
      <c r="B1024">
        <v>54</v>
      </c>
      <c r="C1024">
        <f t="shared" si="195"/>
        <v>54</v>
      </c>
      <c r="D1024" t="s">
        <v>23</v>
      </c>
      <c r="E1024" t="str">
        <f t="shared" si="196"/>
        <v>Self-Employed</v>
      </c>
      <c r="F1024">
        <v>9485.02</v>
      </c>
      <c r="G1024">
        <f>ABS(Table1[[#This Row],[Monthly_Income]])</f>
        <v>9485.02</v>
      </c>
      <c r="H1024">
        <v>31707.79</v>
      </c>
      <c r="I1024" s="5">
        <f t="shared" si="197"/>
        <v>31707.79</v>
      </c>
      <c r="J1024">
        <v>24</v>
      </c>
      <c r="K1024">
        <v>10.84</v>
      </c>
      <c r="L1024">
        <v>0</v>
      </c>
      <c r="M1024">
        <f t="shared" si="198"/>
        <v>0</v>
      </c>
      <c r="N1024">
        <v>7.7</v>
      </c>
      <c r="O1024">
        <f t="shared" si="199"/>
        <v>7.7</v>
      </c>
      <c r="P1024">
        <v>15</v>
      </c>
      <c r="Q1024">
        <f t="shared" si="200"/>
        <v>15</v>
      </c>
      <c r="R1024" t="s">
        <v>18</v>
      </c>
      <c r="S1024" t="str">
        <f t="shared" si="201"/>
        <v>Non-Performing</v>
      </c>
      <c r="T1024" t="s">
        <v>16</v>
      </c>
      <c r="U1024" s="3">
        <f t="shared" si="202"/>
        <v>0.1392888909740482</v>
      </c>
      <c r="V1024" t="str">
        <f t="shared" si="203"/>
        <v>Healthy</v>
      </c>
      <c r="W1024" t="str">
        <f t="shared" si="204"/>
        <v>Good</v>
      </c>
      <c r="X1024" s="5" t="str">
        <f t="shared" si="205"/>
        <v>High</v>
      </c>
      <c r="Y1024" s="5" t="str">
        <f t="shared" si="206"/>
        <v>Medium</v>
      </c>
      <c r="Z1024" s="5" t="str">
        <f>IF(B1024=120,"NULL",IF(AND(V1024="High Stress", W1024="High Risk", Y1024="Low"),"High Risk : Reject", IF(AND(V1024="Healthy", W1024="Good",Y1024&lt;&gt;"Low"), "Low Risk : Approve", "Medium Risk : Review")))</f>
        <v>Low Risk : Approve</v>
      </c>
      <c r="AA1024" s="5" t="str">
        <f t="shared" si="207"/>
        <v>High</v>
      </c>
    </row>
    <row r="1025" spans="1:27" x14ac:dyDescent="0.2">
      <c r="A1025">
        <v>25664</v>
      </c>
      <c r="B1025">
        <v>52</v>
      </c>
      <c r="C1025">
        <f t="shared" si="195"/>
        <v>52</v>
      </c>
      <c r="D1025" t="s">
        <v>12</v>
      </c>
      <c r="E1025" t="str">
        <f t="shared" si="196"/>
        <v>Self-Employed</v>
      </c>
      <c r="F1025">
        <v>6806.32</v>
      </c>
      <c r="G1025">
        <f>ABS(Table1[[#This Row],[Monthly_Income]])</f>
        <v>6806.32</v>
      </c>
      <c r="H1025">
        <v>29692.58</v>
      </c>
      <c r="I1025" s="5">
        <f t="shared" si="197"/>
        <v>29692.58</v>
      </c>
      <c r="J1025">
        <v>18</v>
      </c>
      <c r="K1025">
        <v>19.11</v>
      </c>
      <c r="M1025" t="str">
        <f t="shared" si="198"/>
        <v>NULL</v>
      </c>
      <c r="N1025">
        <v>13.3</v>
      </c>
      <c r="O1025">
        <f t="shared" si="199"/>
        <v>13.3</v>
      </c>
      <c r="P1025">
        <v>15</v>
      </c>
      <c r="Q1025">
        <f t="shared" si="200"/>
        <v>15</v>
      </c>
      <c r="R1025" t="s">
        <v>20</v>
      </c>
      <c r="S1025" t="str">
        <f t="shared" si="201"/>
        <v>Written Off</v>
      </c>
      <c r="T1025" t="s">
        <v>16</v>
      </c>
      <c r="U1025" s="3">
        <f t="shared" si="202"/>
        <v>0.24236118457224726</v>
      </c>
      <c r="V1025" t="str">
        <f t="shared" si="203"/>
        <v>Healthy</v>
      </c>
      <c r="W1025" t="str">
        <f t="shared" si="204"/>
        <v>Good</v>
      </c>
      <c r="X1025" s="5" t="str">
        <f t="shared" si="205"/>
        <v>Medium</v>
      </c>
      <c r="Y1025" s="5" t="str">
        <f t="shared" si="206"/>
        <v>Medium</v>
      </c>
      <c r="Z1025" s="5" t="str">
        <f>IF(B1025=120,"NULL",IF(AND(V1025="High Stress", W1025="High Risk", Y1025="Low"),"High Risk : Reject", IF(AND(V1025="Healthy", W1025="Good",Y1025&lt;&gt;"Low"), "Low Risk : Approve", "Medium Risk : Review")))</f>
        <v>Low Risk : Approve</v>
      </c>
      <c r="AA1025" s="5" t="str">
        <f t="shared" si="207"/>
        <v>Medium</v>
      </c>
    </row>
    <row r="1026" spans="1:27" x14ac:dyDescent="0.2">
      <c r="A1026">
        <v>20895</v>
      </c>
      <c r="B1026">
        <v>39</v>
      </c>
      <c r="C1026">
        <f t="shared" ref="C1026:C1089" si="208">IF(B1026=120,"NULL",B1026)</f>
        <v>39</v>
      </c>
      <c r="D1026" t="s">
        <v>27</v>
      </c>
      <c r="E1026" t="str">
        <f t="shared" ref="E1026:E1089" si="209">TRIM(IF(D1026="Self employed","Self-Employed",D1026))</f>
        <v>Unemployed</v>
      </c>
      <c r="F1026">
        <v>2980.7</v>
      </c>
      <c r="G1026">
        <f>ABS(Table1[[#This Row],[Monthly_Income]])</f>
        <v>2980.7</v>
      </c>
      <c r="H1026">
        <v>6691.99</v>
      </c>
      <c r="I1026" s="5">
        <f t="shared" ref="I1026:I1089" si="210">IF(H1026="","NULL",ABS(H1026))</f>
        <v>6691.99</v>
      </c>
      <c r="J1026">
        <v>12</v>
      </c>
      <c r="K1026">
        <v>17.350000000000001</v>
      </c>
      <c r="M1026" t="str">
        <f t="shared" ref="M1026:M1089" si="211">IF(L1026="","NULL",L1026)</f>
        <v>NULL</v>
      </c>
      <c r="N1026">
        <v>0.4</v>
      </c>
      <c r="O1026">
        <f t="shared" ref="O1026:O1089" si="212">IF(N1026="","NULL",ABS(N1026))</f>
        <v>0.4</v>
      </c>
      <c r="P1026">
        <v>90</v>
      </c>
      <c r="Q1026">
        <f t="shared" ref="Q1026:Q1089" si="213">IF(P1026="","NULL",P1026)</f>
        <v>90</v>
      </c>
      <c r="R1026" t="s">
        <v>20</v>
      </c>
      <c r="S1026" t="str">
        <f t="shared" ref="S1026:S1089" si="214">IF(R1026="Non performing","Non-Performing",R1026)</f>
        <v>Written Off</v>
      </c>
      <c r="T1026" t="s">
        <v>25</v>
      </c>
      <c r="U1026" s="3">
        <f t="shared" ref="U1026:U1089" si="215">IFERROR(I1026/(G1026*J1026),"NULL")</f>
        <v>0.187092237841223</v>
      </c>
      <c r="V1026" t="str">
        <f t="shared" ref="V1026:V1089" si="216">IF(U1026="NULL","NULL",IF(U1026&lt;=0.3,"Healthy",IF(U1026&lt;=0.45,"Stretched","High Stress")))</f>
        <v>Healthy</v>
      </c>
      <c r="W1026" t="str">
        <f t="shared" ref="W1026:W1089" si="217">IF(Q1026="NULL","NULL",IF(Q1026&lt;30,"Good",IF(Q1026&lt;60,"At Risk","High Risk")))</f>
        <v>High Risk</v>
      </c>
      <c r="X1026" s="5" t="str">
        <f t="shared" ref="X1026:X1089" si="218">IF(I1026&lt;10000,"Small",IF(I1026&lt;=30000,"Medium","High"))</f>
        <v>Small</v>
      </c>
      <c r="Y1026" s="5" t="str">
        <f t="shared" ref="Y1026:Y1089" si="219">IF(E1026="Salaried","High",IF(E1026="Self-Employed","Medium","Low"))</f>
        <v>Low</v>
      </c>
      <c r="Z1026" s="5" t="str">
        <f>IF(B1026=120,"NULL",IF(AND(V1026="High Stress", W1026="High Risk", Y1026="Low"),"High Risk : Reject", IF(AND(V1026="Healthy", W1026="Good",Y1026&lt;&gt;"Low"), "Low Risk : Approve", "Medium Risk : Review")))</f>
        <v>Medium Risk : Review</v>
      </c>
      <c r="AA1026" s="5" t="str">
        <f t="shared" ref="AA1026:AA1089" si="220">IF(G1026="NULL","NULL",IF(G1026&gt;8000,"High",IF(G1026&gt;2000,"Medium","Low")))</f>
        <v>Medium</v>
      </c>
    </row>
    <row r="1027" spans="1:27" x14ac:dyDescent="0.2">
      <c r="A1027">
        <v>25786</v>
      </c>
      <c r="B1027">
        <v>24</v>
      </c>
      <c r="C1027">
        <f t="shared" si="208"/>
        <v>24</v>
      </c>
      <c r="D1027" t="s">
        <v>21</v>
      </c>
      <c r="E1027" t="str">
        <f t="shared" si="209"/>
        <v>Salaried</v>
      </c>
      <c r="F1027">
        <v>2603.67</v>
      </c>
      <c r="G1027">
        <f>ABS(Table1[[#This Row],[Monthly_Income]])</f>
        <v>2603.67</v>
      </c>
      <c r="H1027">
        <v>26956.89</v>
      </c>
      <c r="I1027" s="5">
        <f t="shared" si="210"/>
        <v>26956.89</v>
      </c>
      <c r="J1027">
        <v>18</v>
      </c>
      <c r="K1027">
        <v>16.11</v>
      </c>
      <c r="L1027">
        <v>1</v>
      </c>
      <c r="M1027">
        <f t="shared" si="211"/>
        <v>1</v>
      </c>
      <c r="N1027">
        <v>6.8</v>
      </c>
      <c r="O1027">
        <f t="shared" si="212"/>
        <v>6.8</v>
      </c>
      <c r="P1027">
        <v>15</v>
      </c>
      <c r="Q1027">
        <f t="shared" si="213"/>
        <v>15</v>
      </c>
      <c r="R1027" t="s">
        <v>15</v>
      </c>
      <c r="S1027" t="str">
        <f t="shared" si="214"/>
        <v xml:space="preserve">Performing </v>
      </c>
      <c r="T1027" t="s">
        <v>14</v>
      </c>
      <c r="U1027" s="3">
        <f t="shared" si="215"/>
        <v>0.57519002024066035</v>
      </c>
      <c r="V1027" t="str">
        <f t="shared" si="216"/>
        <v>High Stress</v>
      </c>
      <c r="W1027" t="str">
        <f t="shared" si="217"/>
        <v>Good</v>
      </c>
      <c r="X1027" s="5" t="str">
        <f t="shared" si="218"/>
        <v>Medium</v>
      </c>
      <c r="Y1027" s="5" t="str">
        <f t="shared" si="219"/>
        <v>High</v>
      </c>
      <c r="Z1027" s="5" t="str">
        <f>IF(B1027=120,"NULL",IF(AND(V1027="High Stress", W1027="High Risk", Y1027="Low"),"High Risk : Reject", IF(AND(V1027="Healthy", W1027="Good",Y1027&lt;&gt;"Low"), "Low Risk : Approve", "Medium Risk : Review")))</f>
        <v>Medium Risk : Review</v>
      </c>
      <c r="AA1027" s="5" t="str">
        <f t="shared" si="220"/>
        <v>Medium</v>
      </c>
    </row>
    <row r="1028" spans="1:27" x14ac:dyDescent="0.2">
      <c r="A1028">
        <v>24695</v>
      </c>
      <c r="B1028">
        <v>37</v>
      </c>
      <c r="C1028">
        <f t="shared" si="208"/>
        <v>37</v>
      </c>
      <c r="D1028" t="s">
        <v>26</v>
      </c>
      <c r="E1028" t="str">
        <f t="shared" si="209"/>
        <v>Salaried</v>
      </c>
      <c r="F1028">
        <v>4188.76</v>
      </c>
      <c r="G1028">
        <f>ABS(Table1[[#This Row],[Monthly_Income]])</f>
        <v>4188.76</v>
      </c>
      <c r="H1028">
        <v>25093.040000000001</v>
      </c>
      <c r="I1028" s="5">
        <f t="shared" si="210"/>
        <v>25093.040000000001</v>
      </c>
      <c r="J1028">
        <v>36</v>
      </c>
      <c r="K1028">
        <v>22.98</v>
      </c>
      <c r="L1028">
        <v>2</v>
      </c>
      <c r="M1028">
        <f t="shared" si="211"/>
        <v>2</v>
      </c>
      <c r="N1028">
        <v>3.3</v>
      </c>
      <c r="O1028">
        <f t="shared" si="212"/>
        <v>3.3</v>
      </c>
      <c r="P1028">
        <v>15</v>
      </c>
      <c r="Q1028">
        <f t="shared" si="213"/>
        <v>15</v>
      </c>
      <c r="R1028" t="s">
        <v>18</v>
      </c>
      <c r="S1028" t="str">
        <f t="shared" si="214"/>
        <v>Non-Performing</v>
      </c>
      <c r="T1028" t="s">
        <v>22</v>
      </c>
      <c r="U1028" s="3">
        <f t="shared" si="215"/>
        <v>0.16640458963724081</v>
      </c>
      <c r="V1028" t="str">
        <f t="shared" si="216"/>
        <v>Healthy</v>
      </c>
      <c r="W1028" t="str">
        <f t="shared" si="217"/>
        <v>Good</v>
      </c>
      <c r="X1028" s="5" t="str">
        <f t="shared" si="218"/>
        <v>Medium</v>
      </c>
      <c r="Y1028" s="5" t="str">
        <f t="shared" si="219"/>
        <v>High</v>
      </c>
      <c r="Z1028" s="5" t="str">
        <f>IF(B1028=120,"NULL",IF(AND(V1028="High Stress", W1028="High Risk", Y1028="Low"),"High Risk : Reject", IF(AND(V1028="Healthy", W1028="Good",Y1028&lt;&gt;"Low"), "Low Risk : Approve", "Medium Risk : Review")))</f>
        <v>Low Risk : Approve</v>
      </c>
      <c r="AA1028" s="5" t="str">
        <f t="shared" si="220"/>
        <v>Medium</v>
      </c>
    </row>
    <row r="1029" spans="1:27" x14ac:dyDescent="0.2">
      <c r="A1029">
        <v>23877</v>
      </c>
      <c r="B1029">
        <v>42</v>
      </c>
      <c r="C1029">
        <f t="shared" si="208"/>
        <v>42</v>
      </c>
      <c r="D1029" t="s">
        <v>12</v>
      </c>
      <c r="E1029" t="str">
        <f t="shared" si="209"/>
        <v>Self-Employed</v>
      </c>
      <c r="F1029">
        <v>4570.2700000000004</v>
      </c>
      <c r="G1029">
        <f>ABS(Table1[[#This Row],[Monthly_Income]])</f>
        <v>4570.2700000000004</v>
      </c>
      <c r="H1029">
        <v>23798.18</v>
      </c>
      <c r="I1029" s="5">
        <f t="shared" si="210"/>
        <v>23798.18</v>
      </c>
      <c r="J1029">
        <v>24</v>
      </c>
      <c r="K1029">
        <v>28.28</v>
      </c>
      <c r="L1029">
        <v>1</v>
      </c>
      <c r="M1029">
        <f t="shared" si="211"/>
        <v>1</v>
      </c>
      <c r="N1029">
        <v>9</v>
      </c>
      <c r="O1029">
        <f t="shared" si="212"/>
        <v>9</v>
      </c>
      <c r="P1029">
        <v>15</v>
      </c>
      <c r="Q1029">
        <f t="shared" si="213"/>
        <v>15</v>
      </c>
      <c r="R1029" t="s">
        <v>24</v>
      </c>
      <c r="S1029" t="str">
        <f t="shared" si="214"/>
        <v>Non-Performing</v>
      </c>
      <c r="T1029" t="s">
        <v>25</v>
      </c>
      <c r="U1029" s="3">
        <f t="shared" si="215"/>
        <v>0.21696548198100621</v>
      </c>
      <c r="V1029" t="str">
        <f t="shared" si="216"/>
        <v>Healthy</v>
      </c>
      <c r="W1029" t="str">
        <f t="shared" si="217"/>
        <v>Good</v>
      </c>
      <c r="X1029" s="5" t="str">
        <f t="shared" si="218"/>
        <v>Medium</v>
      </c>
      <c r="Y1029" s="5" t="str">
        <f t="shared" si="219"/>
        <v>Medium</v>
      </c>
      <c r="Z1029" s="5" t="str">
        <f>IF(B1029=120,"NULL",IF(AND(V1029="High Stress", W1029="High Risk", Y1029="Low"),"High Risk : Reject", IF(AND(V1029="Healthy", W1029="Good",Y1029&lt;&gt;"Low"), "Low Risk : Approve", "Medium Risk : Review")))</f>
        <v>Low Risk : Approve</v>
      </c>
      <c r="AA1029" s="5" t="str">
        <f t="shared" si="220"/>
        <v>Medium</v>
      </c>
    </row>
    <row r="1030" spans="1:27" x14ac:dyDescent="0.2">
      <c r="A1030">
        <v>22391</v>
      </c>
      <c r="B1030">
        <v>62</v>
      </c>
      <c r="C1030">
        <f t="shared" si="208"/>
        <v>62</v>
      </c>
      <c r="D1030" t="s">
        <v>27</v>
      </c>
      <c r="E1030" t="str">
        <f t="shared" si="209"/>
        <v>Unemployed</v>
      </c>
      <c r="F1030">
        <v>5635.01</v>
      </c>
      <c r="G1030">
        <f>ABS(Table1[[#This Row],[Monthly_Income]])</f>
        <v>5635.01</v>
      </c>
      <c r="H1030">
        <v>24044.73</v>
      </c>
      <c r="I1030" s="5">
        <f t="shared" si="210"/>
        <v>24044.73</v>
      </c>
      <c r="J1030">
        <v>36</v>
      </c>
      <c r="K1030">
        <v>14.19</v>
      </c>
      <c r="L1030">
        <v>4</v>
      </c>
      <c r="M1030">
        <f t="shared" si="211"/>
        <v>4</v>
      </c>
      <c r="N1030">
        <v>3.1</v>
      </c>
      <c r="O1030">
        <f t="shared" si="212"/>
        <v>3.1</v>
      </c>
      <c r="P1030">
        <v>0</v>
      </c>
      <c r="Q1030">
        <f t="shared" si="213"/>
        <v>0</v>
      </c>
      <c r="R1030" t="s">
        <v>18</v>
      </c>
      <c r="S1030" t="str">
        <f t="shared" si="214"/>
        <v>Non-Performing</v>
      </c>
      <c r="T1030" t="s">
        <v>19</v>
      </c>
      <c r="U1030" s="3">
        <f t="shared" si="215"/>
        <v>0.1185284793934113</v>
      </c>
      <c r="V1030" t="str">
        <f t="shared" si="216"/>
        <v>Healthy</v>
      </c>
      <c r="W1030" t="str">
        <f t="shared" si="217"/>
        <v>Good</v>
      </c>
      <c r="X1030" s="5" t="str">
        <f t="shared" si="218"/>
        <v>Medium</v>
      </c>
      <c r="Y1030" s="5" t="str">
        <f t="shared" si="219"/>
        <v>Low</v>
      </c>
      <c r="Z1030" s="5" t="str">
        <f>IF(B1030=120,"NULL",IF(AND(V1030="High Stress", W1030="High Risk", Y1030="Low"),"High Risk : Reject", IF(AND(V1030="Healthy", W1030="Good",Y1030&lt;&gt;"Low"), "Low Risk : Approve", "Medium Risk : Review")))</f>
        <v>Medium Risk : Review</v>
      </c>
      <c r="AA1030" s="5" t="str">
        <f t="shared" si="220"/>
        <v>Medium</v>
      </c>
    </row>
    <row r="1031" spans="1:27" x14ac:dyDescent="0.2">
      <c r="A1031">
        <v>24704</v>
      </c>
      <c r="B1031">
        <v>49</v>
      </c>
      <c r="C1031">
        <f t="shared" si="208"/>
        <v>49</v>
      </c>
      <c r="D1031" t="s">
        <v>21</v>
      </c>
      <c r="E1031" t="str">
        <f t="shared" si="209"/>
        <v>Salaried</v>
      </c>
      <c r="F1031">
        <v>4475.24</v>
      </c>
      <c r="G1031">
        <f>ABS(Table1[[#This Row],[Monthly_Income]])</f>
        <v>4475.24</v>
      </c>
      <c r="H1031">
        <v>30300.76</v>
      </c>
      <c r="I1031" s="5">
        <f t="shared" si="210"/>
        <v>30300.76</v>
      </c>
      <c r="J1031">
        <v>18</v>
      </c>
      <c r="K1031">
        <v>13.15</v>
      </c>
      <c r="M1031" t="str">
        <f t="shared" si="211"/>
        <v>NULL</v>
      </c>
      <c r="N1031">
        <v>5.3</v>
      </c>
      <c r="O1031">
        <f t="shared" si="212"/>
        <v>5.3</v>
      </c>
      <c r="P1031">
        <v>0</v>
      </c>
      <c r="Q1031">
        <f t="shared" si="213"/>
        <v>0</v>
      </c>
      <c r="R1031" t="s">
        <v>18</v>
      </c>
      <c r="S1031" t="str">
        <f t="shared" si="214"/>
        <v>Non-Performing</v>
      </c>
      <c r="T1031" t="s">
        <v>19</v>
      </c>
      <c r="U1031" s="3">
        <f t="shared" si="215"/>
        <v>0.37615313492808333</v>
      </c>
      <c r="V1031" t="str">
        <f t="shared" si="216"/>
        <v>Stretched</v>
      </c>
      <c r="W1031" t="str">
        <f t="shared" si="217"/>
        <v>Good</v>
      </c>
      <c r="X1031" s="5" t="str">
        <f t="shared" si="218"/>
        <v>High</v>
      </c>
      <c r="Y1031" s="5" t="str">
        <f t="shared" si="219"/>
        <v>High</v>
      </c>
      <c r="Z1031" s="5" t="str">
        <f>IF(B1031=120,"NULL",IF(AND(V1031="High Stress", W1031="High Risk", Y1031="Low"),"High Risk : Reject", IF(AND(V1031="Healthy", W1031="Good",Y1031&lt;&gt;"Low"), "Low Risk : Approve", "Medium Risk : Review")))</f>
        <v>Medium Risk : Review</v>
      </c>
      <c r="AA1031" s="5" t="str">
        <f t="shared" si="220"/>
        <v>Medium</v>
      </c>
    </row>
    <row r="1032" spans="1:27" x14ac:dyDescent="0.2">
      <c r="A1032">
        <v>21631</v>
      </c>
      <c r="B1032">
        <v>46</v>
      </c>
      <c r="C1032">
        <f t="shared" si="208"/>
        <v>46</v>
      </c>
      <c r="D1032" t="s">
        <v>26</v>
      </c>
      <c r="E1032" t="str">
        <f t="shared" si="209"/>
        <v>Salaried</v>
      </c>
      <c r="F1032">
        <v>2248.9</v>
      </c>
      <c r="G1032">
        <f>ABS(Table1[[#This Row],[Monthly_Income]])</f>
        <v>2248.9</v>
      </c>
      <c r="H1032"/>
      <c r="I1032" s="5" t="str">
        <f t="shared" si="210"/>
        <v>NULL</v>
      </c>
      <c r="J1032">
        <v>60</v>
      </c>
      <c r="K1032">
        <v>18.39</v>
      </c>
      <c r="L1032">
        <v>1</v>
      </c>
      <c r="M1032">
        <f t="shared" si="211"/>
        <v>1</v>
      </c>
      <c r="N1032">
        <v>2.7</v>
      </c>
      <c r="O1032">
        <f t="shared" si="212"/>
        <v>2.7</v>
      </c>
      <c r="Q1032" t="str">
        <f t="shared" si="213"/>
        <v>NULL</v>
      </c>
      <c r="R1032" t="s">
        <v>13</v>
      </c>
      <c r="S1032" t="str">
        <f t="shared" si="214"/>
        <v>Performing</v>
      </c>
      <c r="T1032" t="s">
        <v>22</v>
      </c>
      <c r="U1032" s="3" t="str">
        <f t="shared" si="215"/>
        <v>NULL</v>
      </c>
      <c r="V1032" t="str">
        <f t="shared" si="216"/>
        <v>NULL</v>
      </c>
      <c r="W1032" t="str">
        <f t="shared" si="217"/>
        <v>NULL</v>
      </c>
      <c r="X1032" s="5" t="str">
        <f t="shared" si="218"/>
        <v>High</v>
      </c>
      <c r="Y1032" s="5" t="str">
        <f t="shared" si="219"/>
        <v>High</v>
      </c>
      <c r="Z1032" s="5" t="str">
        <f>IF(B1032=120,"NULL",IF(AND(V1032="High Stress", W1032="High Risk", Y1032="Low"),"High Risk : Reject", IF(AND(V1032="Healthy", W1032="Good",Y1032&lt;&gt;"Low"), "Low Risk : Approve", "Medium Risk : Review")))</f>
        <v>Medium Risk : Review</v>
      </c>
      <c r="AA1032" s="5" t="str">
        <f t="shared" si="220"/>
        <v>Medium</v>
      </c>
    </row>
    <row r="1033" spans="1:27" x14ac:dyDescent="0.2">
      <c r="A1033">
        <v>23013</v>
      </c>
      <c r="B1033">
        <v>24</v>
      </c>
      <c r="C1033">
        <f t="shared" si="208"/>
        <v>24</v>
      </c>
      <c r="D1033" t="s">
        <v>23</v>
      </c>
      <c r="E1033" t="str">
        <f t="shared" si="209"/>
        <v>Self-Employed</v>
      </c>
      <c r="F1033">
        <v>8085.9</v>
      </c>
      <c r="G1033">
        <f>ABS(Table1[[#This Row],[Monthly_Income]])</f>
        <v>8085.9</v>
      </c>
      <c r="H1033">
        <v>34851.699999999997</v>
      </c>
      <c r="I1033" s="5">
        <f t="shared" si="210"/>
        <v>34851.699999999997</v>
      </c>
      <c r="J1033">
        <v>18</v>
      </c>
      <c r="K1033">
        <v>26.58</v>
      </c>
      <c r="L1033">
        <v>3</v>
      </c>
      <c r="M1033">
        <f t="shared" si="211"/>
        <v>3</v>
      </c>
      <c r="N1033">
        <v>8.1999999999999993</v>
      </c>
      <c r="O1033">
        <f t="shared" si="212"/>
        <v>8.1999999999999993</v>
      </c>
      <c r="P1033">
        <v>120</v>
      </c>
      <c r="Q1033">
        <f t="shared" si="213"/>
        <v>120</v>
      </c>
      <c r="R1033" t="s">
        <v>24</v>
      </c>
      <c r="S1033" t="str">
        <f t="shared" si="214"/>
        <v>Non-Performing</v>
      </c>
      <c r="T1033" t="s">
        <v>22</v>
      </c>
      <c r="U1033" s="3">
        <f t="shared" si="215"/>
        <v>0.23945455120092451</v>
      </c>
      <c r="V1033" t="str">
        <f t="shared" si="216"/>
        <v>Healthy</v>
      </c>
      <c r="W1033" t="str">
        <f t="shared" si="217"/>
        <v>High Risk</v>
      </c>
      <c r="X1033" s="5" t="str">
        <f t="shared" si="218"/>
        <v>High</v>
      </c>
      <c r="Y1033" s="5" t="str">
        <f t="shared" si="219"/>
        <v>Medium</v>
      </c>
      <c r="Z1033" s="5" t="str">
        <f>IF(B1033=120,"NULL",IF(AND(V1033="High Stress", W1033="High Risk", Y1033="Low"),"High Risk : Reject", IF(AND(V1033="Healthy", W1033="Good",Y1033&lt;&gt;"Low"), "Low Risk : Approve", "Medium Risk : Review")))</f>
        <v>Medium Risk : Review</v>
      </c>
      <c r="AA1033" s="5" t="str">
        <f t="shared" si="220"/>
        <v>High</v>
      </c>
    </row>
    <row r="1034" spans="1:27" x14ac:dyDescent="0.2">
      <c r="A1034">
        <v>23526</v>
      </c>
      <c r="B1034">
        <v>61</v>
      </c>
      <c r="C1034">
        <f t="shared" si="208"/>
        <v>61</v>
      </c>
      <c r="D1034" t="s">
        <v>27</v>
      </c>
      <c r="E1034" t="str">
        <f t="shared" si="209"/>
        <v>Unemployed</v>
      </c>
      <c r="F1034">
        <v>9279.2999999999993</v>
      </c>
      <c r="G1034">
        <f>ABS(Table1[[#This Row],[Monthly_Income]])</f>
        <v>9279.2999999999993</v>
      </c>
      <c r="H1034">
        <v>11418.66</v>
      </c>
      <c r="I1034" s="5">
        <f t="shared" si="210"/>
        <v>11418.66</v>
      </c>
      <c r="J1034">
        <v>36</v>
      </c>
      <c r="K1034">
        <v>17.059999999999999</v>
      </c>
      <c r="M1034" t="str">
        <f t="shared" si="211"/>
        <v>NULL</v>
      </c>
      <c r="N1034">
        <v>8.6</v>
      </c>
      <c r="O1034">
        <f t="shared" si="212"/>
        <v>8.6</v>
      </c>
      <c r="P1034">
        <v>120</v>
      </c>
      <c r="Q1034">
        <f t="shared" si="213"/>
        <v>120</v>
      </c>
      <c r="R1034" t="s">
        <v>20</v>
      </c>
      <c r="S1034" t="str">
        <f t="shared" si="214"/>
        <v>Written Off</v>
      </c>
      <c r="T1034" t="s">
        <v>16</v>
      </c>
      <c r="U1034" s="3">
        <f t="shared" si="215"/>
        <v>3.4181996486803964E-2</v>
      </c>
      <c r="V1034" t="str">
        <f t="shared" si="216"/>
        <v>Healthy</v>
      </c>
      <c r="W1034" t="str">
        <f t="shared" si="217"/>
        <v>High Risk</v>
      </c>
      <c r="X1034" s="5" t="str">
        <f t="shared" si="218"/>
        <v>Medium</v>
      </c>
      <c r="Y1034" s="5" t="str">
        <f t="shared" si="219"/>
        <v>Low</v>
      </c>
      <c r="Z1034" s="5" t="str">
        <f>IF(B1034=120,"NULL",IF(AND(V1034="High Stress", W1034="High Risk", Y1034="Low"),"High Risk : Reject", IF(AND(V1034="Healthy", W1034="Good",Y1034&lt;&gt;"Low"), "Low Risk : Approve", "Medium Risk : Review")))</f>
        <v>Medium Risk : Review</v>
      </c>
      <c r="AA1034" s="5" t="str">
        <f t="shared" si="220"/>
        <v>High</v>
      </c>
    </row>
    <row r="1035" spans="1:27" x14ac:dyDescent="0.2">
      <c r="A1035">
        <v>25816</v>
      </c>
      <c r="B1035">
        <v>42</v>
      </c>
      <c r="C1035">
        <f t="shared" si="208"/>
        <v>42</v>
      </c>
      <c r="D1035" t="s">
        <v>23</v>
      </c>
      <c r="E1035" t="str">
        <f t="shared" si="209"/>
        <v>Self-Employed</v>
      </c>
      <c r="F1035">
        <v>4373.54</v>
      </c>
      <c r="G1035">
        <f>ABS(Table1[[#This Row],[Monthly_Income]])</f>
        <v>4373.54</v>
      </c>
      <c r="H1035">
        <v>24811.82</v>
      </c>
      <c r="I1035" s="5">
        <f t="shared" si="210"/>
        <v>24811.82</v>
      </c>
      <c r="J1035">
        <v>24</v>
      </c>
      <c r="K1035">
        <v>26.54</v>
      </c>
      <c r="L1035">
        <v>3</v>
      </c>
      <c r="M1035">
        <f t="shared" si="211"/>
        <v>3</v>
      </c>
      <c r="N1035">
        <v>8.5</v>
      </c>
      <c r="O1035">
        <f t="shared" si="212"/>
        <v>8.5</v>
      </c>
      <c r="P1035">
        <v>90</v>
      </c>
      <c r="Q1035">
        <f t="shared" si="213"/>
        <v>90</v>
      </c>
      <c r="R1035" t="s">
        <v>18</v>
      </c>
      <c r="S1035" t="str">
        <f t="shared" si="214"/>
        <v>Non-Performing</v>
      </c>
      <c r="T1035" t="s">
        <v>25</v>
      </c>
      <c r="U1035" s="3">
        <f t="shared" si="215"/>
        <v>0.23638193164652282</v>
      </c>
      <c r="V1035" t="str">
        <f t="shared" si="216"/>
        <v>Healthy</v>
      </c>
      <c r="W1035" t="str">
        <f t="shared" si="217"/>
        <v>High Risk</v>
      </c>
      <c r="X1035" s="5" t="str">
        <f t="shared" si="218"/>
        <v>Medium</v>
      </c>
      <c r="Y1035" s="5" t="str">
        <f t="shared" si="219"/>
        <v>Medium</v>
      </c>
      <c r="Z1035" s="5" t="str">
        <f>IF(B1035=120,"NULL",IF(AND(V1035="High Stress", W1035="High Risk", Y1035="Low"),"High Risk : Reject", IF(AND(V1035="Healthy", W1035="Good",Y1035&lt;&gt;"Low"), "Low Risk : Approve", "Medium Risk : Review")))</f>
        <v>Medium Risk : Review</v>
      </c>
      <c r="AA1035" s="5" t="str">
        <f t="shared" si="220"/>
        <v>Medium</v>
      </c>
    </row>
    <row r="1036" spans="1:27" x14ac:dyDescent="0.2">
      <c r="A1036">
        <v>21693</v>
      </c>
      <c r="B1036">
        <v>27</v>
      </c>
      <c r="C1036">
        <f t="shared" si="208"/>
        <v>27</v>
      </c>
      <c r="D1036" t="s">
        <v>23</v>
      </c>
      <c r="E1036" t="str">
        <f t="shared" si="209"/>
        <v>Self-Employed</v>
      </c>
      <c r="F1036">
        <v>3309.09</v>
      </c>
      <c r="G1036">
        <f>ABS(Table1[[#This Row],[Monthly_Income]])</f>
        <v>3309.09</v>
      </c>
      <c r="H1036">
        <v>14870.73</v>
      </c>
      <c r="I1036" s="5">
        <f t="shared" si="210"/>
        <v>14870.73</v>
      </c>
      <c r="J1036">
        <v>36</v>
      </c>
      <c r="K1036">
        <v>17.309999999999999</v>
      </c>
      <c r="L1036">
        <v>0</v>
      </c>
      <c r="M1036">
        <f t="shared" si="211"/>
        <v>0</v>
      </c>
      <c r="N1036">
        <v>7.7</v>
      </c>
      <c r="O1036">
        <f t="shared" si="212"/>
        <v>7.7</v>
      </c>
      <c r="P1036">
        <v>0</v>
      </c>
      <c r="Q1036">
        <f t="shared" si="213"/>
        <v>0</v>
      </c>
      <c r="R1036" t="s">
        <v>24</v>
      </c>
      <c r="S1036" t="str">
        <f t="shared" si="214"/>
        <v>Non-Performing</v>
      </c>
      <c r="T1036" t="s">
        <v>16</v>
      </c>
      <c r="U1036" s="3">
        <f t="shared" si="215"/>
        <v>0.12483064326849173</v>
      </c>
      <c r="V1036" t="str">
        <f t="shared" si="216"/>
        <v>Healthy</v>
      </c>
      <c r="W1036" t="str">
        <f t="shared" si="217"/>
        <v>Good</v>
      </c>
      <c r="X1036" s="5" t="str">
        <f t="shared" si="218"/>
        <v>Medium</v>
      </c>
      <c r="Y1036" s="5" t="str">
        <f t="shared" si="219"/>
        <v>Medium</v>
      </c>
      <c r="Z1036" s="5" t="str">
        <f>IF(B1036=120,"NULL",IF(AND(V1036="High Stress", W1036="High Risk", Y1036="Low"),"High Risk : Reject", IF(AND(V1036="Healthy", W1036="Good",Y1036&lt;&gt;"Low"), "Low Risk : Approve", "Medium Risk : Review")))</f>
        <v>Low Risk : Approve</v>
      </c>
      <c r="AA1036" s="5" t="str">
        <f t="shared" si="220"/>
        <v>Medium</v>
      </c>
    </row>
    <row r="1037" spans="1:27" x14ac:dyDescent="0.2">
      <c r="A1037">
        <v>20549</v>
      </c>
      <c r="B1037">
        <v>40</v>
      </c>
      <c r="C1037">
        <f t="shared" si="208"/>
        <v>40</v>
      </c>
      <c r="D1037" t="s">
        <v>12</v>
      </c>
      <c r="E1037" t="str">
        <f t="shared" si="209"/>
        <v>Self-Employed</v>
      </c>
      <c r="F1037">
        <v>6717.07</v>
      </c>
      <c r="G1037">
        <f>ABS(Table1[[#This Row],[Monthly_Income]])</f>
        <v>6717.07</v>
      </c>
      <c r="H1037">
        <v>18515.02</v>
      </c>
      <c r="I1037" s="5">
        <f t="shared" si="210"/>
        <v>18515.02</v>
      </c>
      <c r="J1037">
        <v>48</v>
      </c>
      <c r="K1037">
        <v>20.37</v>
      </c>
      <c r="L1037">
        <v>1</v>
      </c>
      <c r="M1037">
        <f t="shared" si="211"/>
        <v>1</v>
      </c>
      <c r="N1037">
        <v>7.8</v>
      </c>
      <c r="O1037">
        <f t="shared" si="212"/>
        <v>7.8</v>
      </c>
      <c r="P1037">
        <v>90</v>
      </c>
      <c r="Q1037">
        <f t="shared" si="213"/>
        <v>90</v>
      </c>
      <c r="R1037" t="s">
        <v>24</v>
      </c>
      <c r="S1037" t="str">
        <f t="shared" si="214"/>
        <v>Non-Performing</v>
      </c>
      <c r="T1037" t="s">
        <v>14</v>
      </c>
      <c r="U1037" s="3">
        <f t="shared" si="215"/>
        <v>5.7425273718054649E-2</v>
      </c>
      <c r="V1037" t="str">
        <f t="shared" si="216"/>
        <v>Healthy</v>
      </c>
      <c r="W1037" t="str">
        <f t="shared" si="217"/>
        <v>High Risk</v>
      </c>
      <c r="X1037" s="5" t="str">
        <f t="shared" si="218"/>
        <v>Medium</v>
      </c>
      <c r="Y1037" s="5" t="str">
        <f t="shared" si="219"/>
        <v>Medium</v>
      </c>
      <c r="Z1037" s="5" t="str">
        <f>IF(B1037=120,"NULL",IF(AND(V1037="High Stress", W1037="High Risk", Y1037="Low"),"High Risk : Reject", IF(AND(V1037="Healthy", W1037="Good",Y1037&lt;&gt;"Low"), "Low Risk : Approve", "Medium Risk : Review")))</f>
        <v>Medium Risk : Review</v>
      </c>
      <c r="AA1037" s="5" t="str">
        <f t="shared" si="220"/>
        <v>Medium</v>
      </c>
    </row>
    <row r="1038" spans="1:27" x14ac:dyDescent="0.2">
      <c r="A1038">
        <v>20272</v>
      </c>
      <c r="B1038">
        <v>23</v>
      </c>
      <c r="C1038">
        <f t="shared" si="208"/>
        <v>23</v>
      </c>
      <c r="D1038" t="s">
        <v>12</v>
      </c>
      <c r="E1038" t="str">
        <f t="shared" si="209"/>
        <v>Self-Employed</v>
      </c>
      <c r="F1038">
        <v>-1500</v>
      </c>
      <c r="G1038">
        <f>ABS(Table1[[#This Row],[Monthly_Income]])</f>
        <v>1500</v>
      </c>
      <c r="H1038">
        <v>24792.66</v>
      </c>
      <c r="I1038" s="5">
        <f t="shared" si="210"/>
        <v>24792.66</v>
      </c>
      <c r="J1038">
        <v>48</v>
      </c>
      <c r="K1038">
        <v>18.89</v>
      </c>
      <c r="M1038" t="str">
        <f t="shared" si="211"/>
        <v>NULL</v>
      </c>
      <c r="N1038">
        <v>9.5</v>
      </c>
      <c r="O1038">
        <f t="shared" si="212"/>
        <v>9.5</v>
      </c>
      <c r="Q1038" t="str">
        <f t="shared" si="213"/>
        <v>NULL</v>
      </c>
      <c r="R1038" t="s">
        <v>18</v>
      </c>
      <c r="S1038" t="str">
        <f t="shared" si="214"/>
        <v>Non-Performing</v>
      </c>
      <c r="T1038" t="s">
        <v>16</v>
      </c>
      <c r="U1038" s="3">
        <f t="shared" si="215"/>
        <v>0.3443425</v>
      </c>
      <c r="V1038" t="str">
        <f t="shared" si="216"/>
        <v>Stretched</v>
      </c>
      <c r="W1038" t="str">
        <f t="shared" si="217"/>
        <v>NULL</v>
      </c>
      <c r="X1038" s="5" t="str">
        <f t="shared" si="218"/>
        <v>Medium</v>
      </c>
      <c r="Y1038" s="5" t="str">
        <f t="shared" si="219"/>
        <v>Medium</v>
      </c>
      <c r="Z1038" s="5" t="str">
        <f>IF(B1038=120,"NULL",IF(AND(V1038="High Stress", W1038="High Risk", Y1038="Low"),"High Risk : Reject", IF(AND(V1038="Healthy", W1038="Good",Y1038&lt;&gt;"Low"), "Low Risk : Approve", "Medium Risk : Review")))</f>
        <v>Medium Risk : Review</v>
      </c>
      <c r="AA1038" s="5" t="str">
        <f t="shared" si="220"/>
        <v>Low</v>
      </c>
    </row>
    <row r="1039" spans="1:27" x14ac:dyDescent="0.2">
      <c r="A1039">
        <v>22257</v>
      </c>
      <c r="B1039">
        <v>21</v>
      </c>
      <c r="C1039">
        <f t="shared" si="208"/>
        <v>21</v>
      </c>
      <c r="D1039" t="s">
        <v>27</v>
      </c>
      <c r="E1039" t="str">
        <f t="shared" si="209"/>
        <v>Unemployed</v>
      </c>
      <c r="F1039">
        <v>2593.9</v>
      </c>
      <c r="G1039">
        <f>ABS(Table1[[#This Row],[Monthly_Income]])</f>
        <v>2593.9</v>
      </c>
      <c r="H1039">
        <v>39381.85</v>
      </c>
      <c r="I1039" s="5">
        <f t="shared" si="210"/>
        <v>39381.85</v>
      </c>
      <c r="J1039">
        <v>60</v>
      </c>
      <c r="K1039">
        <v>25.42</v>
      </c>
      <c r="L1039">
        <v>4</v>
      </c>
      <c r="M1039">
        <f t="shared" si="211"/>
        <v>4</v>
      </c>
      <c r="N1039">
        <v>5.8</v>
      </c>
      <c r="O1039">
        <f t="shared" si="212"/>
        <v>5.8</v>
      </c>
      <c r="P1039">
        <v>0</v>
      </c>
      <c r="Q1039">
        <f t="shared" si="213"/>
        <v>0</v>
      </c>
      <c r="R1039" t="s">
        <v>15</v>
      </c>
      <c r="S1039" t="str">
        <f t="shared" si="214"/>
        <v xml:space="preserve">Performing </v>
      </c>
      <c r="T1039" t="s">
        <v>25</v>
      </c>
      <c r="U1039" s="3">
        <f t="shared" si="215"/>
        <v>0.25304143053574413</v>
      </c>
      <c r="V1039" t="str">
        <f t="shared" si="216"/>
        <v>Healthy</v>
      </c>
      <c r="W1039" t="str">
        <f t="shared" si="217"/>
        <v>Good</v>
      </c>
      <c r="X1039" s="5" t="str">
        <f t="shared" si="218"/>
        <v>High</v>
      </c>
      <c r="Y1039" s="5" t="str">
        <f t="shared" si="219"/>
        <v>Low</v>
      </c>
      <c r="Z1039" s="5" t="str">
        <f>IF(B1039=120,"NULL",IF(AND(V1039="High Stress", W1039="High Risk", Y1039="Low"),"High Risk : Reject", IF(AND(V1039="Healthy", W1039="Good",Y1039&lt;&gt;"Low"), "Low Risk : Approve", "Medium Risk : Review")))</f>
        <v>Medium Risk : Review</v>
      </c>
      <c r="AA1039" s="5" t="str">
        <f t="shared" si="220"/>
        <v>Medium</v>
      </c>
    </row>
    <row r="1040" spans="1:27" x14ac:dyDescent="0.2">
      <c r="A1040">
        <v>23246</v>
      </c>
      <c r="B1040">
        <v>37</v>
      </c>
      <c r="C1040">
        <f t="shared" si="208"/>
        <v>37</v>
      </c>
      <c r="D1040" t="s">
        <v>12</v>
      </c>
      <c r="E1040" t="str">
        <f t="shared" si="209"/>
        <v>Self-Employed</v>
      </c>
      <c r="F1040">
        <v>4753.2299999999996</v>
      </c>
      <c r="G1040">
        <f>ABS(Table1[[#This Row],[Monthly_Income]])</f>
        <v>4753.2299999999996</v>
      </c>
      <c r="H1040">
        <v>27303.97</v>
      </c>
      <c r="I1040" s="5">
        <f t="shared" si="210"/>
        <v>27303.97</v>
      </c>
      <c r="J1040">
        <v>36</v>
      </c>
      <c r="K1040">
        <v>20.87</v>
      </c>
      <c r="L1040">
        <v>3</v>
      </c>
      <c r="M1040">
        <f t="shared" si="211"/>
        <v>3</v>
      </c>
      <c r="N1040">
        <v>10.4</v>
      </c>
      <c r="O1040">
        <f t="shared" si="212"/>
        <v>10.4</v>
      </c>
      <c r="P1040">
        <v>0</v>
      </c>
      <c r="Q1040">
        <f t="shared" si="213"/>
        <v>0</v>
      </c>
      <c r="R1040" t="s">
        <v>15</v>
      </c>
      <c r="S1040" t="str">
        <f t="shared" si="214"/>
        <v xml:space="preserve">Performing </v>
      </c>
      <c r="T1040" t="s">
        <v>22</v>
      </c>
      <c r="U1040" s="3">
        <f t="shared" si="215"/>
        <v>0.15956383577296096</v>
      </c>
      <c r="V1040" t="str">
        <f t="shared" si="216"/>
        <v>Healthy</v>
      </c>
      <c r="W1040" t="str">
        <f t="shared" si="217"/>
        <v>Good</v>
      </c>
      <c r="X1040" s="5" t="str">
        <f t="shared" si="218"/>
        <v>Medium</v>
      </c>
      <c r="Y1040" s="5" t="str">
        <f t="shared" si="219"/>
        <v>Medium</v>
      </c>
      <c r="Z1040" s="5" t="str">
        <f>IF(B1040=120,"NULL",IF(AND(V1040="High Stress", W1040="High Risk", Y1040="Low"),"High Risk : Reject", IF(AND(V1040="Healthy", W1040="Good",Y1040&lt;&gt;"Low"), "Low Risk : Approve", "Medium Risk : Review")))</f>
        <v>Low Risk : Approve</v>
      </c>
      <c r="AA1040" s="5" t="str">
        <f t="shared" si="220"/>
        <v>Medium</v>
      </c>
    </row>
    <row r="1041" spans="1:27" x14ac:dyDescent="0.2">
      <c r="A1041">
        <v>21795</v>
      </c>
      <c r="B1041">
        <v>48</v>
      </c>
      <c r="C1041">
        <f t="shared" si="208"/>
        <v>48</v>
      </c>
      <c r="D1041" t="s">
        <v>27</v>
      </c>
      <c r="E1041" t="str">
        <f t="shared" si="209"/>
        <v>Unemployed</v>
      </c>
      <c r="F1041">
        <v>7213.18</v>
      </c>
      <c r="G1041">
        <f>ABS(Table1[[#This Row],[Monthly_Income]])</f>
        <v>7213.18</v>
      </c>
      <c r="H1041">
        <v>26793.03</v>
      </c>
      <c r="I1041" s="5">
        <f t="shared" si="210"/>
        <v>26793.03</v>
      </c>
      <c r="J1041">
        <v>36</v>
      </c>
      <c r="K1041">
        <v>19.82</v>
      </c>
      <c r="L1041">
        <v>4</v>
      </c>
      <c r="M1041">
        <f t="shared" si="211"/>
        <v>4</v>
      </c>
      <c r="N1041">
        <v>10.6</v>
      </c>
      <c r="O1041">
        <f t="shared" si="212"/>
        <v>10.6</v>
      </c>
      <c r="P1041">
        <v>0</v>
      </c>
      <c r="Q1041">
        <f t="shared" si="213"/>
        <v>0</v>
      </c>
      <c r="R1041" t="s">
        <v>18</v>
      </c>
      <c r="S1041" t="str">
        <f t="shared" si="214"/>
        <v>Non-Performing</v>
      </c>
      <c r="T1041" t="s">
        <v>16</v>
      </c>
      <c r="U1041" s="3">
        <f t="shared" si="215"/>
        <v>0.1031792958630359</v>
      </c>
      <c r="V1041" t="str">
        <f t="shared" si="216"/>
        <v>Healthy</v>
      </c>
      <c r="W1041" t="str">
        <f t="shared" si="217"/>
        <v>Good</v>
      </c>
      <c r="X1041" s="5" t="str">
        <f t="shared" si="218"/>
        <v>Medium</v>
      </c>
      <c r="Y1041" s="5" t="str">
        <f t="shared" si="219"/>
        <v>Low</v>
      </c>
      <c r="Z1041" s="5" t="str">
        <f>IF(B1041=120,"NULL",IF(AND(V1041="High Stress", W1041="High Risk", Y1041="Low"),"High Risk : Reject", IF(AND(V1041="Healthy", W1041="Good",Y1041&lt;&gt;"Low"), "Low Risk : Approve", "Medium Risk : Review")))</f>
        <v>Medium Risk : Review</v>
      </c>
      <c r="AA1041" s="5" t="str">
        <f t="shared" si="220"/>
        <v>Medium</v>
      </c>
    </row>
    <row r="1042" spans="1:27" x14ac:dyDescent="0.2">
      <c r="A1042">
        <v>22710</v>
      </c>
      <c r="B1042">
        <v>37</v>
      </c>
      <c r="C1042">
        <f t="shared" si="208"/>
        <v>37</v>
      </c>
      <c r="D1042" t="s">
        <v>27</v>
      </c>
      <c r="E1042" t="str">
        <f t="shared" si="209"/>
        <v>Unemployed</v>
      </c>
      <c r="F1042">
        <v>5100.8599999999997</v>
      </c>
      <c r="G1042">
        <f>ABS(Table1[[#This Row],[Monthly_Income]])</f>
        <v>5100.8599999999997</v>
      </c>
      <c r="H1042">
        <v>16823.61</v>
      </c>
      <c r="I1042" s="5">
        <f t="shared" si="210"/>
        <v>16823.61</v>
      </c>
      <c r="J1042">
        <v>60</v>
      </c>
      <c r="K1042">
        <v>15.01</v>
      </c>
      <c r="L1042">
        <v>0</v>
      </c>
      <c r="M1042">
        <f t="shared" si="211"/>
        <v>0</v>
      </c>
      <c r="N1042">
        <v>2.6</v>
      </c>
      <c r="O1042">
        <f t="shared" si="212"/>
        <v>2.6</v>
      </c>
      <c r="P1042">
        <v>30</v>
      </c>
      <c r="Q1042">
        <f t="shared" si="213"/>
        <v>30</v>
      </c>
      <c r="R1042" t="s">
        <v>13</v>
      </c>
      <c r="S1042" t="str">
        <f t="shared" si="214"/>
        <v>Performing</v>
      </c>
      <c r="T1042" t="s">
        <v>14</v>
      </c>
      <c r="U1042" s="3">
        <f t="shared" si="215"/>
        <v>5.4969848221672432E-2</v>
      </c>
      <c r="V1042" t="str">
        <f t="shared" si="216"/>
        <v>Healthy</v>
      </c>
      <c r="W1042" t="str">
        <f t="shared" si="217"/>
        <v>At Risk</v>
      </c>
      <c r="X1042" s="5" t="str">
        <f t="shared" si="218"/>
        <v>Medium</v>
      </c>
      <c r="Y1042" s="5" t="str">
        <f t="shared" si="219"/>
        <v>Low</v>
      </c>
      <c r="Z1042" s="5" t="str">
        <f>IF(B1042=120,"NULL",IF(AND(V1042="High Stress", W1042="High Risk", Y1042="Low"),"High Risk : Reject", IF(AND(V1042="Healthy", W1042="Good",Y1042&lt;&gt;"Low"), "Low Risk : Approve", "Medium Risk : Review")))</f>
        <v>Medium Risk : Review</v>
      </c>
      <c r="AA1042" s="5" t="str">
        <f t="shared" si="220"/>
        <v>Medium</v>
      </c>
    </row>
    <row r="1043" spans="1:27" x14ac:dyDescent="0.2">
      <c r="A1043">
        <v>23102</v>
      </c>
      <c r="B1043">
        <v>57</v>
      </c>
      <c r="C1043">
        <f t="shared" si="208"/>
        <v>57</v>
      </c>
      <c r="D1043" t="s">
        <v>23</v>
      </c>
      <c r="E1043" t="str">
        <f t="shared" si="209"/>
        <v>Self-Employed</v>
      </c>
      <c r="F1043">
        <v>9482.14</v>
      </c>
      <c r="G1043">
        <f>ABS(Table1[[#This Row],[Monthly_Income]])</f>
        <v>9482.14</v>
      </c>
      <c r="H1043">
        <v>18109.16</v>
      </c>
      <c r="I1043" s="5">
        <f t="shared" si="210"/>
        <v>18109.16</v>
      </c>
      <c r="J1043">
        <v>6</v>
      </c>
      <c r="K1043">
        <v>13.02</v>
      </c>
      <c r="L1043">
        <v>0</v>
      </c>
      <c r="M1043">
        <f t="shared" si="211"/>
        <v>0</v>
      </c>
      <c r="N1043">
        <v>9.5</v>
      </c>
      <c r="O1043">
        <f t="shared" si="212"/>
        <v>9.5</v>
      </c>
      <c r="P1043">
        <v>0</v>
      </c>
      <c r="Q1043">
        <f t="shared" si="213"/>
        <v>0</v>
      </c>
      <c r="R1043" t="s">
        <v>20</v>
      </c>
      <c r="S1043" t="str">
        <f t="shared" si="214"/>
        <v>Written Off</v>
      </c>
      <c r="T1043" t="s">
        <v>14</v>
      </c>
      <c r="U1043" s="3">
        <f t="shared" si="215"/>
        <v>0.31830297098896804</v>
      </c>
      <c r="V1043" t="str">
        <f t="shared" si="216"/>
        <v>Stretched</v>
      </c>
      <c r="W1043" t="str">
        <f t="shared" si="217"/>
        <v>Good</v>
      </c>
      <c r="X1043" s="5" t="str">
        <f t="shared" si="218"/>
        <v>Medium</v>
      </c>
      <c r="Y1043" s="5" t="str">
        <f t="shared" si="219"/>
        <v>Medium</v>
      </c>
      <c r="Z1043" s="5" t="str">
        <f>IF(B1043=120,"NULL",IF(AND(V1043="High Stress", W1043="High Risk", Y1043="Low"),"High Risk : Reject", IF(AND(V1043="Healthy", W1043="Good",Y1043&lt;&gt;"Low"), "Low Risk : Approve", "Medium Risk : Review")))</f>
        <v>Medium Risk : Review</v>
      </c>
      <c r="AA1043" s="5" t="str">
        <f t="shared" si="220"/>
        <v>High</v>
      </c>
    </row>
    <row r="1044" spans="1:27" x14ac:dyDescent="0.2">
      <c r="A1044">
        <v>22565</v>
      </c>
      <c r="B1044">
        <v>38</v>
      </c>
      <c r="C1044">
        <f t="shared" si="208"/>
        <v>38</v>
      </c>
      <c r="D1044" t="s">
        <v>17</v>
      </c>
      <c r="E1044" t="str">
        <f t="shared" si="209"/>
        <v>Contract</v>
      </c>
      <c r="F1044">
        <v>4497.46</v>
      </c>
      <c r="G1044">
        <f>ABS(Table1[[#This Row],[Monthly_Income]])</f>
        <v>4497.46</v>
      </c>
      <c r="H1044">
        <v>3972.62</v>
      </c>
      <c r="I1044" s="5">
        <f t="shared" si="210"/>
        <v>3972.62</v>
      </c>
      <c r="J1044">
        <v>6</v>
      </c>
      <c r="K1044">
        <v>18.670000000000002</v>
      </c>
      <c r="L1044">
        <v>3</v>
      </c>
      <c r="M1044">
        <f t="shared" si="211"/>
        <v>3</v>
      </c>
      <c r="N1044">
        <v>-0.3</v>
      </c>
      <c r="O1044">
        <f t="shared" si="212"/>
        <v>0.3</v>
      </c>
      <c r="P1044">
        <v>0</v>
      </c>
      <c r="Q1044">
        <f t="shared" si="213"/>
        <v>0</v>
      </c>
      <c r="R1044" t="s">
        <v>20</v>
      </c>
      <c r="S1044" t="str">
        <f t="shared" si="214"/>
        <v>Written Off</v>
      </c>
      <c r="T1044" t="s">
        <v>22</v>
      </c>
      <c r="U1044" s="3">
        <f t="shared" si="215"/>
        <v>0.14721716998780052</v>
      </c>
      <c r="V1044" t="str">
        <f t="shared" si="216"/>
        <v>Healthy</v>
      </c>
      <c r="W1044" t="str">
        <f t="shared" si="217"/>
        <v>Good</v>
      </c>
      <c r="X1044" s="5" t="str">
        <f t="shared" si="218"/>
        <v>Small</v>
      </c>
      <c r="Y1044" s="5" t="str">
        <f t="shared" si="219"/>
        <v>Low</v>
      </c>
      <c r="Z1044" s="5" t="str">
        <f>IF(B1044=120,"NULL",IF(AND(V1044="High Stress", W1044="High Risk", Y1044="Low"),"High Risk : Reject", IF(AND(V1044="Healthy", W1044="Good",Y1044&lt;&gt;"Low"), "Low Risk : Approve", "Medium Risk : Review")))</f>
        <v>Medium Risk : Review</v>
      </c>
      <c r="AA1044" s="5" t="str">
        <f t="shared" si="220"/>
        <v>Medium</v>
      </c>
    </row>
    <row r="1045" spans="1:27" x14ac:dyDescent="0.2">
      <c r="A1045">
        <v>22198</v>
      </c>
      <c r="B1045">
        <v>40</v>
      </c>
      <c r="C1045">
        <f t="shared" si="208"/>
        <v>40</v>
      </c>
      <c r="D1045" t="s">
        <v>21</v>
      </c>
      <c r="E1045" t="str">
        <f t="shared" si="209"/>
        <v>Salaried</v>
      </c>
      <c r="F1045">
        <v>2620.9499999999998</v>
      </c>
      <c r="G1045">
        <f>ABS(Table1[[#This Row],[Monthly_Income]])</f>
        <v>2620.9499999999998</v>
      </c>
      <c r="H1045"/>
      <c r="I1045" s="5" t="str">
        <f t="shared" si="210"/>
        <v>NULL</v>
      </c>
      <c r="J1045">
        <v>18</v>
      </c>
      <c r="K1045">
        <v>25.98</v>
      </c>
      <c r="L1045">
        <v>2</v>
      </c>
      <c r="M1045">
        <f t="shared" si="211"/>
        <v>2</v>
      </c>
      <c r="N1045">
        <v>1.9</v>
      </c>
      <c r="O1045">
        <f t="shared" si="212"/>
        <v>1.9</v>
      </c>
      <c r="P1045">
        <v>30</v>
      </c>
      <c r="Q1045">
        <f t="shared" si="213"/>
        <v>30</v>
      </c>
      <c r="R1045" t="s">
        <v>20</v>
      </c>
      <c r="S1045" t="str">
        <f t="shared" si="214"/>
        <v>Written Off</v>
      </c>
      <c r="T1045" t="s">
        <v>25</v>
      </c>
      <c r="U1045" s="3" t="str">
        <f t="shared" si="215"/>
        <v>NULL</v>
      </c>
      <c r="V1045" t="str">
        <f t="shared" si="216"/>
        <v>NULL</v>
      </c>
      <c r="W1045" t="str">
        <f t="shared" si="217"/>
        <v>At Risk</v>
      </c>
      <c r="X1045" s="5" t="str">
        <f t="shared" si="218"/>
        <v>High</v>
      </c>
      <c r="Y1045" s="5" t="str">
        <f t="shared" si="219"/>
        <v>High</v>
      </c>
      <c r="Z1045" s="5" t="str">
        <f>IF(B1045=120,"NULL",IF(AND(V1045="High Stress", W1045="High Risk", Y1045="Low"),"High Risk : Reject", IF(AND(V1045="Healthy", W1045="Good",Y1045&lt;&gt;"Low"), "Low Risk : Approve", "Medium Risk : Review")))</f>
        <v>Medium Risk : Review</v>
      </c>
      <c r="AA1045" s="5" t="str">
        <f t="shared" si="220"/>
        <v>Medium</v>
      </c>
    </row>
    <row r="1046" spans="1:27" x14ac:dyDescent="0.2">
      <c r="A1046">
        <v>20317</v>
      </c>
      <c r="B1046">
        <v>27</v>
      </c>
      <c r="C1046">
        <f t="shared" si="208"/>
        <v>27</v>
      </c>
      <c r="D1046" t="s">
        <v>17</v>
      </c>
      <c r="E1046" t="str">
        <f t="shared" si="209"/>
        <v>Contract</v>
      </c>
      <c r="F1046">
        <v>3134.09</v>
      </c>
      <c r="G1046">
        <f>ABS(Table1[[#This Row],[Monthly_Income]])</f>
        <v>3134.09</v>
      </c>
      <c r="H1046">
        <v>2243.1999999999998</v>
      </c>
      <c r="I1046" s="5">
        <f t="shared" si="210"/>
        <v>2243.1999999999998</v>
      </c>
      <c r="J1046">
        <v>18</v>
      </c>
      <c r="K1046">
        <v>14.52</v>
      </c>
      <c r="L1046">
        <v>0</v>
      </c>
      <c r="M1046">
        <f t="shared" si="211"/>
        <v>0</v>
      </c>
      <c r="N1046">
        <v>8</v>
      </c>
      <c r="O1046">
        <f t="shared" si="212"/>
        <v>8</v>
      </c>
      <c r="P1046">
        <v>0</v>
      </c>
      <c r="Q1046">
        <f t="shared" si="213"/>
        <v>0</v>
      </c>
      <c r="R1046" t="s">
        <v>13</v>
      </c>
      <c r="S1046" t="str">
        <f t="shared" si="214"/>
        <v>Performing</v>
      </c>
      <c r="T1046" t="s">
        <v>16</v>
      </c>
      <c r="U1046" s="3">
        <f t="shared" si="215"/>
        <v>3.9763447195907652E-2</v>
      </c>
      <c r="V1046" t="str">
        <f t="shared" si="216"/>
        <v>Healthy</v>
      </c>
      <c r="W1046" t="str">
        <f t="shared" si="217"/>
        <v>Good</v>
      </c>
      <c r="X1046" s="5" t="str">
        <f t="shared" si="218"/>
        <v>Small</v>
      </c>
      <c r="Y1046" s="5" t="str">
        <f t="shared" si="219"/>
        <v>Low</v>
      </c>
      <c r="Z1046" s="5" t="str">
        <f>IF(B1046=120,"NULL",IF(AND(V1046="High Stress", W1046="High Risk", Y1046="Low"),"High Risk : Reject", IF(AND(V1046="Healthy", W1046="Good",Y1046&lt;&gt;"Low"), "Low Risk : Approve", "Medium Risk : Review")))</f>
        <v>Medium Risk : Review</v>
      </c>
      <c r="AA1046" s="5" t="str">
        <f t="shared" si="220"/>
        <v>Medium</v>
      </c>
    </row>
    <row r="1047" spans="1:27" x14ac:dyDescent="0.2">
      <c r="A1047">
        <v>22862</v>
      </c>
      <c r="B1047">
        <v>29</v>
      </c>
      <c r="C1047">
        <f t="shared" si="208"/>
        <v>29</v>
      </c>
      <c r="D1047" t="s">
        <v>27</v>
      </c>
      <c r="E1047" t="str">
        <f t="shared" si="209"/>
        <v>Unemployed</v>
      </c>
      <c r="F1047">
        <v>3884.62</v>
      </c>
      <c r="G1047">
        <f>ABS(Table1[[#This Row],[Monthly_Income]])</f>
        <v>3884.62</v>
      </c>
      <c r="H1047">
        <v>22627.79</v>
      </c>
      <c r="I1047" s="5">
        <f t="shared" si="210"/>
        <v>22627.79</v>
      </c>
      <c r="J1047">
        <v>24</v>
      </c>
      <c r="K1047">
        <v>23.78</v>
      </c>
      <c r="L1047">
        <v>3</v>
      </c>
      <c r="M1047">
        <f t="shared" si="211"/>
        <v>3</v>
      </c>
      <c r="N1047">
        <v>6.6</v>
      </c>
      <c r="O1047">
        <f t="shared" si="212"/>
        <v>6.6</v>
      </c>
      <c r="P1047">
        <v>90</v>
      </c>
      <c r="Q1047">
        <f t="shared" si="213"/>
        <v>90</v>
      </c>
      <c r="R1047" t="s">
        <v>18</v>
      </c>
      <c r="S1047" t="str">
        <f t="shared" si="214"/>
        <v>Non-Performing</v>
      </c>
      <c r="T1047" t="s">
        <v>14</v>
      </c>
      <c r="U1047" s="3">
        <f t="shared" si="215"/>
        <v>0.24270703011705994</v>
      </c>
      <c r="V1047" t="str">
        <f t="shared" si="216"/>
        <v>Healthy</v>
      </c>
      <c r="W1047" t="str">
        <f t="shared" si="217"/>
        <v>High Risk</v>
      </c>
      <c r="X1047" s="5" t="str">
        <f t="shared" si="218"/>
        <v>Medium</v>
      </c>
      <c r="Y1047" s="5" t="str">
        <f t="shared" si="219"/>
        <v>Low</v>
      </c>
      <c r="Z1047" s="5" t="str">
        <f>IF(B1047=120,"NULL",IF(AND(V1047="High Stress", W1047="High Risk", Y1047="Low"),"High Risk : Reject", IF(AND(V1047="Healthy", W1047="Good",Y1047&lt;&gt;"Low"), "Low Risk : Approve", "Medium Risk : Review")))</f>
        <v>Medium Risk : Review</v>
      </c>
      <c r="AA1047" s="5" t="str">
        <f t="shared" si="220"/>
        <v>Medium</v>
      </c>
    </row>
    <row r="1048" spans="1:27" x14ac:dyDescent="0.2">
      <c r="A1048">
        <v>20050</v>
      </c>
      <c r="B1048">
        <v>52</v>
      </c>
      <c r="C1048">
        <f t="shared" si="208"/>
        <v>52</v>
      </c>
      <c r="D1048" t="s">
        <v>17</v>
      </c>
      <c r="E1048" t="str">
        <f t="shared" si="209"/>
        <v>Contract</v>
      </c>
      <c r="F1048">
        <v>4674.4399999999996</v>
      </c>
      <c r="G1048">
        <f>ABS(Table1[[#This Row],[Monthly_Income]])</f>
        <v>4674.4399999999996</v>
      </c>
      <c r="H1048">
        <v>22598.799999999999</v>
      </c>
      <c r="I1048" s="5">
        <f t="shared" si="210"/>
        <v>22598.799999999999</v>
      </c>
      <c r="J1048">
        <v>48</v>
      </c>
      <c r="K1048">
        <v>18.57</v>
      </c>
      <c r="L1048">
        <v>0</v>
      </c>
      <c r="M1048">
        <f t="shared" si="211"/>
        <v>0</v>
      </c>
      <c r="N1048">
        <v>12.8</v>
      </c>
      <c r="O1048">
        <f t="shared" si="212"/>
        <v>12.8</v>
      </c>
      <c r="P1048">
        <v>60</v>
      </c>
      <c r="Q1048">
        <f t="shared" si="213"/>
        <v>60</v>
      </c>
      <c r="R1048" t="s">
        <v>20</v>
      </c>
      <c r="S1048" t="str">
        <f t="shared" si="214"/>
        <v>Written Off</v>
      </c>
      <c r="T1048" t="s">
        <v>16</v>
      </c>
      <c r="U1048" s="3">
        <f t="shared" si="215"/>
        <v>0.10071972970737314</v>
      </c>
      <c r="V1048" t="str">
        <f t="shared" si="216"/>
        <v>Healthy</v>
      </c>
      <c r="W1048" t="str">
        <f t="shared" si="217"/>
        <v>High Risk</v>
      </c>
      <c r="X1048" s="5" t="str">
        <f t="shared" si="218"/>
        <v>Medium</v>
      </c>
      <c r="Y1048" s="5" t="str">
        <f t="shared" si="219"/>
        <v>Low</v>
      </c>
      <c r="Z1048" s="5" t="str">
        <f>IF(B1048=120,"NULL",IF(AND(V1048="High Stress", W1048="High Risk", Y1048="Low"),"High Risk : Reject", IF(AND(V1048="Healthy", W1048="Good",Y1048&lt;&gt;"Low"), "Low Risk : Approve", "Medium Risk : Review")))</f>
        <v>Medium Risk : Review</v>
      </c>
      <c r="AA1048" s="5" t="str">
        <f t="shared" si="220"/>
        <v>Medium</v>
      </c>
    </row>
    <row r="1049" spans="1:27" x14ac:dyDescent="0.2">
      <c r="A1049">
        <v>21301</v>
      </c>
      <c r="B1049">
        <v>22</v>
      </c>
      <c r="C1049">
        <f t="shared" si="208"/>
        <v>22</v>
      </c>
      <c r="D1049" t="s">
        <v>27</v>
      </c>
      <c r="E1049" t="str">
        <f t="shared" si="209"/>
        <v>Unemployed</v>
      </c>
      <c r="F1049">
        <v>4767.07</v>
      </c>
      <c r="G1049">
        <f>ABS(Table1[[#This Row],[Monthly_Income]])</f>
        <v>4767.07</v>
      </c>
      <c r="H1049">
        <v>26939.86</v>
      </c>
      <c r="I1049" s="5">
        <f t="shared" si="210"/>
        <v>26939.86</v>
      </c>
      <c r="J1049">
        <v>6</v>
      </c>
      <c r="K1049">
        <v>16.190000000000001</v>
      </c>
      <c r="M1049" t="str">
        <f t="shared" si="211"/>
        <v>NULL</v>
      </c>
      <c r="N1049">
        <v>4.5999999999999996</v>
      </c>
      <c r="O1049">
        <f t="shared" si="212"/>
        <v>4.5999999999999996</v>
      </c>
      <c r="Q1049" t="str">
        <f t="shared" si="213"/>
        <v>NULL</v>
      </c>
      <c r="R1049" t="s">
        <v>13</v>
      </c>
      <c r="S1049" t="str">
        <f t="shared" si="214"/>
        <v>Performing</v>
      </c>
      <c r="T1049" t="s">
        <v>22</v>
      </c>
      <c r="U1049" s="3">
        <f t="shared" si="215"/>
        <v>0.94187344986892729</v>
      </c>
      <c r="V1049" t="str">
        <f t="shared" si="216"/>
        <v>High Stress</v>
      </c>
      <c r="W1049" t="str">
        <f t="shared" si="217"/>
        <v>NULL</v>
      </c>
      <c r="X1049" s="5" t="str">
        <f t="shared" si="218"/>
        <v>Medium</v>
      </c>
      <c r="Y1049" s="5" t="str">
        <f t="shared" si="219"/>
        <v>Low</v>
      </c>
      <c r="Z1049" s="5" t="str">
        <f>IF(B1049=120,"NULL",IF(AND(V1049="High Stress", W1049="High Risk", Y1049="Low"),"High Risk : Reject", IF(AND(V1049="Healthy", W1049="Good",Y1049&lt;&gt;"Low"), "Low Risk : Approve", "Medium Risk : Review")))</f>
        <v>Medium Risk : Review</v>
      </c>
      <c r="AA1049" s="5" t="str">
        <f t="shared" si="220"/>
        <v>Medium</v>
      </c>
    </row>
    <row r="1050" spans="1:27" x14ac:dyDescent="0.2">
      <c r="A1050">
        <v>23797</v>
      </c>
      <c r="B1050">
        <v>32</v>
      </c>
      <c r="C1050">
        <f t="shared" si="208"/>
        <v>32</v>
      </c>
      <c r="D1050" t="s">
        <v>26</v>
      </c>
      <c r="E1050" t="str">
        <f t="shared" si="209"/>
        <v>Salaried</v>
      </c>
      <c r="F1050">
        <v>6523.27</v>
      </c>
      <c r="G1050">
        <f>ABS(Table1[[#This Row],[Monthly_Income]])</f>
        <v>6523.27</v>
      </c>
      <c r="H1050">
        <v>25581.71</v>
      </c>
      <c r="I1050" s="5">
        <f t="shared" si="210"/>
        <v>25581.71</v>
      </c>
      <c r="J1050">
        <v>6</v>
      </c>
      <c r="K1050">
        <v>18.13</v>
      </c>
      <c r="L1050">
        <v>3</v>
      </c>
      <c r="M1050">
        <f t="shared" si="211"/>
        <v>3</v>
      </c>
      <c r="N1050">
        <v>11</v>
      </c>
      <c r="O1050">
        <f t="shared" si="212"/>
        <v>11</v>
      </c>
      <c r="P1050">
        <v>0</v>
      </c>
      <c r="Q1050">
        <f t="shared" si="213"/>
        <v>0</v>
      </c>
      <c r="R1050" t="s">
        <v>24</v>
      </c>
      <c r="S1050" t="str">
        <f t="shared" si="214"/>
        <v>Non-Performing</v>
      </c>
      <c r="T1050" t="s">
        <v>25</v>
      </c>
      <c r="U1050" s="3">
        <f t="shared" si="215"/>
        <v>0.65360138907838139</v>
      </c>
      <c r="V1050" t="str">
        <f t="shared" si="216"/>
        <v>High Stress</v>
      </c>
      <c r="W1050" t="str">
        <f t="shared" si="217"/>
        <v>Good</v>
      </c>
      <c r="X1050" s="5" t="str">
        <f t="shared" si="218"/>
        <v>Medium</v>
      </c>
      <c r="Y1050" s="5" t="str">
        <f t="shared" si="219"/>
        <v>High</v>
      </c>
      <c r="Z1050" s="5" t="str">
        <f>IF(B1050=120,"NULL",IF(AND(V1050="High Stress", W1050="High Risk", Y1050="Low"),"High Risk : Reject", IF(AND(V1050="Healthy", W1050="Good",Y1050&lt;&gt;"Low"), "Low Risk : Approve", "Medium Risk : Review")))</f>
        <v>Medium Risk : Review</v>
      </c>
      <c r="AA1050" s="5" t="str">
        <f t="shared" si="220"/>
        <v>Medium</v>
      </c>
    </row>
    <row r="1051" spans="1:27" x14ac:dyDescent="0.2">
      <c r="A1051">
        <v>24419</v>
      </c>
      <c r="B1051">
        <v>40</v>
      </c>
      <c r="C1051">
        <f t="shared" si="208"/>
        <v>40</v>
      </c>
      <c r="D1051" t="s">
        <v>17</v>
      </c>
      <c r="E1051" t="str">
        <f t="shared" si="209"/>
        <v>Contract</v>
      </c>
      <c r="F1051">
        <v>4378.5200000000004</v>
      </c>
      <c r="G1051">
        <f>ABS(Table1[[#This Row],[Monthly_Income]])</f>
        <v>4378.5200000000004</v>
      </c>
      <c r="H1051">
        <v>28440.98</v>
      </c>
      <c r="I1051" s="5">
        <f t="shared" si="210"/>
        <v>28440.98</v>
      </c>
      <c r="J1051">
        <v>18</v>
      </c>
      <c r="K1051">
        <v>28.16</v>
      </c>
      <c r="L1051">
        <v>4</v>
      </c>
      <c r="M1051">
        <f t="shared" si="211"/>
        <v>4</v>
      </c>
      <c r="N1051">
        <v>2</v>
      </c>
      <c r="O1051">
        <f t="shared" si="212"/>
        <v>2</v>
      </c>
      <c r="P1051">
        <v>15</v>
      </c>
      <c r="Q1051">
        <f t="shared" si="213"/>
        <v>15</v>
      </c>
      <c r="R1051" t="s">
        <v>15</v>
      </c>
      <c r="S1051" t="str">
        <f t="shared" si="214"/>
        <v xml:space="preserve">Performing </v>
      </c>
      <c r="T1051" t="s">
        <v>22</v>
      </c>
      <c r="U1051" s="3">
        <f t="shared" si="215"/>
        <v>0.36086495995095241</v>
      </c>
      <c r="V1051" t="str">
        <f t="shared" si="216"/>
        <v>Stretched</v>
      </c>
      <c r="W1051" t="str">
        <f t="shared" si="217"/>
        <v>Good</v>
      </c>
      <c r="X1051" s="5" t="str">
        <f t="shared" si="218"/>
        <v>Medium</v>
      </c>
      <c r="Y1051" s="5" t="str">
        <f t="shared" si="219"/>
        <v>Low</v>
      </c>
      <c r="Z1051" s="5" t="str">
        <f>IF(B1051=120,"NULL",IF(AND(V1051="High Stress", W1051="High Risk", Y1051="Low"),"High Risk : Reject", IF(AND(V1051="Healthy", W1051="Good",Y1051&lt;&gt;"Low"), "Low Risk : Approve", "Medium Risk : Review")))</f>
        <v>Medium Risk : Review</v>
      </c>
      <c r="AA1051" s="5" t="str">
        <f t="shared" si="220"/>
        <v>Medium</v>
      </c>
    </row>
    <row r="1052" spans="1:27" x14ac:dyDescent="0.2">
      <c r="A1052">
        <v>24144</v>
      </c>
      <c r="B1052">
        <v>54</v>
      </c>
      <c r="C1052">
        <f t="shared" si="208"/>
        <v>54</v>
      </c>
      <c r="D1052" t="s">
        <v>26</v>
      </c>
      <c r="E1052" t="str">
        <f t="shared" si="209"/>
        <v>Salaried</v>
      </c>
      <c r="F1052">
        <v>705.85</v>
      </c>
      <c r="G1052">
        <f>ABS(Table1[[#This Row],[Monthly_Income]])</f>
        <v>705.85</v>
      </c>
      <c r="H1052">
        <v>20246.330000000002</v>
      </c>
      <c r="I1052" s="5">
        <f t="shared" si="210"/>
        <v>20246.330000000002</v>
      </c>
      <c r="J1052">
        <v>48</v>
      </c>
      <c r="K1052">
        <v>26.78</v>
      </c>
      <c r="L1052">
        <v>1</v>
      </c>
      <c r="M1052">
        <f t="shared" si="211"/>
        <v>1</v>
      </c>
      <c r="N1052">
        <v>13.2</v>
      </c>
      <c r="O1052">
        <f t="shared" si="212"/>
        <v>13.2</v>
      </c>
      <c r="P1052">
        <v>120</v>
      </c>
      <c r="Q1052">
        <f t="shared" si="213"/>
        <v>120</v>
      </c>
      <c r="R1052" t="s">
        <v>15</v>
      </c>
      <c r="S1052" t="str">
        <f t="shared" si="214"/>
        <v xml:space="preserve">Performing </v>
      </c>
      <c r="T1052" t="s">
        <v>25</v>
      </c>
      <c r="U1052" s="3">
        <f t="shared" si="215"/>
        <v>0.59757532289674387</v>
      </c>
      <c r="V1052" t="str">
        <f t="shared" si="216"/>
        <v>High Stress</v>
      </c>
      <c r="W1052" t="str">
        <f t="shared" si="217"/>
        <v>High Risk</v>
      </c>
      <c r="X1052" s="5" t="str">
        <f t="shared" si="218"/>
        <v>Medium</v>
      </c>
      <c r="Y1052" s="5" t="str">
        <f t="shared" si="219"/>
        <v>High</v>
      </c>
      <c r="Z1052" s="5" t="str">
        <f>IF(B1052=120,"NULL",IF(AND(V1052="High Stress", W1052="High Risk", Y1052="Low"),"High Risk : Reject", IF(AND(V1052="Healthy", W1052="Good",Y1052&lt;&gt;"Low"), "Low Risk : Approve", "Medium Risk : Review")))</f>
        <v>Medium Risk : Review</v>
      </c>
      <c r="AA1052" s="5" t="str">
        <f t="shared" si="220"/>
        <v>Low</v>
      </c>
    </row>
    <row r="1053" spans="1:27" x14ac:dyDescent="0.2">
      <c r="A1053">
        <v>24617</v>
      </c>
      <c r="B1053">
        <v>41</v>
      </c>
      <c r="C1053">
        <f t="shared" si="208"/>
        <v>41</v>
      </c>
      <c r="D1053" t="s">
        <v>17</v>
      </c>
      <c r="E1053" t="str">
        <f t="shared" si="209"/>
        <v>Contract</v>
      </c>
      <c r="F1053">
        <v>6677.71</v>
      </c>
      <c r="G1053">
        <f>ABS(Table1[[#This Row],[Monthly_Income]])</f>
        <v>6677.71</v>
      </c>
      <c r="H1053">
        <v>25033.73</v>
      </c>
      <c r="I1053" s="5">
        <f t="shared" si="210"/>
        <v>25033.73</v>
      </c>
      <c r="J1053">
        <v>36</v>
      </c>
      <c r="K1053">
        <v>16.5</v>
      </c>
      <c r="L1053">
        <v>0</v>
      </c>
      <c r="M1053">
        <f t="shared" si="211"/>
        <v>0</v>
      </c>
      <c r="N1053">
        <v>3.7</v>
      </c>
      <c r="O1053">
        <f t="shared" si="212"/>
        <v>3.7</v>
      </c>
      <c r="P1053">
        <v>120</v>
      </c>
      <c r="Q1053">
        <f t="shared" si="213"/>
        <v>120</v>
      </c>
      <c r="R1053" t="s">
        <v>20</v>
      </c>
      <c r="S1053" t="str">
        <f t="shared" si="214"/>
        <v>Written Off</v>
      </c>
      <c r="T1053" t="s">
        <v>22</v>
      </c>
      <c r="U1053" s="3">
        <f t="shared" si="215"/>
        <v>0.10413470918756414</v>
      </c>
      <c r="V1053" t="str">
        <f t="shared" si="216"/>
        <v>Healthy</v>
      </c>
      <c r="W1053" t="str">
        <f t="shared" si="217"/>
        <v>High Risk</v>
      </c>
      <c r="X1053" s="5" t="str">
        <f t="shared" si="218"/>
        <v>Medium</v>
      </c>
      <c r="Y1053" s="5" t="str">
        <f t="shared" si="219"/>
        <v>Low</v>
      </c>
      <c r="Z1053" s="5" t="str">
        <f>IF(B1053=120,"NULL",IF(AND(V1053="High Stress", W1053="High Risk", Y1053="Low"),"High Risk : Reject", IF(AND(V1053="Healthy", W1053="Good",Y1053&lt;&gt;"Low"), "Low Risk : Approve", "Medium Risk : Review")))</f>
        <v>Medium Risk : Review</v>
      </c>
      <c r="AA1053" s="5" t="str">
        <f t="shared" si="220"/>
        <v>Medium</v>
      </c>
    </row>
    <row r="1054" spans="1:27" x14ac:dyDescent="0.2">
      <c r="A1054">
        <v>20584</v>
      </c>
      <c r="B1054">
        <v>44</v>
      </c>
      <c r="C1054">
        <f t="shared" si="208"/>
        <v>44</v>
      </c>
      <c r="D1054" t="s">
        <v>27</v>
      </c>
      <c r="E1054" t="str">
        <f t="shared" si="209"/>
        <v>Unemployed</v>
      </c>
      <c r="F1054">
        <v>2909.22</v>
      </c>
      <c r="G1054">
        <f>ABS(Table1[[#This Row],[Monthly_Income]])</f>
        <v>2909.22</v>
      </c>
      <c r="H1054">
        <v>23539.94</v>
      </c>
      <c r="I1054" s="5">
        <f t="shared" si="210"/>
        <v>23539.94</v>
      </c>
      <c r="J1054">
        <v>12</v>
      </c>
      <c r="K1054">
        <v>16.73</v>
      </c>
      <c r="L1054">
        <v>3</v>
      </c>
      <c r="M1054">
        <f t="shared" si="211"/>
        <v>3</v>
      </c>
      <c r="N1054">
        <v>6.2</v>
      </c>
      <c r="O1054">
        <f t="shared" si="212"/>
        <v>6.2</v>
      </c>
      <c r="P1054">
        <v>120</v>
      </c>
      <c r="Q1054">
        <f t="shared" si="213"/>
        <v>120</v>
      </c>
      <c r="R1054" t="s">
        <v>20</v>
      </c>
      <c r="S1054" t="str">
        <f t="shared" si="214"/>
        <v>Written Off</v>
      </c>
      <c r="T1054" t="s">
        <v>22</v>
      </c>
      <c r="U1054" s="3">
        <f t="shared" si="215"/>
        <v>0.67429127624128349</v>
      </c>
      <c r="V1054" t="str">
        <f t="shared" si="216"/>
        <v>High Stress</v>
      </c>
      <c r="W1054" t="str">
        <f t="shared" si="217"/>
        <v>High Risk</v>
      </c>
      <c r="X1054" s="5" t="str">
        <f t="shared" si="218"/>
        <v>Medium</v>
      </c>
      <c r="Y1054" s="5" t="str">
        <f t="shared" si="219"/>
        <v>Low</v>
      </c>
      <c r="Z1054" s="5" t="str">
        <f>IF(B1054=120,"NULL",IF(AND(V1054="High Stress", W1054="High Risk", Y1054="Low"),"High Risk : Reject", IF(AND(V1054="Healthy", W1054="Good",Y1054&lt;&gt;"Low"), "Low Risk : Approve", "Medium Risk : Review")))</f>
        <v>High Risk : Reject</v>
      </c>
      <c r="AA1054" s="5" t="str">
        <f t="shared" si="220"/>
        <v>Medium</v>
      </c>
    </row>
    <row r="1055" spans="1:27" x14ac:dyDescent="0.2">
      <c r="A1055">
        <v>20535</v>
      </c>
      <c r="B1055">
        <v>56</v>
      </c>
      <c r="C1055">
        <f t="shared" si="208"/>
        <v>56</v>
      </c>
      <c r="D1055" t="s">
        <v>21</v>
      </c>
      <c r="E1055" t="str">
        <f t="shared" si="209"/>
        <v>Salaried</v>
      </c>
      <c r="F1055">
        <v>2914.8</v>
      </c>
      <c r="G1055">
        <f>ABS(Table1[[#This Row],[Monthly_Income]])</f>
        <v>2914.8</v>
      </c>
      <c r="H1055">
        <v>31288.36</v>
      </c>
      <c r="I1055" s="5">
        <f t="shared" si="210"/>
        <v>31288.36</v>
      </c>
      <c r="J1055">
        <v>60</v>
      </c>
      <c r="K1055">
        <v>20.77</v>
      </c>
      <c r="L1055">
        <v>4</v>
      </c>
      <c r="M1055">
        <f t="shared" si="211"/>
        <v>4</v>
      </c>
      <c r="N1055">
        <v>4</v>
      </c>
      <c r="O1055">
        <f t="shared" si="212"/>
        <v>4</v>
      </c>
      <c r="P1055">
        <v>0</v>
      </c>
      <c r="Q1055">
        <f t="shared" si="213"/>
        <v>0</v>
      </c>
      <c r="R1055" t="s">
        <v>15</v>
      </c>
      <c r="S1055" t="str">
        <f t="shared" si="214"/>
        <v xml:space="preserve">Performing </v>
      </c>
      <c r="T1055" t="s">
        <v>25</v>
      </c>
      <c r="U1055" s="3">
        <f t="shared" si="215"/>
        <v>0.17890512785325466</v>
      </c>
      <c r="V1055" t="str">
        <f t="shared" si="216"/>
        <v>Healthy</v>
      </c>
      <c r="W1055" t="str">
        <f t="shared" si="217"/>
        <v>Good</v>
      </c>
      <c r="X1055" s="5" t="str">
        <f t="shared" si="218"/>
        <v>High</v>
      </c>
      <c r="Y1055" s="5" t="str">
        <f t="shared" si="219"/>
        <v>High</v>
      </c>
      <c r="Z1055" s="5" t="str">
        <f>IF(B1055=120,"NULL",IF(AND(V1055="High Stress", W1055="High Risk", Y1055="Low"),"High Risk : Reject", IF(AND(V1055="Healthy", W1055="Good",Y1055&lt;&gt;"Low"), "Low Risk : Approve", "Medium Risk : Review")))</f>
        <v>Low Risk : Approve</v>
      </c>
      <c r="AA1055" s="5" t="str">
        <f t="shared" si="220"/>
        <v>Medium</v>
      </c>
    </row>
    <row r="1056" spans="1:27" x14ac:dyDescent="0.2">
      <c r="A1056">
        <v>25287</v>
      </c>
      <c r="B1056">
        <v>36</v>
      </c>
      <c r="C1056">
        <f t="shared" si="208"/>
        <v>36</v>
      </c>
      <c r="D1056" t="s">
        <v>12</v>
      </c>
      <c r="E1056" t="str">
        <f t="shared" si="209"/>
        <v>Self-Employed</v>
      </c>
      <c r="F1056">
        <v>7157.12</v>
      </c>
      <c r="G1056">
        <f>ABS(Table1[[#This Row],[Monthly_Income]])</f>
        <v>7157.12</v>
      </c>
      <c r="H1056">
        <v>18107</v>
      </c>
      <c r="I1056" s="5">
        <f t="shared" si="210"/>
        <v>18107</v>
      </c>
      <c r="J1056">
        <v>48</v>
      </c>
      <c r="K1056">
        <v>25.25</v>
      </c>
      <c r="L1056">
        <v>2</v>
      </c>
      <c r="M1056">
        <f t="shared" si="211"/>
        <v>2</v>
      </c>
      <c r="N1056">
        <v>4.5999999999999996</v>
      </c>
      <c r="O1056">
        <f t="shared" si="212"/>
        <v>4.5999999999999996</v>
      </c>
      <c r="P1056">
        <v>120</v>
      </c>
      <c r="Q1056">
        <f t="shared" si="213"/>
        <v>120</v>
      </c>
      <c r="R1056" t="s">
        <v>20</v>
      </c>
      <c r="S1056" t="str">
        <f t="shared" si="214"/>
        <v>Written Off</v>
      </c>
      <c r="T1056" t="s">
        <v>14</v>
      </c>
      <c r="U1056" s="3">
        <f t="shared" si="215"/>
        <v>5.2706838318578794E-2</v>
      </c>
      <c r="V1056" t="str">
        <f t="shared" si="216"/>
        <v>Healthy</v>
      </c>
      <c r="W1056" t="str">
        <f t="shared" si="217"/>
        <v>High Risk</v>
      </c>
      <c r="X1056" s="5" t="str">
        <f t="shared" si="218"/>
        <v>Medium</v>
      </c>
      <c r="Y1056" s="5" t="str">
        <f t="shared" si="219"/>
        <v>Medium</v>
      </c>
      <c r="Z1056" s="5" t="str">
        <f>IF(B1056=120,"NULL",IF(AND(V1056="High Stress", W1056="High Risk", Y1056="Low"),"High Risk : Reject", IF(AND(V1056="Healthy", W1056="Good",Y1056&lt;&gt;"Low"), "Low Risk : Approve", "Medium Risk : Review")))</f>
        <v>Medium Risk : Review</v>
      </c>
      <c r="AA1056" s="5" t="str">
        <f t="shared" si="220"/>
        <v>Medium</v>
      </c>
    </row>
    <row r="1057" spans="1:27" x14ac:dyDescent="0.2">
      <c r="A1057">
        <v>20782</v>
      </c>
      <c r="B1057">
        <v>50</v>
      </c>
      <c r="C1057">
        <f t="shared" si="208"/>
        <v>50</v>
      </c>
      <c r="D1057" t="s">
        <v>23</v>
      </c>
      <c r="E1057" t="str">
        <f t="shared" si="209"/>
        <v>Self-Employed</v>
      </c>
      <c r="F1057">
        <v>3134.05</v>
      </c>
      <c r="G1057">
        <f>ABS(Table1[[#This Row],[Monthly_Income]])</f>
        <v>3134.05</v>
      </c>
      <c r="H1057">
        <v>25369.69</v>
      </c>
      <c r="I1057" s="5">
        <f t="shared" si="210"/>
        <v>25369.69</v>
      </c>
      <c r="J1057">
        <v>12</v>
      </c>
      <c r="K1057">
        <v>16.73</v>
      </c>
      <c r="L1057">
        <v>4</v>
      </c>
      <c r="M1057">
        <f t="shared" si="211"/>
        <v>4</v>
      </c>
      <c r="N1057">
        <v>5.5</v>
      </c>
      <c r="O1057">
        <f t="shared" si="212"/>
        <v>5.5</v>
      </c>
      <c r="P1057">
        <v>30</v>
      </c>
      <c r="Q1057">
        <f t="shared" si="213"/>
        <v>30</v>
      </c>
      <c r="R1057" t="s">
        <v>18</v>
      </c>
      <c r="S1057" t="str">
        <f t="shared" si="214"/>
        <v>Non-Performing</v>
      </c>
      <c r="T1057" t="s">
        <v>16</v>
      </c>
      <c r="U1057" s="3">
        <f t="shared" si="215"/>
        <v>0.67457150758071283</v>
      </c>
      <c r="V1057" t="str">
        <f t="shared" si="216"/>
        <v>High Stress</v>
      </c>
      <c r="W1057" t="str">
        <f t="shared" si="217"/>
        <v>At Risk</v>
      </c>
      <c r="X1057" s="5" t="str">
        <f t="shared" si="218"/>
        <v>Medium</v>
      </c>
      <c r="Y1057" s="5" t="str">
        <f t="shared" si="219"/>
        <v>Medium</v>
      </c>
      <c r="Z1057" s="5" t="str">
        <f>IF(B1057=120,"NULL",IF(AND(V1057="High Stress", W1057="High Risk", Y1057="Low"),"High Risk : Reject", IF(AND(V1057="Healthy", W1057="Good",Y1057&lt;&gt;"Low"), "Low Risk : Approve", "Medium Risk : Review")))</f>
        <v>Medium Risk : Review</v>
      </c>
      <c r="AA1057" s="5" t="str">
        <f t="shared" si="220"/>
        <v>Medium</v>
      </c>
    </row>
    <row r="1058" spans="1:27" x14ac:dyDescent="0.2">
      <c r="A1058">
        <v>22830</v>
      </c>
      <c r="B1058">
        <v>24</v>
      </c>
      <c r="C1058">
        <f t="shared" si="208"/>
        <v>24</v>
      </c>
      <c r="D1058" t="s">
        <v>12</v>
      </c>
      <c r="E1058" t="str">
        <f t="shared" si="209"/>
        <v>Self-Employed</v>
      </c>
      <c r="F1058">
        <v>6471.71</v>
      </c>
      <c r="G1058">
        <f>ABS(Table1[[#This Row],[Monthly_Income]])</f>
        <v>6471.71</v>
      </c>
      <c r="H1058">
        <v>15457.78</v>
      </c>
      <c r="I1058" s="5">
        <f t="shared" si="210"/>
        <v>15457.78</v>
      </c>
      <c r="J1058">
        <v>6</v>
      </c>
      <c r="K1058">
        <v>55</v>
      </c>
      <c r="L1058">
        <v>1</v>
      </c>
      <c r="M1058">
        <f t="shared" si="211"/>
        <v>1</v>
      </c>
      <c r="N1058">
        <v>2.4</v>
      </c>
      <c r="O1058">
        <f t="shared" si="212"/>
        <v>2.4</v>
      </c>
      <c r="P1058">
        <v>90</v>
      </c>
      <c r="Q1058">
        <f t="shared" si="213"/>
        <v>90</v>
      </c>
      <c r="R1058" t="s">
        <v>15</v>
      </c>
      <c r="S1058" t="str">
        <f t="shared" si="214"/>
        <v xml:space="preserve">Performing </v>
      </c>
      <c r="T1058" t="s">
        <v>25</v>
      </c>
      <c r="U1058" s="3">
        <f t="shared" si="215"/>
        <v>0.39808592577026269</v>
      </c>
      <c r="V1058" t="str">
        <f t="shared" si="216"/>
        <v>Stretched</v>
      </c>
      <c r="W1058" t="str">
        <f t="shared" si="217"/>
        <v>High Risk</v>
      </c>
      <c r="X1058" s="5" t="str">
        <f t="shared" si="218"/>
        <v>Medium</v>
      </c>
      <c r="Y1058" s="5" t="str">
        <f t="shared" si="219"/>
        <v>Medium</v>
      </c>
      <c r="Z1058" s="5" t="str">
        <f>IF(B1058=120,"NULL",IF(AND(V1058="High Stress", W1058="High Risk", Y1058="Low"),"High Risk : Reject", IF(AND(V1058="Healthy", W1058="Good",Y1058&lt;&gt;"Low"), "Low Risk : Approve", "Medium Risk : Review")))</f>
        <v>Medium Risk : Review</v>
      </c>
      <c r="AA1058" s="5" t="str">
        <f t="shared" si="220"/>
        <v>Medium</v>
      </c>
    </row>
    <row r="1059" spans="1:27" x14ac:dyDescent="0.2">
      <c r="A1059">
        <v>23153</v>
      </c>
      <c r="B1059">
        <v>120</v>
      </c>
      <c r="C1059" t="str">
        <f t="shared" si="208"/>
        <v>NULL</v>
      </c>
      <c r="D1059" t="s">
        <v>23</v>
      </c>
      <c r="E1059" t="str">
        <f t="shared" si="209"/>
        <v>Self-Employed</v>
      </c>
      <c r="F1059">
        <v>5975.75</v>
      </c>
      <c r="G1059">
        <f>ABS(Table1[[#This Row],[Monthly_Income]])</f>
        <v>5975.75</v>
      </c>
      <c r="H1059">
        <v>-2167.9699999999998</v>
      </c>
      <c r="I1059" s="5">
        <f t="shared" si="210"/>
        <v>2167.9699999999998</v>
      </c>
      <c r="J1059">
        <v>60</v>
      </c>
      <c r="K1059">
        <v>21.79</v>
      </c>
      <c r="M1059" t="str">
        <f t="shared" si="211"/>
        <v>NULL</v>
      </c>
      <c r="N1059">
        <v>13.9</v>
      </c>
      <c r="O1059">
        <f t="shared" si="212"/>
        <v>13.9</v>
      </c>
      <c r="P1059">
        <v>0</v>
      </c>
      <c r="Q1059">
        <f t="shared" si="213"/>
        <v>0</v>
      </c>
      <c r="R1059" t="s">
        <v>18</v>
      </c>
      <c r="S1059" t="str">
        <f t="shared" si="214"/>
        <v>Non-Performing</v>
      </c>
      <c r="T1059" t="s">
        <v>25</v>
      </c>
      <c r="U1059" s="3">
        <f t="shared" si="215"/>
        <v>6.0465771381556007E-3</v>
      </c>
      <c r="V1059" t="str">
        <f t="shared" si="216"/>
        <v>Healthy</v>
      </c>
      <c r="W1059" t="str">
        <f t="shared" si="217"/>
        <v>Good</v>
      </c>
      <c r="X1059" s="5" t="str">
        <f t="shared" si="218"/>
        <v>Small</v>
      </c>
      <c r="Y1059" s="5" t="str">
        <f t="shared" si="219"/>
        <v>Medium</v>
      </c>
      <c r="Z1059" s="5" t="str">
        <f>IF(B1059=120,"NULL",IF(AND(V1059="High Stress", W1059="High Risk", Y1059="Low"),"High Risk : Reject", IF(AND(V1059="Healthy", W1059="Good",Y1059&lt;&gt;"Low"), "Low Risk : Approve", "Medium Risk : Review")))</f>
        <v>NULL</v>
      </c>
      <c r="AA1059" s="5" t="str">
        <f t="shared" si="220"/>
        <v>Medium</v>
      </c>
    </row>
    <row r="1060" spans="1:27" x14ac:dyDescent="0.2">
      <c r="A1060">
        <v>24103</v>
      </c>
      <c r="B1060">
        <v>75</v>
      </c>
      <c r="C1060">
        <f t="shared" si="208"/>
        <v>75</v>
      </c>
      <c r="D1060" t="s">
        <v>26</v>
      </c>
      <c r="E1060" t="str">
        <f t="shared" si="209"/>
        <v>Salaried</v>
      </c>
      <c r="F1060">
        <v>4243.5</v>
      </c>
      <c r="G1060">
        <f>ABS(Table1[[#This Row],[Monthly_Income]])</f>
        <v>4243.5</v>
      </c>
      <c r="H1060">
        <v>40867.25</v>
      </c>
      <c r="I1060" s="5">
        <f t="shared" si="210"/>
        <v>40867.25</v>
      </c>
      <c r="J1060">
        <v>12</v>
      </c>
      <c r="K1060">
        <v>13.13</v>
      </c>
      <c r="L1060">
        <v>1</v>
      </c>
      <c r="M1060">
        <f t="shared" si="211"/>
        <v>1</v>
      </c>
      <c r="N1060">
        <v>9.6999999999999993</v>
      </c>
      <c r="O1060">
        <f t="shared" si="212"/>
        <v>9.6999999999999993</v>
      </c>
      <c r="P1060">
        <v>15</v>
      </c>
      <c r="Q1060">
        <f t="shared" si="213"/>
        <v>15</v>
      </c>
      <c r="R1060" t="s">
        <v>24</v>
      </c>
      <c r="S1060" t="str">
        <f t="shared" si="214"/>
        <v>Non-Performing</v>
      </c>
      <c r="T1060" t="s">
        <v>19</v>
      </c>
      <c r="U1060" s="3">
        <f t="shared" si="215"/>
        <v>0.80254605082282704</v>
      </c>
      <c r="V1060" t="str">
        <f t="shared" si="216"/>
        <v>High Stress</v>
      </c>
      <c r="W1060" t="str">
        <f t="shared" si="217"/>
        <v>Good</v>
      </c>
      <c r="X1060" s="5" t="str">
        <f t="shared" si="218"/>
        <v>High</v>
      </c>
      <c r="Y1060" s="5" t="str">
        <f t="shared" si="219"/>
        <v>High</v>
      </c>
      <c r="Z1060" s="5" t="str">
        <f>IF(B1060=120,"NULL",IF(AND(V1060="High Stress", W1060="High Risk", Y1060="Low"),"High Risk : Reject", IF(AND(V1060="Healthy", W1060="Good",Y1060&lt;&gt;"Low"), "Low Risk : Approve", "Medium Risk : Review")))</f>
        <v>Medium Risk : Review</v>
      </c>
      <c r="AA1060" s="5" t="str">
        <f t="shared" si="220"/>
        <v>Medium</v>
      </c>
    </row>
    <row r="1061" spans="1:27" x14ac:dyDescent="0.2">
      <c r="A1061">
        <v>23741</v>
      </c>
      <c r="B1061">
        <v>50</v>
      </c>
      <c r="C1061">
        <f t="shared" si="208"/>
        <v>50</v>
      </c>
      <c r="D1061" t="s">
        <v>17</v>
      </c>
      <c r="E1061" t="str">
        <f t="shared" si="209"/>
        <v>Contract</v>
      </c>
      <c r="F1061">
        <v>5946.38</v>
      </c>
      <c r="G1061">
        <f>ABS(Table1[[#This Row],[Monthly_Income]])</f>
        <v>5946.38</v>
      </c>
      <c r="H1061">
        <v>25629.34</v>
      </c>
      <c r="I1061" s="5">
        <f t="shared" si="210"/>
        <v>25629.34</v>
      </c>
      <c r="J1061">
        <v>12</v>
      </c>
      <c r="K1061">
        <v>24.62</v>
      </c>
      <c r="L1061">
        <v>0</v>
      </c>
      <c r="M1061">
        <f t="shared" si="211"/>
        <v>0</v>
      </c>
      <c r="N1061">
        <v>7.9</v>
      </c>
      <c r="O1061">
        <f t="shared" si="212"/>
        <v>7.9</v>
      </c>
      <c r="P1061">
        <v>90</v>
      </c>
      <c r="Q1061">
        <f t="shared" si="213"/>
        <v>90</v>
      </c>
      <c r="R1061" t="s">
        <v>13</v>
      </c>
      <c r="S1061" t="str">
        <f t="shared" si="214"/>
        <v>Performing</v>
      </c>
      <c r="T1061" t="s">
        <v>16</v>
      </c>
      <c r="U1061" s="3">
        <f t="shared" si="215"/>
        <v>0.3591728637142822</v>
      </c>
      <c r="V1061" t="str">
        <f t="shared" si="216"/>
        <v>Stretched</v>
      </c>
      <c r="W1061" t="str">
        <f t="shared" si="217"/>
        <v>High Risk</v>
      </c>
      <c r="X1061" s="5" t="str">
        <f t="shared" si="218"/>
        <v>Medium</v>
      </c>
      <c r="Y1061" s="5" t="str">
        <f t="shared" si="219"/>
        <v>Low</v>
      </c>
      <c r="Z1061" s="5" t="str">
        <f>IF(B1061=120,"NULL",IF(AND(V1061="High Stress", W1061="High Risk", Y1061="Low"),"High Risk : Reject", IF(AND(V1061="Healthy", W1061="Good",Y1061&lt;&gt;"Low"), "Low Risk : Approve", "Medium Risk : Review")))</f>
        <v>Medium Risk : Review</v>
      </c>
      <c r="AA1061" s="5" t="str">
        <f t="shared" si="220"/>
        <v>Medium</v>
      </c>
    </row>
    <row r="1062" spans="1:27" x14ac:dyDescent="0.2">
      <c r="A1062">
        <v>20307</v>
      </c>
      <c r="B1062">
        <v>120</v>
      </c>
      <c r="C1062" t="str">
        <f t="shared" si="208"/>
        <v>NULL</v>
      </c>
      <c r="D1062" t="s">
        <v>26</v>
      </c>
      <c r="E1062" t="str">
        <f t="shared" si="209"/>
        <v>Salaried</v>
      </c>
      <c r="F1062">
        <v>8090.49</v>
      </c>
      <c r="G1062">
        <f>ABS(Table1[[#This Row],[Monthly_Income]])</f>
        <v>8090.49</v>
      </c>
      <c r="H1062">
        <v>22854</v>
      </c>
      <c r="I1062" s="5">
        <f t="shared" si="210"/>
        <v>22854</v>
      </c>
      <c r="J1062">
        <v>6</v>
      </c>
      <c r="K1062">
        <v>15.28</v>
      </c>
      <c r="M1062" t="str">
        <f t="shared" si="211"/>
        <v>NULL</v>
      </c>
      <c r="N1062">
        <v>4.5999999999999996</v>
      </c>
      <c r="O1062">
        <f t="shared" si="212"/>
        <v>4.5999999999999996</v>
      </c>
      <c r="P1062">
        <v>0</v>
      </c>
      <c r="Q1062">
        <f t="shared" si="213"/>
        <v>0</v>
      </c>
      <c r="R1062" t="s">
        <v>15</v>
      </c>
      <c r="S1062" t="str">
        <f t="shared" si="214"/>
        <v xml:space="preserve">Performing </v>
      </c>
      <c r="T1062" t="s">
        <v>19</v>
      </c>
      <c r="U1062" s="3">
        <f t="shared" si="215"/>
        <v>0.47079966726366385</v>
      </c>
      <c r="V1062" t="str">
        <f t="shared" si="216"/>
        <v>High Stress</v>
      </c>
      <c r="W1062" t="str">
        <f t="shared" si="217"/>
        <v>Good</v>
      </c>
      <c r="X1062" s="5" t="str">
        <f t="shared" si="218"/>
        <v>Medium</v>
      </c>
      <c r="Y1062" s="5" t="str">
        <f t="shared" si="219"/>
        <v>High</v>
      </c>
      <c r="Z1062" s="5" t="str">
        <f>IF(B1062=120,"NULL",IF(AND(V1062="High Stress", W1062="High Risk", Y1062="Low"),"High Risk : Reject", IF(AND(V1062="Healthy", W1062="Good",Y1062&lt;&gt;"Low"), "Low Risk : Approve", "Medium Risk : Review")))</f>
        <v>NULL</v>
      </c>
      <c r="AA1062" s="5" t="str">
        <f t="shared" si="220"/>
        <v>High</v>
      </c>
    </row>
    <row r="1063" spans="1:27" x14ac:dyDescent="0.2">
      <c r="A1063">
        <v>20039</v>
      </c>
      <c r="B1063">
        <v>45</v>
      </c>
      <c r="C1063">
        <f t="shared" si="208"/>
        <v>45</v>
      </c>
      <c r="D1063" t="s">
        <v>21</v>
      </c>
      <c r="E1063" t="str">
        <f t="shared" si="209"/>
        <v>Salaried</v>
      </c>
      <c r="F1063">
        <v>3860.82</v>
      </c>
      <c r="G1063">
        <f>ABS(Table1[[#This Row],[Monthly_Income]])</f>
        <v>3860.82</v>
      </c>
      <c r="H1063">
        <v>12647.04</v>
      </c>
      <c r="I1063" s="5">
        <f t="shared" si="210"/>
        <v>12647.04</v>
      </c>
      <c r="J1063">
        <v>60</v>
      </c>
      <c r="K1063">
        <v>15.74</v>
      </c>
      <c r="L1063">
        <v>0</v>
      </c>
      <c r="M1063">
        <f t="shared" si="211"/>
        <v>0</v>
      </c>
      <c r="N1063">
        <v>9</v>
      </c>
      <c r="O1063">
        <f t="shared" si="212"/>
        <v>9</v>
      </c>
      <c r="Q1063" t="str">
        <f t="shared" si="213"/>
        <v>NULL</v>
      </c>
      <c r="R1063" t="s">
        <v>18</v>
      </c>
      <c r="S1063" t="str">
        <f t="shared" si="214"/>
        <v>Non-Performing</v>
      </c>
      <c r="T1063" t="s">
        <v>16</v>
      </c>
      <c r="U1063" s="3">
        <f t="shared" si="215"/>
        <v>5.4595655845131347E-2</v>
      </c>
      <c r="V1063" t="str">
        <f t="shared" si="216"/>
        <v>Healthy</v>
      </c>
      <c r="W1063" t="str">
        <f t="shared" si="217"/>
        <v>NULL</v>
      </c>
      <c r="X1063" s="5" t="str">
        <f t="shared" si="218"/>
        <v>Medium</v>
      </c>
      <c r="Y1063" s="5" t="str">
        <f t="shared" si="219"/>
        <v>High</v>
      </c>
      <c r="Z1063" s="5" t="str">
        <f>IF(B1063=120,"NULL",IF(AND(V1063="High Stress", W1063="High Risk", Y1063="Low"),"High Risk : Reject", IF(AND(V1063="Healthy", W1063="Good",Y1063&lt;&gt;"Low"), "Low Risk : Approve", "Medium Risk : Review")))</f>
        <v>Medium Risk : Review</v>
      </c>
      <c r="AA1063" s="5" t="str">
        <f t="shared" si="220"/>
        <v>Medium</v>
      </c>
    </row>
    <row r="1064" spans="1:27" x14ac:dyDescent="0.2">
      <c r="A1064">
        <v>23647</v>
      </c>
      <c r="B1064">
        <v>30</v>
      </c>
      <c r="C1064">
        <f t="shared" si="208"/>
        <v>30</v>
      </c>
      <c r="D1064" t="s">
        <v>17</v>
      </c>
      <c r="E1064" t="str">
        <f t="shared" si="209"/>
        <v>Contract</v>
      </c>
      <c r="F1064">
        <v>6945.77</v>
      </c>
      <c r="G1064">
        <f>ABS(Table1[[#This Row],[Monthly_Income]])</f>
        <v>6945.77</v>
      </c>
      <c r="H1064">
        <v>17085.23</v>
      </c>
      <c r="I1064" s="5">
        <f t="shared" si="210"/>
        <v>17085.23</v>
      </c>
      <c r="J1064">
        <v>36</v>
      </c>
      <c r="K1064">
        <v>6.28</v>
      </c>
      <c r="L1064">
        <v>0</v>
      </c>
      <c r="M1064">
        <f t="shared" si="211"/>
        <v>0</v>
      </c>
      <c r="N1064">
        <v>8.4</v>
      </c>
      <c r="O1064">
        <f t="shared" si="212"/>
        <v>8.4</v>
      </c>
      <c r="P1064">
        <v>120</v>
      </c>
      <c r="Q1064">
        <f t="shared" si="213"/>
        <v>120</v>
      </c>
      <c r="R1064" t="s">
        <v>24</v>
      </c>
      <c r="S1064" t="str">
        <f t="shared" si="214"/>
        <v>Non-Performing</v>
      </c>
      <c r="T1064" t="s">
        <v>22</v>
      </c>
      <c r="U1064" s="3">
        <f t="shared" si="215"/>
        <v>6.8327877574728524E-2</v>
      </c>
      <c r="V1064" t="str">
        <f t="shared" si="216"/>
        <v>Healthy</v>
      </c>
      <c r="W1064" t="str">
        <f t="shared" si="217"/>
        <v>High Risk</v>
      </c>
      <c r="X1064" s="5" t="str">
        <f t="shared" si="218"/>
        <v>Medium</v>
      </c>
      <c r="Y1064" s="5" t="str">
        <f t="shared" si="219"/>
        <v>Low</v>
      </c>
      <c r="Z1064" s="5" t="str">
        <f>IF(B1064=120,"NULL",IF(AND(V1064="High Stress", W1064="High Risk", Y1064="Low"),"High Risk : Reject", IF(AND(V1064="Healthy", W1064="Good",Y1064&lt;&gt;"Low"), "Low Risk : Approve", "Medium Risk : Review")))</f>
        <v>Medium Risk : Review</v>
      </c>
      <c r="AA1064" s="5" t="str">
        <f t="shared" si="220"/>
        <v>Medium</v>
      </c>
    </row>
    <row r="1065" spans="1:27" x14ac:dyDescent="0.2">
      <c r="A1065">
        <v>21913</v>
      </c>
      <c r="B1065">
        <v>62</v>
      </c>
      <c r="C1065">
        <f t="shared" si="208"/>
        <v>62</v>
      </c>
      <c r="D1065" t="s">
        <v>12</v>
      </c>
      <c r="E1065" t="str">
        <f t="shared" si="209"/>
        <v>Self-Employed</v>
      </c>
      <c r="F1065">
        <v>4182.66</v>
      </c>
      <c r="G1065">
        <f>ABS(Table1[[#This Row],[Monthly_Income]])</f>
        <v>4182.66</v>
      </c>
      <c r="H1065">
        <v>21950</v>
      </c>
      <c r="I1065" s="5">
        <f t="shared" si="210"/>
        <v>21950</v>
      </c>
      <c r="J1065">
        <v>12</v>
      </c>
      <c r="K1065">
        <v>22.4</v>
      </c>
      <c r="M1065" t="str">
        <f t="shared" si="211"/>
        <v>NULL</v>
      </c>
      <c r="N1065">
        <v>7.9</v>
      </c>
      <c r="O1065">
        <f t="shared" si="212"/>
        <v>7.9</v>
      </c>
      <c r="Q1065" t="str">
        <f t="shared" si="213"/>
        <v>NULL</v>
      </c>
      <c r="R1065" t="s">
        <v>18</v>
      </c>
      <c r="S1065" t="str">
        <f t="shared" si="214"/>
        <v>Non-Performing</v>
      </c>
      <c r="T1065" t="s">
        <v>16</v>
      </c>
      <c r="U1065" s="3">
        <f t="shared" si="215"/>
        <v>0.43732138559353778</v>
      </c>
      <c r="V1065" t="str">
        <f t="shared" si="216"/>
        <v>Stretched</v>
      </c>
      <c r="W1065" t="str">
        <f t="shared" si="217"/>
        <v>NULL</v>
      </c>
      <c r="X1065" s="5" t="str">
        <f t="shared" si="218"/>
        <v>Medium</v>
      </c>
      <c r="Y1065" s="5" t="str">
        <f t="shared" si="219"/>
        <v>Medium</v>
      </c>
      <c r="Z1065" s="5" t="str">
        <f>IF(B1065=120,"NULL",IF(AND(V1065="High Stress", W1065="High Risk", Y1065="Low"),"High Risk : Reject", IF(AND(V1065="Healthy", W1065="Good",Y1065&lt;&gt;"Low"), "Low Risk : Approve", "Medium Risk : Review")))</f>
        <v>Medium Risk : Review</v>
      </c>
      <c r="AA1065" s="5" t="str">
        <f t="shared" si="220"/>
        <v>Medium</v>
      </c>
    </row>
    <row r="1066" spans="1:27" x14ac:dyDescent="0.2">
      <c r="A1066">
        <v>24912</v>
      </c>
      <c r="B1066">
        <v>42</v>
      </c>
      <c r="C1066">
        <f t="shared" si="208"/>
        <v>42</v>
      </c>
      <c r="D1066" t="s">
        <v>21</v>
      </c>
      <c r="E1066" t="str">
        <f t="shared" si="209"/>
        <v>Salaried</v>
      </c>
      <c r="F1066">
        <v>4228.45</v>
      </c>
      <c r="G1066">
        <f>ABS(Table1[[#This Row],[Monthly_Income]])</f>
        <v>4228.45</v>
      </c>
      <c r="H1066">
        <v>16502.18</v>
      </c>
      <c r="I1066" s="5">
        <f t="shared" si="210"/>
        <v>16502.18</v>
      </c>
      <c r="J1066">
        <v>18</v>
      </c>
      <c r="K1066">
        <v>24.88</v>
      </c>
      <c r="M1066" t="str">
        <f t="shared" si="211"/>
        <v>NULL</v>
      </c>
      <c r="N1066">
        <v>3.6</v>
      </c>
      <c r="O1066">
        <f t="shared" si="212"/>
        <v>3.6</v>
      </c>
      <c r="Q1066" t="str">
        <f t="shared" si="213"/>
        <v>NULL</v>
      </c>
      <c r="R1066" t="s">
        <v>24</v>
      </c>
      <c r="S1066" t="str">
        <f t="shared" si="214"/>
        <v>Non-Performing</v>
      </c>
      <c r="T1066" t="s">
        <v>22</v>
      </c>
      <c r="U1066" s="3">
        <f t="shared" si="215"/>
        <v>0.21681414650233014</v>
      </c>
      <c r="V1066" t="str">
        <f t="shared" si="216"/>
        <v>Healthy</v>
      </c>
      <c r="W1066" t="str">
        <f t="shared" si="217"/>
        <v>NULL</v>
      </c>
      <c r="X1066" s="5" t="str">
        <f t="shared" si="218"/>
        <v>Medium</v>
      </c>
      <c r="Y1066" s="5" t="str">
        <f t="shared" si="219"/>
        <v>High</v>
      </c>
      <c r="Z1066" s="5" t="str">
        <f>IF(B1066=120,"NULL",IF(AND(V1066="High Stress", W1066="High Risk", Y1066="Low"),"High Risk : Reject", IF(AND(V1066="Healthy", W1066="Good",Y1066&lt;&gt;"Low"), "Low Risk : Approve", "Medium Risk : Review")))</f>
        <v>Medium Risk : Review</v>
      </c>
      <c r="AA1066" s="5" t="str">
        <f t="shared" si="220"/>
        <v>Medium</v>
      </c>
    </row>
    <row r="1067" spans="1:27" x14ac:dyDescent="0.2">
      <c r="A1067">
        <v>20495</v>
      </c>
      <c r="B1067">
        <v>59</v>
      </c>
      <c r="C1067">
        <f t="shared" si="208"/>
        <v>59</v>
      </c>
      <c r="D1067" t="s">
        <v>27</v>
      </c>
      <c r="E1067" t="str">
        <f t="shared" si="209"/>
        <v>Unemployed</v>
      </c>
      <c r="F1067">
        <v>6461.18</v>
      </c>
      <c r="G1067">
        <f>ABS(Table1[[#This Row],[Monthly_Income]])</f>
        <v>6461.18</v>
      </c>
      <c r="H1067">
        <v>32667.88</v>
      </c>
      <c r="I1067" s="5">
        <f t="shared" si="210"/>
        <v>32667.88</v>
      </c>
      <c r="J1067">
        <v>36</v>
      </c>
      <c r="K1067">
        <v>17.45</v>
      </c>
      <c r="L1067">
        <v>2</v>
      </c>
      <c r="M1067">
        <f t="shared" si="211"/>
        <v>2</v>
      </c>
      <c r="N1067">
        <v>9.5</v>
      </c>
      <c r="O1067">
        <f t="shared" si="212"/>
        <v>9.5</v>
      </c>
      <c r="P1067">
        <v>120</v>
      </c>
      <c r="Q1067">
        <f t="shared" si="213"/>
        <v>120</v>
      </c>
      <c r="R1067" t="s">
        <v>13</v>
      </c>
      <c r="S1067" t="str">
        <f t="shared" si="214"/>
        <v>Performing</v>
      </c>
      <c r="T1067" t="s">
        <v>14</v>
      </c>
      <c r="U1067" s="3">
        <f t="shared" si="215"/>
        <v>0.14044510617427639</v>
      </c>
      <c r="V1067" t="str">
        <f t="shared" si="216"/>
        <v>Healthy</v>
      </c>
      <c r="W1067" t="str">
        <f t="shared" si="217"/>
        <v>High Risk</v>
      </c>
      <c r="X1067" s="5" t="str">
        <f t="shared" si="218"/>
        <v>High</v>
      </c>
      <c r="Y1067" s="5" t="str">
        <f t="shared" si="219"/>
        <v>Low</v>
      </c>
      <c r="Z1067" s="5" t="str">
        <f>IF(B1067=120,"NULL",IF(AND(V1067="High Stress", W1067="High Risk", Y1067="Low"),"High Risk : Reject", IF(AND(V1067="Healthy", W1067="Good",Y1067&lt;&gt;"Low"), "Low Risk : Approve", "Medium Risk : Review")))</f>
        <v>Medium Risk : Review</v>
      </c>
      <c r="AA1067" s="5" t="str">
        <f t="shared" si="220"/>
        <v>Medium</v>
      </c>
    </row>
    <row r="1068" spans="1:27" x14ac:dyDescent="0.2">
      <c r="A1068">
        <v>21067</v>
      </c>
      <c r="B1068">
        <v>31</v>
      </c>
      <c r="C1068">
        <f t="shared" si="208"/>
        <v>31</v>
      </c>
      <c r="D1068" t="s">
        <v>21</v>
      </c>
      <c r="E1068" t="str">
        <f t="shared" si="209"/>
        <v>Salaried</v>
      </c>
      <c r="F1068">
        <v>5107.32</v>
      </c>
      <c r="G1068">
        <f>ABS(Table1[[#This Row],[Monthly_Income]])</f>
        <v>5107.32</v>
      </c>
      <c r="H1068"/>
      <c r="I1068" s="5" t="str">
        <f t="shared" si="210"/>
        <v>NULL</v>
      </c>
      <c r="J1068">
        <v>36</v>
      </c>
      <c r="K1068">
        <v>13.96</v>
      </c>
      <c r="L1068">
        <v>4</v>
      </c>
      <c r="M1068">
        <f t="shared" si="211"/>
        <v>4</v>
      </c>
      <c r="N1068">
        <v>10.8</v>
      </c>
      <c r="O1068">
        <f t="shared" si="212"/>
        <v>10.8</v>
      </c>
      <c r="P1068">
        <v>0</v>
      </c>
      <c r="Q1068">
        <f t="shared" si="213"/>
        <v>0</v>
      </c>
      <c r="R1068" t="s">
        <v>18</v>
      </c>
      <c r="S1068" t="str">
        <f t="shared" si="214"/>
        <v>Non-Performing</v>
      </c>
      <c r="T1068" t="s">
        <v>14</v>
      </c>
      <c r="U1068" s="3" t="str">
        <f t="shared" si="215"/>
        <v>NULL</v>
      </c>
      <c r="V1068" t="str">
        <f t="shared" si="216"/>
        <v>NULL</v>
      </c>
      <c r="W1068" t="str">
        <f t="shared" si="217"/>
        <v>Good</v>
      </c>
      <c r="X1068" s="5" t="str">
        <f t="shared" si="218"/>
        <v>High</v>
      </c>
      <c r="Y1068" s="5" t="str">
        <f t="shared" si="219"/>
        <v>High</v>
      </c>
      <c r="Z1068" s="5" t="str">
        <f>IF(B1068=120,"NULL",IF(AND(V1068="High Stress", W1068="High Risk", Y1068="Low"),"High Risk : Reject", IF(AND(V1068="Healthy", W1068="Good",Y1068&lt;&gt;"Low"), "Low Risk : Approve", "Medium Risk : Review")))</f>
        <v>Medium Risk : Review</v>
      </c>
      <c r="AA1068" s="5" t="str">
        <f t="shared" si="220"/>
        <v>Medium</v>
      </c>
    </row>
    <row r="1069" spans="1:27" x14ac:dyDescent="0.2">
      <c r="A1069">
        <v>22244</v>
      </c>
      <c r="B1069">
        <v>32</v>
      </c>
      <c r="C1069">
        <f t="shared" si="208"/>
        <v>32</v>
      </c>
      <c r="D1069" t="s">
        <v>17</v>
      </c>
      <c r="E1069" t="str">
        <f t="shared" si="209"/>
        <v>Contract</v>
      </c>
      <c r="F1069">
        <v>5112.3999999999996</v>
      </c>
      <c r="G1069">
        <f>ABS(Table1[[#This Row],[Monthly_Income]])</f>
        <v>5112.3999999999996</v>
      </c>
      <c r="H1069">
        <v>29267.02</v>
      </c>
      <c r="I1069" s="5">
        <f t="shared" si="210"/>
        <v>29267.02</v>
      </c>
      <c r="J1069">
        <v>6</v>
      </c>
      <c r="K1069">
        <v>18.84</v>
      </c>
      <c r="L1069">
        <v>1</v>
      </c>
      <c r="M1069">
        <f t="shared" si="211"/>
        <v>1</v>
      </c>
      <c r="N1069">
        <v>8.5</v>
      </c>
      <c r="O1069">
        <f t="shared" si="212"/>
        <v>8.5</v>
      </c>
      <c r="P1069">
        <v>30</v>
      </c>
      <c r="Q1069">
        <f t="shared" si="213"/>
        <v>30</v>
      </c>
      <c r="R1069" t="s">
        <v>13</v>
      </c>
      <c r="S1069" t="str">
        <f t="shared" si="214"/>
        <v>Performing</v>
      </c>
      <c r="T1069" t="s">
        <v>19</v>
      </c>
      <c r="U1069" s="3">
        <f t="shared" si="215"/>
        <v>0.95411874396891228</v>
      </c>
      <c r="V1069" t="str">
        <f t="shared" si="216"/>
        <v>High Stress</v>
      </c>
      <c r="W1069" t="str">
        <f t="shared" si="217"/>
        <v>At Risk</v>
      </c>
      <c r="X1069" s="5" t="str">
        <f t="shared" si="218"/>
        <v>Medium</v>
      </c>
      <c r="Y1069" s="5" t="str">
        <f t="shared" si="219"/>
        <v>Low</v>
      </c>
      <c r="Z1069" s="5" t="str">
        <f>IF(B1069=120,"NULL",IF(AND(V1069="High Stress", W1069="High Risk", Y1069="Low"),"High Risk : Reject", IF(AND(V1069="Healthy", W1069="Good",Y1069&lt;&gt;"Low"), "Low Risk : Approve", "Medium Risk : Review")))</f>
        <v>Medium Risk : Review</v>
      </c>
      <c r="AA1069" s="5" t="str">
        <f t="shared" si="220"/>
        <v>Medium</v>
      </c>
    </row>
    <row r="1070" spans="1:27" x14ac:dyDescent="0.2">
      <c r="A1070">
        <v>24428</v>
      </c>
      <c r="B1070">
        <v>31</v>
      </c>
      <c r="C1070">
        <f t="shared" si="208"/>
        <v>31</v>
      </c>
      <c r="D1070" t="s">
        <v>23</v>
      </c>
      <c r="E1070" t="str">
        <f t="shared" si="209"/>
        <v>Self-Employed</v>
      </c>
      <c r="F1070">
        <v>2335.67</v>
      </c>
      <c r="G1070">
        <f>ABS(Table1[[#This Row],[Monthly_Income]])</f>
        <v>2335.67</v>
      </c>
      <c r="H1070">
        <v>30467.68</v>
      </c>
      <c r="I1070" s="5">
        <f t="shared" si="210"/>
        <v>30467.68</v>
      </c>
      <c r="J1070">
        <v>6</v>
      </c>
      <c r="K1070">
        <v>17.54</v>
      </c>
      <c r="L1070">
        <v>1</v>
      </c>
      <c r="M1070">
        <f t="shared" si="211"/>
        <v>1</v>
      </c>
      <c r="N1070">
        <v>7.1</v>
      </c>
      <c r="O1070">
        <f t="shared" si="212"/>
        <v>7.1</v>
      </c>
      <c r="P1070">
        <v>90</v>
      </c>
      <c r="Q1070">
        <f t="shared" si="213"/>
        <v>90</v>
      </c>
      <c r="R1070" t="s">
        <v>24</v>
      </c>
      <c r="S1070" t="str">
        <f t="shared" si="214"/>
        <v>Non-Performing</v>
      </c>
      <c r="T1070" t="s">
        <v>16</v>
      </c>
      <c r="U1070" s="3">
        <f t="shared" si="215"/>
        <v>2.1740856656405514</v>
      </c>
      <c r="V1070" t="str">
        <f t="shared" si="216"/>
        <v>High Stress</v>
      </c>
      <c r="W1070" t="str">
        <f t="shared" si="217"/>
        <v>High Risk</v>
      </c>
      <c r="X1070" s="5" t="str">
        <f t="shared" si="218"/>
        <v>High</v>
      </c>
      <c r="Y1070" s="5" t="str">
        <f t="shared" si="219"/>
        <v>Medium</v>
      </c>
      <c r="Z1070" s="5" t="str">
        <f>IF(B1070=120,"NULL",IF(AND(V1070="High Stress", W1070="High Risk", Y1070="Low"),"High Risk : Reject", IF(AND(V1070="Healthy", W1070="Good",Y1070&lt;&gt;"Low"), "Low Risk : Approve", "Medium Risk : Review")))</f>
        <v>Medium Risk : Review</v>
      </c>
      <c r="AA1070" s="5" t="str">
        <f t="shared" si="220"/>
        <v>Medium</v>
      </c>
    </row>
    <row r="1071" spans="1:27" x14ac:dyDescent="0.2">
      <c r="A1071">
        <v>25215</v>
      </c>
      <c r="B1071">
        <v>52</v>
      </c>
      <c r="C1071">
        <f t="shared" si="208"/>
        <v>52</v>
      </c>
      <c r="D1071" t="s">
        <v>17</v>
      </c>
      <c r="E1071" t="str">
        <f t="shared" si="209"/>
        <v>Contract</v>
      </c>
      <c r="F1071">
        <v>7941.49</v>
      </c>
      <c r="G1071">
        <f>ABS(Table1[[#This Row],[Monthly_Income]])</f>
        <v>7941.49</v>
      </c>
      <c r="H1071">
        <v>24745.48</v>
      </c>
      <c r="I1071" s="5">
        <f t="shared" si="210"/>
        <v>24745.48</v>
      </c>
      <c r="J1071">
        <v>12</v>
      </c>
      <c r="K1071">
        <v>17.47</v>
      </c>
      <c r="L1071">
        <v>2</v>
      </c>
      <c r="M1071">
        <f t="shared" si="211"/>
        <v>2</v>
      </c>
      <c r="N1071">
        <v>6.7</v>
      </c>
      <c r="O1071">
        <f t="shared" si="212"/>
        <v>6.7</v>
      </c>
      <c r="P1071">
        <v>0</v>
      </c>
      <c r="Q1071">
        <f t="shared" si="213"/>
        <v>0</v>
      </c>
      <c r="R1071" t="s">
        <v>18</v>
      </c>
      <c r="S1071" t="str">
        <f t="shared" si="214"/>
        <v>Non-Performing</v>
      </c>
      <c r="T1071" t="s">
        <v>25</v>
      </c>
      <c r="U1071" s="3">
        <f t="shared" si="215"/>
        <v>0.25966453818280111</v>
      </c>
      <c r="V1071" t="str">
        <f t="shared" si="216"/>
        <v>Healthy</v>
      </c>
      <c r="W1071" t="str">
        <f t="shared" si="217"/>
        <v>Good</v>
      </c>
      <c r="X1071" s="5" t="str">
        <f t="shared" si="218"/>
        <v>Medium</v>
      </c>
      <c r="Y1071" s="5" t="str">
        <f t="shared" si="219"/>
        <v>Low</v>
      </c>
      <c r="Z1071" s="5" t="str">
        <f>IF(B1071=120,"NULL",IF(AND(V1071="High Stress", W1071="High Risk", Y1071="Low"),"High Risk : Reject", IF(AND(V1071="Healthy", W1071="Good",Y1071&lt;&gt;"Low"), "Low Risk : Approve", "Medium Risk : Review")))</f>
        <v>Medium Risk : Review</v>
      </c>
      <c r="AA1071" s="5" t="str">
        <f t="shared" si="220"/>
        <v>Medium</v>
      </c>
    </row>
    <row r="1072" spans="1:27" x14ac:dyDescent="0.2">
      <c r="A1072">
        <v>22469</v>
      </c>
      <c r="B1072">
        <v>23</v>
      </c>
      <c r="C1072">
        <f t="shared" si="208"/>
        <v>23</v>
      </c>
      <c r="D1072" t="s">
        <v>12</v>
      </c>
      <c r="E1072" t="str">
        <f t="shared" si="209"/>
        <v>Self-Employed</v>
      </c>
      <c r="F1072">
        <v>-1500</v>
      </c>
      <c r="G1072">
        <f>ABS(Table1[[#This Row],[Monthly_Income]])</f>
        <v>1500</v>
      </c>
      <c r="H1072">
        <v>20406.27</v>
      </c>
      <c r="I1072" s="5">
        <f t="shared" si="210"/>
        <v>20406.27</v>
      </c>
      <c r="J1072">
        <v>6</v>
      </c>
      <c r="K1072">
        <v>17.489999999999998</v>
      </c>
      <c r="L1072">
        <v>2</v>
      </c>
      <c r="M1072">
        <f t="shared" si="211"/>
        <v>2</v>
      </c>
      <c r="N1072">
        <v>0</v>
      </c>
      <c r="O1072">
        <f t="shared" si="212"/>
        <v>0</v>
      </c>
      <c r="P1072">
        <v>0</v>
      </c>
      <c r="Q1072">
        <f t="shared" si="213"/>
        <v>0</v>
      </c>
      <c r="R1072" t="s">
        <v>18</v>
      </c>
      <c r="S1072" t="str">
        <f t="shared" si="214"/>
        <v>Non-Performing</v>
      </c>
      <c r="T1072" t="s">
        <v>16</v>
      </c>
      <c r="U1072" s="3">
        <f t="shared" si="215"/>
        <v>2.2673633333333334</v>
      </c>
      <c r="V1072" t="str">
        <f t="shared" si="216"/>
        <v>High Stress</v>
      </c>
      <c r="W1072" t="str">
        <f t="shared" si="217"/>
        <v>Good</v>
      </c>
      <c r="X1072" s="5" t="str">
        <f t="shared" si="218"/>
        <v>Medium</v>
      </c>
      <c r="Y1072" s="5" t="str">
        <f t="shared" si="219"/>
        <v>Medium</v>
      </c>
      <c r="Z1072" s="5" t="str">
        <f>IF(B1072=120,"NULL",IF(AND(V1072="High Stress", W1072="High Risk", Y1072="Low"),"High Risk : Reject", IF(AND(V1072="Healthy", W1072="Good",Y1072&lt;&gt;"Low"), "Low Risk : Approve", "Medium Risk : Review")))</f>
        <v>Medium Risk : Review</v>
      </c>
      <c r="AA1072" s="5" t="str">
        <f t="shared" si="220"/>
        <v>Low</v>
      </c>
    </row>
    <row r="1073" spans="1:27" x14ac:dyDescent="0.2">
      <c r="A1073">
        <v>25312</v>
      </c>
      <c r="B1073">
        <v>25</v>
      </c>
      <c r="C1073">
        <f t="shared" si="208"/>
        <v>25</v>
      </c>
      <c r="D1073" t="s">
        <v>26</v>
      </c>
      <c r="E1073" t="str">
        <f t="shared" si="209"/>
        <v>Salaried</v>
      </c>
      <c r="F1073">
        <v>8313</v>
      </c>
      <c r="G1073">
        <f>ABS(Table1[[#This Row],[Monthly_Income]])</f>
        <v>8313</v>
      </c>
      <c r="H1073">
        <v>12804.29</v>
      </c>
      <c r="I1073" s="5">
        <f t="shared" si="210"/>
        <v>12804.29</v>
      </c>
      <c r="J1073">
        <v>18</v>
      </c>
      <c r="K1073">
        <v>16.54</v>
      </c>
      <c r="M1073" t="str">
        <f t="shared" si="211"/>
        <v>NULL</v>
      </c>
      <c r="N1073">
        <v>6.1</v>
      </c>
      <c r="O1073">
        <f t="shared" si="212"/>
        <v>6.1</v>
      </c>
      <c r="P1073">
        <v>0</v>
      </c>
      <c r="Q1073">
        <f t="shared" si="213"/>
        <v>0</v>
      </c>
      <c r="R1073" t="s">
        <v>18</v>
      </c>
      <c r="S1073" t="str">
        <f t="shared" si="214"/>
        <v>Non-Performing</v>
      </c>
      <c r="T1073" t="s">
        <v>22</v>
      </c>
      <c r="U1073" s="3">
        <f t="shared" si="215"/>
        <v>8.5570725904540415E-2</v>
      </c>
      <c r="V1073" t="str">
        <f t="shared" si="216"/>
        <v>Healthy</v>
      </c>
      <c r="W1073" t="str">
        <f t="shared" si="217"/>
        <v>Good</v>
      </c>
      <c r="X1073" s="5" t="str">
        <f t="shared" si="218"/>
        <v>Medium</v>
      </c>
      <c r="Y1073" s="5" t="str">
        <f t="shared" si="219"/>
        <v>High</v>
      </c>
      <c r="Z1073" s="5" t="str">
        <f>IF(B1073=120,"NULL",IF(AND(V1073="High Stress", W1073="High Risk", Y1073="Low"),"High Risk : Reject", IF(AND(V1073="Healthy", W1073="Good",Y1073&lt;&gt;"Low"), "Low Risk : Approve", "Medium Risk : Review")))</f>
        <v>Low Risk : Approve</v>
      </c>
      <c r="AA1073" s="5" t="str">
        <f t="shared" si="220"/>
        <v>High</v>
      </c>
    </row>
    <row r="1074" spans="1:27" x14ac:dyDescent="0.2">
      <c r="A1074">
        <v>20273</v>
      </c>
      <c r="B1074">
        <v>34</v>
      </c>
      <c r="C1074">
        <f t="shared" si="208"/>
        <v>34</v>
      </c>
      <c r="D1074" t="s">
        <v>21</v>
      </c>
      <c r="E1074" t="str">
        <f t="shared" si="209"/>
        <v>Salaried</v>
      </c>
      <c r="F1074">
        <v>-1500</v>
      </c>
      <c r="G1074">
        <f>ABS(Table1[[#This Row],[Monthly_Income]])</f>
        <v>1500</v>
      </c>
      <c r="H1074">
        <v>9504.39</v>
      </c>
      <c r="I1074" s="5">
        <f t="shared" si="210"/>
        <v>9504.39</v>
      </c>
      <c r="J1074">
        <v>60</v>
      </c>
      <c r="K1074">
        <v>9.9700000000000006</v>
      </c>
      <c r="L1074">
        <v>4</v>
      </c>
      <c r="M1074">
        <f t="shared" si="211"/>
        <v>4</v>
      </c>
      <c r="N1074">
        <v>10.7</v>
      </c>
      <c r="O1074">
        <f t="shared" si="212"/>
        <v>10.7</v>
      </c>
      <c r="P1074">
        <v>0</v>
      </c>
      <c r="Q1074">
        <f t="shared" si="213"/>
        <v>0</v>
      </c>
      <c r="R1074" t="s">
        <v>24</v>
      </c>
      <c r="S1074" t="str">
        <f t="shared" si="214"/>
        <v>Non-Performing</v>
      </c>
      <c r="T1074" t="s">
        <v>19</v>
      </c>
      <c r="U1074" s="3">
        <f t="shared" si="215"/>
        <v>0.10560433333333333</v>
      </c>
      <c r="V1074" t="str">
        <f t="shared" si="216"/>
        <v>Healthy</v>
      </c>
      <c r="W1074" t="str">
        <f t="shared" si="217"/>
        <v>Good</v>
      </c>
      <c r="X1074" s="5" t="str">
        <f t="shared" si="218"/>
        <v>Small</v>
      </c>
      <c r="Y1074" s="5" t="str">
        <f t="shared" si="219"/>
        <v>High</v>
      </c>
      <c r="Z1074" s="5" t="str">
        <f>IF(B1074=120,"NULL",IF(AND(V1074="High Stress", W1074="High Risk", Y1074="Low"),"High Risk : Reject", IF(AND(V1074="Healthy", W1074="Good",Y1074&lt;&gt;"Low"), "Low Risk : Approve", "Medium Risk : Review")))</f>
        <v>Low Risk : Approve</v>
      </c>
      <c r="AA1074" s="5" t="str">
        <f t="shared" si="220"/>
        <v>Low</v>
      </c>
    </row>
    <row r="1075" spans="1:27" x14ac:dyDescent="0.2">
      <c r="A1075">
        <v>21918</v>
      </c>
      <c r="B1075">
        <v>120</v>
      </c>
      <c r="C1075" t="str">
        <f t="shared" si="208"/>
        <v>NULL</v>
      </c>
      <c r="D1075" t="s">
        <v>27</v>
      </c>
      <c r="E1075" t="str">
        <f t="shared" si="209"/>
        <v>Unemployed</v>
      </c>
      <c r="F1075">
        <v>6928.25</v>
      </c>
      <c r="G1075">
        <f>ABS(Table1[[#This Row],[Monthly_Income]])</f>
        <v>6928.25</v>
      </c>
      <c r="H1075">
        <v>11125.43</v>
      </c>
      <c r="I1075" s="5">
        <f t="shared" si="210"/>
        <v>11125.43</v>
      </c>
      <c r="J1075">
        <v>6</v>
      </c>
      <c r="K1075">
        <v>16.5</v>
      </c>
      <c r="L1075">
        <v>2</v>
      </c>
      <c r="M1075">
        <f t="shared" si="211"/>
        <v>2</v>
      </c>
      <c r="N1075">
        <v>4</v>
      </c>
      <c r="O1075">
        <f t="shared" si="212"/>
        <v>4</v>
      </c>
      <c r="P1075">
        <v>0</v>
      </c>
      <c r="Q1075">
        <f t="shared" si="213"/>
        <v>0</v>
      </c>
      <c r="R1075" t="s">
        <v>13</v>
      </c>
      <c r="S1075" t="str">
        <f t="shared" si="214"/>
        <v>Performing</v>
      </c>
      <c r="T1075" t="s">
        <v>16</v>
      </c>
      <c r="U1075" s="3">
        <f t="shared" si="215"/>
        <v>0.26763444352229399</v>
      </c>
      <c r="V1075" t="str">
        <f t="shared" si="216"/>
        <v>Healthy</v>
      </c>
      <c r="W1075" t="str">
        <f t="shared" si="217"/>
        <v>Good</v>
      </c>
      <c r="X1075" s="5" t="str">
        <f t="shared" si="218"/>
        <v>Medium</v>
      </c>
      <c r="Y1075" s="5" t="str">
        <f t="shared" si="219"/>
        <v>Low</v>
      </c>
      <c r="Z1075" s="5" t="str">
        <f>IF(B1075=120,"NULL",IF(AND(V1075="High Stress", W1075="High Risk", Y1075="Low"),"High Risk : Reject", IF(AND(V1075="Healthy", W1075="Good",Y1075&lt;&gt;"Low"), "Low Risk : Approve", "Medium Risk : Review")))</f>
        <v>NULL</v>
      </c>
      <c r="AA1075" s="5" t="str">
        <f t="shared" si="220"/>
        <v>Medium</v>
      </c>
    </row>
    <row r="1076" spans="1:27" x14ac:dyDescent="0.2">
      <c r="A1076">
        <v>23395</v>
      </c>
      <c r="B1076">
        <v>75</v>
      </c>
      <c r="C1076">
        <f t="shared" si="208"/>
        <v>75</v>
      </c>
      <c r="D1076" t="s">
        <v>21</v>
      </c>
      <c r="E1076" t="str">
        <f t="shared" si="209"/>
        <v>Salaried</v>
      </c>
      <c r="F1076">
        <v>4970.68</v>
      </c>
      <c r="G1076">
        <f>ABS(Table1[[#This Row],[Monthly_Income]])</f>
        <v>4970.68</v>
      </c>
      <c r="H1076">
        <v>20163.689999999999</v>
      </c>
      <c r="I1076" s="5">
        <f t="shared" si="210"/>
        <v>20163.689999999999</v>
      </c>
      <c r="J1076">
        <v>6</v>
      </c>
      <c r="K1076">
        <v>29.5</v>
      </c>
      <c r="L1076">
        <v>1</v>
      </c>
      <c r="M1076">
        <f t="shared" si="211"/>
        <v>1</v>
      </c>
      <c r="N1076">
        <v>12.3</v>
      </c>
      <c r="O1076">
        <f t="shared" si="212"/>
        <v>12.3</v>
      </c>
      <c r="P1076">
        <v>60</v>
      </c>
      <c r="Q1076">
        <f t="shared" si="213"/>
        <v>60</v>
      </c>
      <c r="R1076" t="s">
        <v>13</v>
      </c>
      <c r="S1076" t="str">
        <f t="shared" si="214"/>
        <v>Performing</v>
      </c>
      <c r="T1076" t="s">
        <v>14</v>
      </c>
      <c r="U1076" s="3">
        <f t="shared" si="215"/>
        <v>0.67608757755478111</v>
      </c>
      <c r="V1076" t="str">
        <f t="shared" si="216"/>
        <v>High Stress</v>
      </c>
      <c r="W1076" t="str">
        <f t="shared" si="217"/>
        <v>High Risk</v>
      </c>
      <c r="X1076" s="5" t="str">
        <f t="shared" si="218"/>
        <v>Medium</v>
      </c>
      <c r="Y1076" s="5" t="str">
        <f t="shared" si="219"/>
        <v>High</v>
      </c>
      <c r="Z1076" s="5" t="str">
        <f>IF(B1076=120,"NULL",IF(AND(V1076="High Stress", W1076="High Risk", Y1076="Low"),"High Risk : Reject", IF(AND(V1076="Healthy", W1076="Good",Y1076&lt;&gt;"Low"), "Low Risk : Approve", "Medium Risk : Review")))</f>
        <v>Medium Risk : Review</v>
      </c>
      <c r="AA1076" s="5" t="str">
        <f t="shared" si="220"/>
        <v>Medium</v>
      </c>
    </row>
    <row r="1077" spans="1:27" x14ac:dyDescent="0.2">
      <c r="A1077">
        <v>21801</v>
      </c>
      <c r="B1077">
        <v>45</v>
      </c>
      <c r="C1077">
        <f t="shared" si="208"/>
        <v>45</v>
      </c>
      <c r="D1077" t="s">
        <v>12</v>
      </c>
      <c r="E1077" t="str">
        <f t="shared" si="209"/>
        <v>Self-Employed</v>
      </c>
      <c r="F1077">
        <v>8186.65</v>
      </c>
      <c r="G1077">
        <f>ABS(Table1[[#This Row],[Monthly_Income]])</f>
        <v>8186.65</v>
      </c>
      <c r="H1077">
        <v>10170.549999999999</v>
      </c>
      <c r="I1077" s="5">
        <f t="shared" si="210"/>
        <v>10170.549999999999</v>
      </c>
      <c r="J1077">
        <v>6</v>
      </c>
      <c r="K1077">
        <v>6.64</v>
      </c>
      <c r="L1077">
        <v>4</v>
      </c>
      <c r="M1077">
        <f t="shared" si="211"/>
        <v>4</v>
      </c>
      <c r="N1077">
        <v>4.8</v>
      </c>
      <c r="O1077">
        <f t="shared" si="212"/>
        <v>4.8</v>
      </c>
      <c r="P1077">
        <v>15</v>
      </c>
      <c r="Q1077">
        <f t="shared" si="213"/>
        <v>15</v>
      </c>
      <c r="R1077" t="s">
        <v>24</v>
      </c>
      <c r="S1077" t="str">
        <f t="shared" si="214"/>
        <v>Non-Performing</v>
      </c>
      <c r="T1077" t="s">
        <v>22</v>
      </c>
      <c r="U1077" s="3">
        <f t="shared" si="215"/>
        <v>0.20705559253988709</v>
      </c>
      <c r="V1077" t="str">
        <f t="shared" si="216"/>
        <v>Healthy</v>
      </c>
      <c r="W1077" t="str">
        <f t="shared" si="217"/>
        <v>Good</v>
      </c>
      <c r="X1077" s="5" t="str">
        <f t="shared" si="218"/>
        <v>Medium</v>
      </c>
      <c r="Y1077" s="5" t="str">
        <f t="shared" si="219"/>
        <v>Medium</v>
      </c>
      <c r="Z1077" s="5" t="str">
        <f>IF(B1077=120,"NULL",IF(AND(V1077="High Stress", W1077="High Risk", Y1077="Low"),"High Risk : Reject", IF(AND(V1077="Healthy", W1077="Good",Y1077&lt;&gt;"Low"), "Low Risk : Approve", "Medium Risk : Review")))</f>
        <v>Low Risk : Approve</v>
      </c>
      <c r="AA1077" s="5" t="str">
        <f t="shared" si="220"/>
        <v>High</v>
      </c>
    </row>
    <row r="1078" spans="1:27" x14ac:dyDescent="0.2">
      <c r="A1078">
        <v>21518</v>
      </c>
      <c r="B1078">
        <v>46</v>
      </c>
      <c r="C1078">
        <f t="shared" si="208"/>
        <v>46</v>
      </c>
      <c r="D1078" t="s">
        <v>26</v>
      </c>
      <c r="E1078" t="str">
        <f t="shared" si="209"/>
        <v>Salaried</v>
      </c>
      <c r="F1078">
        <v>1740.65</v>
      </c>
      <c r="G1078">
        <f>ABS(Table1[[#This Row],[Monthly_Income]])</f>
        <v>1740.65</v>
      </c>
      <c r="H1078">
        <v>9742.4</v>
      </c>
      <c r="I1078" s="5">
        <f t="shared" si="210"/>
        <v>9742.4</v>
      </c>
      <c r="J1078">
        <v>24</v>
      </c>
      <c r="K1078">
        <v>55</v>
      </c>
      <c r="M1078" t="str">
        <f t="shared" si="211"/>
        <v>NULL</v>
      </c>
      <c r="N1078">
        <v>-1.8</v>
      </c>
      <c r="O1078">
        <f t="shared" si="212"/>
        <v>1.8</v>
      </c>
      <c r="P1078">
        <v>60</v>
      </c>
      <c r="Q1078">
        <f t="shared" si="213"/>
        <v>60</v>
      </c>
      <c r="R1078" t="s">
        <v>15</v>
      </c>
      <c r="S1078" t="str">
        <f t="shared" si="214"/>
        <v xml:space="preserve">Performing </v>
      </c>
      <c r="T1078" t="s">
        <v>22</v>
      </c>
      <c r="U1078" s="3">
        <f t="shared" si="215"/>
        <v>0.23320790126293814</v>
      </c>
      <c r="V1078" t="str">
        <f t="shared" si="216"/>
        <v>Healthy</v>
      </c>
      <c r="W1078" t="str">
        <f t="shared" si="217"/>
        <v>High Risk</v>
      </c>
      <c r="X1078" s="5" t="str">
        <f t="shared" si="218"/>
        <v>Small</v>
      </c>
      <c r="Y1078" s="5" t="str">
        <f t="shared" si="219"/>
        <v>High</v>
      </c>
      <c r="Z1078" s="5" t="str">
        <f>IF(B1078=120,"NULL",IF(AND(V1078="High Stress", W1078="High Risk", Y1078="Low"),"High Risk : Reject", IF(AND(V1078="Healthy", W1078="Good",Y1078&lt;&gt;"Low"), "Low Risk : Approve", "Medium Risk : Review")))</f>
        <v>Medium Risk : Review</v>
      </c>
      <c r="AA1078" s="5" t="str">
        <f t="shared" si="220"/>
        <v>Low</v>
      </c>
    </row>
    <row r="1079" spans="1:27" x14ac:dyDescent="0.2">
      <c r="A1079">
        <v>20169</v>
      </c>
      <c r="B1079">
        <v>27</v>
      </c>
      <c r="C1079">
        <f t="shared" si="208"/>
        <v>27</v>
      </c>
      <c r="D1079" t="s">
        <v>26</v>
      </c>
      <c r="E1079" t="str">
        <f t="shared" si="209"/>
        <v>Salaried</v>
      </c>
      <c r="F1079">
        <v>6111.25</v>
      </c>
      <c r="G1079">
        <f>ABS(Table1[[#This Row],[Monthly_Income]])</f>
        <v>6111.25</v>
      </c>
      <c r="H1079">
        <v>26733.38</v>
      </c>
      <c r="I1079" s="5">
        <f t="shared" si="210"/>
        <v>26733.38</v>
      </c>
      <c r="J1079">
        <v>48</v>
      </c>
      <c r="K1079">
        <v>23.7</v>
      </c>
      <c r="L1079">
        <v>0</v>
      </c>
      <c r="M1079">
        <f t="shared" si="211"/>
        <v>0</v>
      </c>
      <c r="N1079">
        <v>5.8</v>
      </c>
      <c r="O1079">
        <f t="shared" si="212"/>
        <v>5.8</v>
      </c>
      <c r="P1079">
        <v>60</v>
      </c>
      <c r="Q1079">
        <f t="shared" si="213"/>
        <v>60</v>
      </c>
      <c r="R1079" t="s">
        <v>13</v>
      </c>
      <c r="S1079" t="str">
        <f t="shared" si="214"/>
        <v>Performing</v>
      </c>
      <c r="T1079" t="s">
        <v>25</v>
      </c>
      <c r="U1079" s="3">
        <f t="shared" si="215"/>
        <v>9.113445148973888E-2</v>
      </c>
      <c r="V1079" t="str">
        <f t="shared" si="216"/>
        <v>Healthy</v>
      </c>
      <c r="W1079" t="str">
        <f t="shared" si="217"/>
        <v>High Risk</v>
      </c>
      <c r="X1079" s="5" t="str">
        <f t="shared" si="218"/>
        <v>Medium</v>
      </c>
      <c r="Y1079" s="5" t="str">
        <f t="shared" si="219"/>
        <v>High</v>
      </c>
      <c r="Z1079" s="5" t="str">
        <f>IF(B1079=120,"NULL",IF(AND(V1079="High Stress", W1079="High Risk", Y1079="Low"),"High Risk : Reject", IF(AND(V1079="Healthy", W1079="Good",Y1079&lt;&gt;"Low"), "Low Risk : Approve", "Medium Risk : Review")))</f>
        <v>Medium Risk : Review</v>
      </c>
      <c r="AA1079" s="5" t="str">
        <f t="shared" si="220"/>
        <v>Medium</v>
      </c>
    </row>
    <row r="1080" spans="1:27" x14ac:dyDescent="0.2">
      <c r="A1080">
        <v>20643</v>
      </c>
      <c r="B1080">
        <v>54</v>
      </c>
      <c r="C1080">
        <f t="shared" si="208"/>
        <v>54</v>
      </c>
      <c r="D1080" t="s">
        <v>21</v>
      </c>
      <c r="E1080" t="str">
        <f t="shared" si="209"/>
        <v>Salaried</v>
      </c>
      <c r="F1080">
        <v>3598.84</v>
      </c>
      <c r="G1080">
        <f>ABS(Table1[[#This Row],[Monthly_Income]])</f>
        <v>3598.84</v>
      </c>
      <c r="H1080">
        <v>16728.75</v>
      </c>
      <c r="I1080" s="5">
        <f t="shared" si="210"/>
        <v>16728.75</v>
      </c>
      <c r="J1080">
        <v>18</v>
      </c>
      <c r="K1080">
        <v>15.87</v>
      </c>
      <c r="L1080">
        <v>0</v>
      </c>
      <c r="M1080">
        <f t="shared" si="211"/>
        <v>0</v>
      </c>
      <c r="N1080">
        <v>6.7</v>
      </c>
      <c r="O1080">
        <f t="shared" si="212"/>
        <v>6.7</v>
      </c>
      <c r="P1080">
        <v>15</v>
      </c>
      <c r="Q1080">
        <f t="shared" si="213"/>
        <v>15</v>
      </c>
      <c r="R1080" t="s">
        <v>15</v>
      </c>
      <c r="S1080" t="str">
        <f t="shared" si="214"/>
        <v xml:space="preserve">Performing </v>
      </c>
      <c r="T1080" t="s">
        <v>14</v>
      </c>
      <c r="U1080" s="3">
        <f t="shared" si="215"/>
        <v>0.25824293383423547</v>
      </c>
      <c r="V1080" t="str">
        <f t="shared" si="216"/>
        <v>Healthy</v>
      </c>
      <c r="W1080" t="str">
        <f t="shared" si="217"/>
        <v>Good</v>
      </c>
      <c r="X1080" s="5" t="str">
        <f t="shared" si="218"/>
        <v>Medium</v>
      </c>
      <c r="Y1080" s="5" t="str">
        <f t="shared" si="219"/>
        <v>High</v>
      </c>
      <c r="Z1080" s="5" t="str">
        <f>IF(B1080=120,"NULL",IF(AND(V1080="High Stress", W1080="High Risk", Y1080="Low"),"High Risk : Reject", IF(AND(V1080="Healthy", W1080="Good",Y1080&lt;&gt;"Low"), "Low Risk : Approve", "Medium Risk : Review")))</f>
        <v>Low Risk : Approve</v>
      </c>
      <c r="AA1080" s="5" t="str">
        <f t="shared" si="220"/>
        <v>Medium</v>
      </c>
    </row>
    <row r="1081" spans="1:27" x14ac:dyDescent="0.2">
      <c r="A1081">
        <v>22592</v>
      </c>
      <c r="B1081">
        <v>40</v>
      </c>
      <c r="C1081">
        <f t="shared" si="208"/>
        <v>40</v>
      </c>
      <c r="D1081" t="s">
        <v>21</v>
      </c>
      <c r="E1081" t="str">
        <f t="shared" si="209"/>
        <v>Salaried</v>
      </c>
      <c r="F1081">
        <v>3600.86</v>
      </c>
      <c r="G1081">
        <f>ABS(Table1[[#This Row],[Monthly_Income]])</f>
        <v>3600.86</v>
      </c>
      <c r="H1081">
        <v>19511.03</v>
      </c>
      <c r="I1081" s="5">
        <f t="shared" si="210"/>
        <v>19511.03</v>
      </c>
      <c r="J1081">
        <v>48</v>
      </c>
      <c r="K1081">
        <v>19.5</v>
      </c>
      <c r="L1081">
        <v>0</v>
      </c>
      <c r="M1081">
        <f t="shared" si="211"/>
        <v>0</v>
      </c>
      <c r="N1081">
        <v>4.5999999999999996</v>
      </c>
      <c r="O1081">
        <f t="shared" si="212"/>
        <v>4.5999999999999996</v>
      </c>
      <c r="P1081">
        <v>0</v>
      </c>
      <c r="Q1081">
        <f t="shared" si="213"/>
        <v>0</v>
      </c>
      <c r="R1081" t="s">
        <v>18</v>
      </c>
      <c r="S1081" t="str">
        <f t="shared" si="214"/>
        <v>Non-Performing</v>
      </c>
      <c r="T1081" t="s">
        <v>16</v>
      </c>
      <c r="U1081" s="3">
        <f t="shared" si="215"/>
        <v>0.11288408648674668</v>
      </c>
      <c r="V1081" t="str">
        <f t="shared" si="216"/>
        <v>Healthy</v>
      </c>
      <c r="W1081" t="str">
        <f t="shared" si="217"/>
        <v>Good</v>
      </c>
      <c r="X1081" s="5" t="str">
        <f t="shared" si="218"/>
        <v>Medium</v>
      </c>
      <c r="Y1081" s="5" t="str">
        <f t="shared" si="219"/>
        <v>High</v>
      </c>
      <c r="Z1081" s="5" t="str">
        <f>IF(B1081=120,"NULL",IF(AND(V1081="High Stress", W1081="High Risk", Y1081="Low"),"High Risk : Reject", IF(AND(V1081="Healthy", W1081="Good",Y1081&lt;&gt;"Low"), "Low Risk : Approve", "Medium Risk : Review")))</f>
        <v>Low Risk : Approve</v>
      </c>
      <c r="AA1081" s="5" t="str">
        <f t="shared" si="220"/>
        <v>Medium</v>
      </c>
    </row>
    <row r="1082" spans="1:27" x14ac:dyDescent="0.2">
      <c r="A1082">
        <v>25191</v>
      </c>
      <c r="B1082">
        <v>50</v>
      </c>
      <c r="C1082">
        <f t="shared" si="208"/>
        <v>50</v>
      </c>
      <c r="D1082" t="s">
        <v>23</v>
      </c>
      <c r="E1082" t="str">
        <f t="shared" si="209"/>
        <v>Self-Employed</v>
      </c>
      <c r="F1082">
        <v>7840.29</v>
      </c>
      <c r="G1082">
        <f>ABS(Table1[[#This Row],[Monthly_Income]])</f>
        <v>7840.29</v>
      </c>
      <c r="H1082">
        <v>7282.47</v>
      </c>
      <c r="I1082" s="5">
        <f t="shared" si="210"/>
        <v>7282.47</v>
      </c>
      <c r="J1082">
        <v>48</v>
      </c>
      <c r="K1082">
        <v>17.329999999999998</v>
      </c>
      <c r="L1082">
        <v>3</v>
      </c>
      <c r="M1082">
        <f t="shared" si="211"/>
        <v>3</v>
      </c>
      <c r="N1082">
        <v>8.5</v>
      </c>
      <c r="O1082">
        <f t="shared" si="212"/>
        <v>8.5</v>
      </c>
      <c r="Q1082" t="str">
        <f t="shared" si="213"/>
        <v>NULL</v>
      </c>
      <c r="R1082" t="s">
        <v>24</v>
      </c>
      <c r="S1082" t="str">
        <f t="shared" si="214"/>
        <v>Non-Performing</v>
      </c>
      <c r="T1082" t="s">
        <v>22</v>
      </c>
      <c r="U1082" s="3">
        <f t="shared" si="215"/>
        <v>1.9351085865446305E-2</v>
      </c>
      <c r="V1082" t="str">
        <f t="shared" si="216"/>
        <v>Healthy</v>
      </c>
      <c r="W1082" t="str">
        <f t="shared" si="217"/>
        <v>NULL</v>
      </c>
      <c r="X1082" s="5" t="str">
        <f t="shared" si="218"/>
        <v>Small</v>
      </c>
      <c r="Y1082" s="5" t="str">
        <f t="shared" si="219"/>
        <v>Medium</v>
      </c>
      <c r="Z1082" s="5" t="str">
        <f>IF(B1082=120,"NULL",IF(AND(V1082="High Stress", W1082="High Risk", Y1082="Low"),"High Risk : Reject", IF(AND(V1082="Healthy", W1082="Good",Y1082&lt;&gt;"Low"), "Low Risk : Approve", "Medium Risk : Review")))</f>
        <v>Medium Risk : Review</v>
      </c>
      <c r="AA1082" s="5" t="str">
        <f t="shared" si="220"/>
        <v>Medium</v>
      </c>
    </row>
    <row r="1083" spans="1:27" x14ac:dyDescent="0.2">
      <c r="A1083">
        <v>22529</v>
      </c>
      <c r="B1083">
        <v>38</v>
      </c>
      <c r="C1083">
        <f t="shared" si="208"/>
        <v>38</v>
      </c>
      <c r="D1083" t="s">
        <v>26</v>
      </c>
      <c r="E1083" t="str">
        <f t="shared" si="209"/>
        <v>Salaried</v>
      </c>
      <c r="F1083">
        <v>3409.14</v>
      </c>
      <c r="G1083">
        <f>ABS(Table1[[#This Row],[Monthly_Income]])</f>
        <v>3409.14</v>
      </c>
      <c r="H1083">
        <v>38132.26</v>
      </c>
      <c r="I1083" s="5">
        <f t="shared" si="210"/>
        <v>38132.26</v>
      </c>
      <c r="J1083">
        <v>48</v>
      </c>
      <c r="K1083">
        <v>25.47</v>
      </c>
      <c r="M1083" t="str">
        <f t="shared" si="211"/>
        <v>NULL</v>
      </c>
      <c r="N1083">
        <v>5.0999999999999996</v>
      </c>
      <c r="O1083">
        <f t="shared" si="212"/>
        <v>5.0999999999999996</v>
      </c>
      <c r="P1083">
        <v>30</v>
      </c>
      <c r="Q1083">
        <f t="shared" si="213"/>
        <v>30</v>
      </c>
      <c r="R1083" t="s">
        <v>24</v>
      </c>
      <c r="S1083" t="str">
        <f t="shared" si="214"/>
        <v>Non-Performing</v>
      </c>
      <c r="T1083" t="s">
        <v>14</v>
      </c>
      <c r="U1083" s="3">
        <f t="shared" si="215"/>
        <v>0.2330271221872183</v>
      </c>
      <c r="V1083" t="str">
        <f t="shared" si="216"/>
        <v>Healthy</v>
      </c>
      <c r="W1083" t="str">
        <f t="shared" si="217"/>
        <v>At Risk</v>
      </c>
      <c r="X1083" s="5" t="str">
        <f t="shared" si="218"/>
        <v>High</v>
      </c>
      <c r="Y1083" s="5" t="str">
        <f t="shared" si="219"/>
        <v>High</v>
      </c>
      <c r="Z1083" s="5" t="str">
        <f>IF(B1083=120,"NULL",IF(AND(V1083="High Stress", W1083="High Risk", Y1083="Low"),"High Risk : Reject", IF(AND(V1083="Healthy", W1083="Good",Y1083&lt;&gt;"Low"), "Low Risk : Approve", "Medium Risk : Review")))</f>
        <v>Medium Risk : Review</v>
      </c>
      <c r="AA1083" s="5" t="str">
        <f t="shared" si="220"/>
        <v>Medium</v>
      </c>
    </row>
    <row r="1084" spans="1:27" x14ac:dyDescent="0.2">
      <c r="A1084">
        <v>23752</v>
      </c>
      <c r="B1084">
        <v>61</v>
      </c>
      <c r="C1084">
        <f t="shared" si="208"/>
        <v>61</v>
      </c>
      <c r="D1084" t="s">
        <v>12</v>
      </c>
      <c r="E1084" t="str">
        <f t="shared" si="209"/>
        <v>Self-Employed</v>
      </c>
      <c r="F1084">
        <v>3641.87</v>
      </c>
      <c r="G1084">
        <f>ABS(Table1[[#This Row],[Monthly_Income]])</f>
        <v>3641.87</v>
      </c>
      <c r="H1084">
        <v>15048.07</v>
      </c>
      <c r="I1084" s="5">
        <f t="shared" si="210"/>
        <v>15048.07</v>
      </c>
      <c r="J1084">
        <v>48</v>
      </c>
      <c r="K1084">
        <v>16.579999999999998</v>
      </c>
      <c r="L1084">
        <v>1</v>
      </c>
      <c r="M1084">
        <f t="shared" si="211"/>
        <v>1</v>
      </c>
      <c r="N1084">
        <v>8.4</v>
      </c>
      <c r="O1084">
        <f t="shared" si="212"/>
        <v>8.4</v>
      </c>
      <c r="P1084">
        <v>30</v>
      </c>
      <c r="Q1084">
        <f t="shared" si="213"/>
        <v>30</v>
      </c>
      <c r="R1084" t="s">
        <v>24</v>
      </c>
      <c r="S1084" t="str">
        <f t="shared" si="214"/>
        <v>Non-Performing</v>
      </c>
      <c r="T1084" t="s">
        <v>25</v>
      </c>
      <c r="U1084" s="3">
        <f t="shared" si="215"/>
        <v>8.6082550539512206E-2</v>
      </c>
      <c r="V1084" t="str">
        <f t="shared" si="216"/>
        <v>Healthy</v>
      </c>
      <c r="W1084" t="str">
        <f t="shared" si="217"/>
        <v>At Risk</v>
      </c>
      <c r="X1084" s="5" t="str">
        <f t="shared" si="218"/>
        <v>Medium</v>
      </c>
      <c r="Y1084" s="5" t="str">
        <f t="shared" si="219"/>
        <v>Medium</v>
      </c>
      <c r="Z1084" s="5" t="str">
        <f>IF(B1084=120,"NULL",IF(AND(V1084="High Stress", W1084="High Risk", Y1084="Low"),"High Risk : Reject", IF(AND(V1084="Healthy", W1084="Good",Y1084&lt;&gt;"Low"), "Low Risk : Approve", "Medium Risk : Review")))</f>
        <v>Medium Risk : Review</v>
      </c>
      <c r="AA1084" s="5" t="str">
        <f t="shared" si="220"/>
        <v>Medium</v>
      </c>
    </row>
    <row r="1085" spans="1:27" x14ac:dyDescent="0.2">
      <c r="A1085">
        <v>22431</v>
      </c>
      <c r="B1085">
        <v>64</v>
      </c>
      <c r="C1085">
        <f t="shared" si="208"/>
        <v>64</v>
      </c>
      <c r="D1085" t="s">
        <v>23</v>
      </c>
      <c r="E1085" t="str">
        <f t="shared" si="209"/>
        <v>Self-Employed</v>
      </c>
      <c r="F1085">
        <v>4410</v>
      </c>
      <c r="G1085">
        <f>ABS(Table1[[#This Row],[Monthly_Income]])</f>
        <v>4410</v>
      </c>
      <c r="H1085">
        <v>14844.96</v>
      </c>
      <c r="I1085" s="5">
        <f t="shared" si="210"/>
        <v>14844.96</v>
      </c>
      <c r="J1085">
        <v>48</v>
      </c>
      <c r="K1085">
        <v>21.01</v>
      </c>
      <c r="L1085">
        <v>1</v>
      </c>
      <c r="M1085">
        <f t="shared" si="211"/>
        <v>1</v>
      </c>
      <c r="N1085">
        <v>9.3000000000000007</v>
      </c>
      <c r="O1085">
        <f t="shared" si="212"/>
        <v>9.3000000000000007</v>
      </c>
      <c r="P1085">
        <v>0</v>
      </c>
      <c r="Q1085">
        <f t="shared" si="213"/>
        <v>0</v>
      </c>
      <c r="R1085" t="s">
        <v>15</v>
      </c>
      <c r="S1085" t="str">
        <f t="shared" si="214"/>
        <v xml:space="preserve">Performing </v>
      </c>
      <c r="T1085" t="s">
        <v>16</v>
      </c>
      <c r="U1085" s="3">
        <f t="shared" si="215"/>
        <v>7.0129251700680267E-2</v>
      </c>
      <c r="V1085" t="str">
        <f t="shared" si="216"/>
        <v>Healthy</v>
      </c>
      <c r="W1085" t="str">
        <f t="shared" si="217"/>
        <v>Good</v>
      </c>
      <c r="X1085" s="5" t="str">
        <f t="shared" si="218"/>
        <v>Medium</v>
      </c>
      <c r="Y1085" s="5" t="str">
        <f t="shared" si="219"/>
        <v>Medium</v>
      </c>
      <c r="Z1085" s="5" t="str">
        <f>IF(B1085=120,"NULL",IF(AND(V1085="High Stress", W1085="High Risk", Y1085="Low"),"High Risk : Reject", IF(AND(V1085="Healthy", W1085="Good",Y1085&lt;&gt;"Low"), "Low Risk : Approve", "Medium Risk : Review")))</f>
        <v>Low Risk : Approve</v>
      </c>
      <c r="AA1085" s="5" t="str">
        <f t="shared" si="220"/>
        <v>Medium</v>
      </c>
    </row>
    <row r="1086" spans="1:27" x14ac:dyDescent="0.2">
      <c r="A1086">
        <v>20660</v>
      </c>
      <c r="B1086">
        <v>22</v>
      </c>
      <c r="C1086">
        <f t="shared" si="208"/>
        <v>22</v>
      </c>
      <c r="D1086" t="s">
        <v>21</v>
      </c>
      <c r="E1086" t="str">
        <f t="shared" si="209"/>
        <v>Salaried</v>
      </c>
      <c r="F1086">
        <v>3839.38</v>
      </c>
      <c r="G1086">
        <f>ABS(Table1[[#This Row],[Monthly_Income]])</f>
        <v>3839.38</v>
      </c>
      <c r="H1086">
        <v>24290.53</v>
      </c>
      <c r="I1086" s="5">
        <f t="shared" si="210"/>
        <v>24290.53</v>
      </c>
      <c r="J1086">
        <v>6</v>
      </c>
      <c r="K1086">
        <v>17.239999999999998</v>
      </c>
      <c r="L1086">
        <v>2</v>
      </c>
      <c r="M1086">
        <f t="shared" si="211"/>
        <v>2</v>
      </c>
      <c r="N1086">
        <v>7</v>
      </c>
      <c r="O1086">
        <f t="shared" si="212"/>
        <v>7</v>
      </c>
      <c r="P1086">
        <v>30</v>
      </c>
      <c r="Q1086">
        <f t="shared" si="213"/>
        <v>30</v>
      </c>
      <c r="R1086" t="s">
        <v>24</v>
      </c>
      <c r="S1086" t="str">
        <f t="shared" si="214"/>
        <v>Non-Performing</v>
      </c>
      <c r="T1086" t="s">
        <v>14</v>
      </c>
      <c r="U1086" s="3">
        <f t="shared" si="215"/>
        <v>1.0544467249052365</v>
      </c>
      <c r="V1086" t="str">
        <f t="shared" si="216"/>
        <v>High Stress</v>
      </c>
      <c r="W1086" t="str">
        <f t="shared" si="217"/>
        <v>At Risk</v>
      </c>
      <c r="X1086" s="5" t="str">
        <f t="shared" si="218"/>
        <v>Medium</v>
      </c>
      <c r="Y1086" s="5" t="str">
        <f t="shared" si="219"/>
        <v>High</v>
      </c>
      <c r="Z1086" s="5" t="str">
        <f>IF(B1086=120,"NULL",IF(AND(V1086="High Stress", W1086="High Risk", Y1086="Low"),"High Risk : Reject", IF(AND(V1086="Healthy", W1086="Good",Y1086&lt;&gt;"Low"), "Low Risk : Approve", "Medium Risk : Review")))</f>
        <v>Medium Risk : Review</v>
      </c>
      <c r="AA1086" s="5" t="str">
        <f t="shared" si="220"/>
        <v>Medium</v>
      </c>
    </row>
    <row r="1087" spans="1:27" x14ac:dyDescent="0.2">
      <c r="A1087">
        <v>22280</v>
      </c>
      <c r="B1087">
        <v>59</v>
      </c>
      <c r="C1087">
        <f t="shared" si="208"/>
        <v>59</v>
      </c>
      <c r="D1087" t="s">
        <v>12</v>
      </c>
      <c r="E1087" t="str">
        <f t="shared" si="209"/>
        <v>Self-Employed</v>
      </c>
      <c r="F1087">
        <v>2186.73</v>
      </c>
      <c r="G1087">
        <f>ABS(Table1[[#This Row],[Monthly_Income]])</f>
        <v>2186.73</v>
      </c>
      <c r="H1087">
        <v>22549.21</v>
      </c>
      <c r="I1087" s="5">
        <f t="shared" si="210"/>
        <v>22549.21</v>
      </c>
      <c r="J1087">
        <v>18</v>
      </c>
      <c r="K1087">
        <v>12.85</v>
      </c>
      <c r="L1087">
        <v>0</v>
      </c>
      <c r="M1087">
        <f t="shared" si="211"/>
        <v>0</v>
      </c>
      <c r="N1087">
        <v>4.3</v>
      </c>
      <c r="O1087">
        <f t="shared" si="212"/>
        <v>4.3</v>
      </c>
      <c r="P1087">
        <v>120</v>
      </c>
      <c r="Q1087">
        <f t="shared" si="213"/>
        <v>120</v>
      </c>
      <c r="R1087" t="s">
        <v>20</v>
      </c>
      <c r="S1087" t="str">
        <f t="shared" si="214"/>
        <v>Written Off</v>
      </c>
      <c r="T1087" t="s">
        <v>16</v>
      </c>
      <c r="U1087" s="3">
        <f t="shared" si="215"/>
        <v>0.57288000296739372</v>
      </c>
      <c r="V1087" t="str">
        <f t="shared" si="216"/>
        <v>High Stress</v>
      </c>
      <c r="W1087" t="str">
        <f t="shared" si="217"/>
        <v>High Risk</v>
      </c>
      <c r="X1087" s="5" t="str">
        <f t="shared" si="218"/>
        <v>Medium</v>
      </c>
      <c r="Y1087" s="5" t="str">
        <f t="shared" si="219"/>
        <v>Medium</v>
      </c>
      <c r="Z1087" s="5" t="str">
        <f>IF(B1087=120,"NULL",IF(AND(V1087="High Stress", W1087="High Risk", Y1087="Low"),"High Risk : Reject", IF(AND(V1087="Healthy", W1087="Good",Y1087&lt;&gt;"Low"), "Low Risk : Approve", "Medium Risk : Review")))</f>
        <v>Medium Risk : Review</v>
      </c>
      <c r="AA1087" s="5" t="str">
        <f t="shared" si="220"/>
        <v>Medium</v>
      </c>
    </row>
    <row r="1088" spans="1:27" x14ac:dyDescent="0.2">
      <c r="A1088">
        <v>21945</v>
      </c>
      <c r="B1088">
        <v>33</v>
      </c>
      <c r="C1088">
        <f t="shared" si="208"/>
        <v>33</v>
      </c>
      <c r="D1088" t="s">
        <v>17</v>
      </c>
      <c r="E1088" t="str">
        <f t="shared" si="209"/>
        <v>Contract</v>
      </c>
      <c r="F1088">
        <v>3739.69</v>
      </c>
      <c r="G1088">
        <f>ABS(Table1[[#This Row],[Monthly_Income]])</f>
        <v>3739.69</v>
      </c>
      <c r="H1088">
        <v>10754.51</v>
      </c>
      <c r="I1088" s="5">
        <f t="shared" si="210"/>
        <v>10754.51</v>
      </c>
      <c r="J1088">
        <v>24</v>
      </c>
      <c r="K1088">
        <v>12.48</v>
      </c>
      <c r="L1088">
        <v>4</v>
      </c>
      <c r="M1088">
        <f t="shared" si="211"/>
        <v>4</v>
      </c>
      <c r="N1088">
        <v>2.4</v>
      </c>
      <c r="O1088">
        <f t="shared" si="212"/>
        <v>2.4</v>
      </c>
      <c r="P1088">
        <v>30</v>
      </c>
      <c r="Q1088">
        <f t="shared" si="213"/>
        <v>30</v>
      </c>
      <c r="R1088" t="s">
        <v>13</v>
      </c>
      <c r="S1088" t="str">
        <f t="shared" si="214"/>
        <v>Performing</v>
      </c>
      <c r="T1088" t="s">
        <v>22</v>
      </c>
      <c r="U1088" s="3">
        <f t="shared" si="215"/>
        <v>0.11982399164993178</v>
      </c>
      <c r="V1088" t="str">
        <f t="shared" si="216"/>
        <v>Healthy</v>
      </c>
      <c r="W1088" t="str">
        <f t="shared" si="217"/>
        <v>At Risk</v>
      </c>
      <c r="X1088" s="5" t="str">
        <f t="shared" si="218"/>
        <v>Medium</v>
      </c>
      <c r="Y1088" s="5" t="str">
        <f t="shared" si="219"/>
        <v>Low</v>
      </c>
      <c r="Z1088" s="5" t="str">
        <f>IF(B1088=120,"NULL",IF(AND(V1088="High Stress", W1088="High Risk", Y1088="Low"),"High Risk : Reject", IF(AND(V1088="Healthy", W1088="Good",Y1088&lt;&gt;"Low"), "Low Risk : Approve", "Medium Risk : Review")))</f>
        <v>Medium Risk : Review</v>
      </c>
      <c r="AA1088" s="5" t="str">
        <f t="shared" si="220"/>
        <v>Medium</v>
      </c>
    </row>
    <row r="1089" spans="1:27" x14ac:dyDescent="0.2">
      <c r="A1089">
        <v>24268</v>
      </c>
      <c r="B1089">
        <v>39</v>
      </c>
      <c r="C1089">
        <f t="shared" si="208"/>
        <v>39</v>
      </c>
      <c r="D1089" t="s">
        <v>17</v>
      </c>
      <c r="E1089" t="str">
        <f t="shared" si="209"/>
        <v>Contract</v>
      </c>
      <c r="F1089">
        <v>-1500</v>
      </c>
      <c r="G1089">
        <f>ABS(Table1[[#This Row],[Monthly_Income]])</f>
        <v>1500</v>
      </c>
      <c r="H1089">
        <v>19407.580000000002</v>
      </c>
      <c r="I1089" s="5">
        <f t="shared" si="210"/>
        <v>19407.580000000002</v>
      </c>
      <c r="J1089">
        <v>18</v>
      </c>
      <c r="K1089">
        <v>13.18</v>
      </c>
      <c r="L1089">
        <v>4</v>
      </c>
      <c r="M1089">
        <f t="shared" si="211"/>
        <v>4</v>
      </c>
      <c r="N1089">
        <v>6.5</v>
      </c>
      <c r="O1089">
        <f t="shared" si="212"/>
        <v>6.5</v>
      </c>
      <c r="P1089">
        <v>60</v>
      </c>
      <c r="Q1089">
        <f t="shared" si="213"/>
        <v>60</v>
      </c>
      <c r="R1089" t="s">
        <v>18</v>
      </c>
      <c r="S1089" t="str">
        <f t="shared" si="214"/>
        <v>Non-Performing</v>
      </c>
      <c r="T1089" t="s">
        <v>19</v>
      </c>
      <c r="U1089" s="3">
        <f t="shared" si="215"/>
        <v>0.71879925925925936</v>
      </c>
      <c r="V1089" t="str">
        <f t="shared" si="216"/>
        <v>High Stress</v>
      </c>
      <c r="W1089" t="str">
        <f t="shared" si="217"/>
        <v>High Risk</v>
      </c>
      <c r="X1089" s="5" t="str">
        <f t="shared" si="218"/>
        <v>Medium</v>
      </c>
      <c r="Y1089" s="5" t="str">
        <f t="shared" si="219"/>
        <v>Low</v>
      </c>
      <c r="Z1089" s="5" t="str">
        <f>IF(B1089=120,"NULL",IF(AND(V1089="High Stress", W1089="High Risk", Y1089="Low"),"High Risk : Reject", IF(AND(V1089="Healthy", W1089="Good",Y1089&lt;&gt;"Low"), "Low Risk : Approve", "Medium Risk : Review")))</f>
        <v>High Risk : Reject</v>
      </c>
      <c r="AA1089" s="5" t="str">
        <f t="shared" si="220"/>
        <v>Low</v>
      </c>
    </row>
    <row r="1090" spans="1:27" x14ac:dyDescent="0.2">
      <c r="A1090">
        <v>25053</v>
      </c>
      <c r="B1090">
        <v>37</v>
      </c>
      <c r="C1090">
        <f t="shared" ref="C1090:C1153" si="221">IF(B1090=120,"NULL",B1090)</f>
        <v>37</v>
      </c>
      <c r="D1090" t="s">
        <v>27</v>
      </c>
      <c r="E1090" t="str">
        <f t="shared" ref="E1090:E1153" si="222">TRIM(IF(D1090="Self employed","Self-Employed",D1090))</f>
        <v>Unemployed</v>
      </c>
      <c r="F1090">
        <v>3373.97</v>
      </c>
      <c r="G1090">
        <f>ABS(Table1[[#This Row],[Monthly_Income]])</f>
        <v>3373.97</v>
      </c>
      <c r="H1090">
        <v>14023.02</v>
      </c>
      <c r="I1090" s="5">
        <f t="shared" ref="I1090:I1153" si="223">IF(H1090="","NULL",ABS(H1090))</f>
        <v>14023.02</v>
      </c>
      <c r="J1090">
        <v>18</v>
      </c>
      <c r="K1090">
        <v>24.01</v>
      </c>
      <c r="L1090">
        <v>1</v>
      </c>
      <c r="M1090">
        <f t="shared" ref="M1090:M1153" si="224">IF(L1090="","NULL",L1090)</f>
        <v>1</v>
      </c>
      <c r="N1090">
        <v>8.1999999999999993</v>
      </c>
      <c r="O1090">
        <f t="shared" ref="O1090:O1153" si="225">IF(N1090="","NULL",ABS(N1090))</f>
        <v>8.1999999999999993</v>
      </c>
      <c r="P1090">
        <v>60</v>
      </c>
      <c r="Q1090">
        <f t="shared" ref="Q1090:Q1153" si="226">IF(P1090="","NULL",P1090)</f>
        <v>60</v>
      </c>
      <c r="R1090" t="s">
        <v>13</v>
      </c>
      <c r="S1090" t="str">
        <f t="shared" ref="S1090:S1153" si="227">IF(R1090="Non performing","Non-Performing",R1090)</f>
        <v>Performing</v>
      </c>
      <c r="T1090" t="s">
        <v>19</v>
      </c>
      <c r="U1090" s="3">
        <f t="shared" ref="U1090:U1153" si="228">IFERROR(I1090/(G1090*J1090),"NULL")</f>
        <v>0.23090207283012792</v>
      </c>
      <c r="V1090" t="str">
        <f t="shared" ref="V1090:V1153" si="229">IF(U1090="NULL","NULL",IF(U1090&lt;=0.3,"Healthy",IF(U1090&lt;=0.45,"Stretched","High Stress")))</f>
        <v>Healthy</v>
      </c>
      <c r="W1090" t="str">
        <f t="shared" ref="W1090:W1153" si="230">IF(Q1090="NULL","NULL",IF(Q1090&lt;30,"Good",IF(Q1090&lt;60,"At Risk","High Risk")))</f>
        <v>High Risk</v>
      </c>
      <c r="X1090" s="5" t="str">
        <f t="shared" ref="X1090:X1153" si="231">IF(I1090&lt;10000,"Small",IF(I1090&lt;=30000,"Medium","High"))</f>
        <v>Medium</v>
      </c>
      <c r="Y1090" s="5" t="str">
        <f t="shared" ref="Y1090:Y1153" si="232">IF(E1090="Salaried","High",IF(E1090="Self-Employed","Medium","Low"))</f>
        <v>Low</v>
      </c>
      <c r="Z1090" s="5" t="str">
        <f>IF(B1090=120,"NULL",IF(AND(V1090="High Stress", W1090="High Risk", Y1090="Low"),"High Risk : Reject", IF(AND(V1090="Healthy", W1090="Good",Y1090&lt;&gt;"Low"), "Low Risk : Approve", "Medium Risk : Review")))</f>
        <v>Medium Risk : Review</v>
      </c>
      <c r="AA1090" s="5" t="str">
        <f t="shared" ref="AA1090:AA1153" si="233">IF(G1090="NULL","NULL",IF(G1090&gt;8000,"High",IF(G1090&gt;2000,"Medium","Low")))</f>
        <v>Medium</v>
      </c>
    </row>
    <row r="1091" spans="1:27" x14ac:dyDescent="0.2">
      <c r="A1091">
        <v>22134</v>
      </c>
      <c r="B1091">
        <v>31</v>
      </c>
      <c r="C1091">
        <f t="shared" si="221"/>
        <v>31</v>
      </c>
      <c r="D1091" t="s">
        <v>23</v>
      </c>
      <c r="E1091" t="str">
        <f t="shared" si="222"/>
        <v>Self-Employed</v>
      </c>
      <c r="F1091">
        <v>5125.67</v>
      </c>
      <c r="G1091">
        <f>ABS(Table1[[#This Row],[Monthly_Income]])</f>
        <v>5125.67</v>
      </c>
      <c r="H1091">
        <v>26908.55</v>
      </c>
      <c r="I1091" s="5">
        <f t="shared" si="223"/>
        <v>26908.55</v>
      </c>
      <c r="J1091">
        <v>24</v>
      </c>
      <c r="K1091">
        <v>17.05</v>
      </c>
      <c r="L1091">
        <v>2</v>
      </c>
      <c r="M1091">
        <f t="shared" si="224"/>
        <v>2</v>
      </c>
      <c r="N1091">
        <v>7.5</v>
      </c>
      <c r="O1091">
        <f t="shared" si="225"/>
        <v>7.5</v>
      </c>
      <c r="P1091">
        <v>120</v>
      </c>
      <c r="Q1091">
        <f t="shared" si="226"/>
        <v>120</v>
      </c>
      <c r="R1091" t="s">
        <v>13</v>
      </c>
      <c r="S1091" t="str">
        <f t="shared" si="227"/>
        <v>Performing</v>
      </c>
      <c r="T1091" t="s">
        <v>25</v>
      </c>
      <c r="U1091" s="3">
        <f t="shared" si="228"/>
        <v>0.21874010291987844</v>
      </c>
      <c r="V1091" t="str">
        <f t="shared" si="229"/>
        <v>Healthy</v>
      </c>
      <c r="W1091" t="str">
        <f t="shared" si="230"/>
        <v>High Risk</v>
      </c>
      <c r="X1091" s="5" t="str">
        <f t="shared" si="231"/>
        <v>Medium</v>
      </c>
      <c r="Y1091" s="5" t="str">
        <f t="shared" si="232"/>
        <v>Medium</v>
      </c>
      <c r="Z1091" s="5" t="str">
        <f>IF(B1091=120,"NULL",IF(AND(V1091="High Stress", W1091="High Risk", Y1091="Low"),"High Risk : Reject", IF(AND(V1091="Healthy", W1091="Good",Y1091&lt;&gt;"Low"), "Low Risk : Approve", "Medium Risk : Review")))</f>
        <v>Medium Risk : Review</v>
      </c>
      <c r="AA1091" s="5" t="str">
        <f t="shared" si="233"/>
        <v>Medium</v>
      </c>
    </row>
    <row r="1092" spans="1:27" x14ac:dyDescent="0.2">
      <c r="A1092">
        <v>23959</v>
      </c>
      <c r="B1092">
        <v>22</v>
      </c>
      <c r="C1092">
        <f t="shared" si="221"/>
        <v>22</v>
      </c>
      <c r="D1092" t="s">
        <v>23</v>
      </c>
      <c r="E1092" t="str">
        <f t="shared" si="222"/>
        <v>Self-Employed</v>
      </c>
      <c r="F1092">
        <v>3203.46</v>
      </c>
      <c r="G1092">
        <f>ABS(Table1[[#This Row],[Monthly_Income]])</f>
        <v>3203.46</v>
      </c>
      <c r="H1092">
        <v>33607.25</v>
      </c>
      <c r="I1092" s="5">
        <f t="shared" si="223"/>
        <v>33607.25</v>
      </c>
      <c r="J1092">
        <v>12</v>
      </c>
      <c r="K1092">
        <v>24.64</v>
      </c>
      <c r="L1092">
        <v>2</v>
      </c>
      <c r="M1092">
        <f t="shared" si="224"/>
        <v>2</v>
      </c>
      <c r="N1092">
        <v>9.6</v>
      </c>
      <c r="O1092">
        <f t="shared" si="225"/>
        <v>9.6</v>
      </c>
      <c r="P1092">
        <v>0</v>
      </c>
      <c r="Q1092">
        <f t="shared" si="226"/>
        <v>0</v>
      </c>
      <c r="R1092" t="s">
        <v>20</v>
      </c>
      <c r="S1092" t="str">
        <f t="shared" si="227"/>
        <v>Written Off</v>
      </c>
      <c r="T1092" t="s">
        <v>14</v>
      </c>
      <c r="U1092" s="3">
        <f t="shared" si="228"/>
        <v>0.87424352627055324</v>
      </c>
      <c r="V1092" t="str">
        <f t="shared" si="229"/>
        <v>High Stress</v>
      </c>
      <c r="W1092" t="str">
        <f t="shared" si="230"/>
        <v>Good</v>
      </c>
      <c r="X1092" s="5" t="str">
        <f t="shared" si="231"/>
        <v>High</v>
      </c>
      <c r="Y1092" s="5" t="str">
        <f t="shared" si="232"/>
        <v>Medium</v>
      </c>
      <c r="Z1092" s="5" t="str">
        <f>IF(B1092=120,"NULL",IF(AND(V1092="High Stress", W1092="High Risk", Y1092="Low"),"High Risk : Reject", IF(AND(V1092="Healthy", W1092="Good",Y1092&lt;&gt;"Low"), "Low Risk : Approve", "Medium Risk : Review")))</f>
        <v>Medium Risk : Review</v>
      </c>
      <c r="AA1092" s="5" t="str">
        <f t="shared" si="233"/>
        <v>Medium</v>
      </c>
    </row>
    <row r="1093" spans="1:27" x14ac:dyDescent="0.2">
      <c r="A1093">
        <v>24476</v>
      </c>
      <c r="B1093">
        <v>49</v>
      </c>
      <c r="C1093">
        <f t="shared" si="221"/>
        <v>49</v>
      </c>
      <c r="D1093" t="s">
        <v>27</v>
      </c>
      <c r="E1093" t="str">
        <f t="shared" si="222"/>
        <v>Unemployed</v>
      </c>
      <c r="F1093">
        <v>4608.58</v>
      </c>
      <c r="G1093">
        <f>ABS(Table1[[#This Row],[Monthly_Income]])</f>
        <v>4608.58</v>
      </c>
      <c r="H1093">
        <v>37342.03</v>
      </c>
      <c r="I1093" s="5">
        <f t="shared" si="223"/>
        <v>37342.03</v>
      </c>
      <c r="J1093">
        <v>6</v>
      </c>
      <c r="K1093">
        <v>9.26</v>
      </c>
      <c r="M1093" t="str">
        <f t="shared" si="224"/>
        <v>NULL</v>
      </c>
      <c r="N1093">
        <v>-0.1</v>
      </c>
      <c r="O1093">
        <f t="shared" si="225"/>
        <v>0.1</v>
      </c>
      <c r="P1093">
        <v>0</v>
      </c>
      <c r="Q1093">
        <f t="shared" si="226"/>
        <v>0</v>
      </c>
      <c r="R1093" t="s">
        <v>15</v>
      </c>
      <c r="S1093" t="str">
        <f t="shared" si="227"/>
        <v xml:space="preserve">Performing </v>
      </c>
      <c r="T1093" t="s">
        <v>14</v>
      </c>
      <c r="U1093" s="3">
        <f t="shared" si="228"/>
        <v>1.3504532126309332</v>
      </c>
      <c r="V1093" t="str">
        <f t="shared" si="229"/>
        <v>High Stress</v>
      </c>
      <c r="W1093" t="str">
        <f t="shared" si="230"/>
        <v>Good</v>
      </c>
      <c r="X1093" s="5" t="str">
        <f t="shared" si="231"/>
        <v>High</v>
      </c>
      <c r="Y1093" s="5" t="str">
        <f t="shared" si="232"/>
        <v>Low</v>
      </c>
      <c r="Z1093" s="5" t="str">
        <f>IF(B1093=120,"NULL",IF(AND(V1093="High Stress", W1093="High Risk", Y1093="Low"),"High Risk : Reject", IF(AND(V1093="Healthy", W1093="Good",Y1093&lt;&gt;"Low"), "Low Risk : Approve", "Medium Risk : Review")))</f>
        <v>Medium Risk : Review</v>
      </c>
      <c r="AA1093" s="5" t="str">
        <f t="shared" si="233"/>
        <v>Medium</v>
      </c>
    </row>
    <row r="1094" spans="1:27" x14ac:dyDescent="0.2">
      <c r="A1094">
        <v>21186</v>
      </c>
      <c r="B1094">
        <v>39</v>
      </c>
      <c r="C1094">
        <f t="shared" si="221"/>
        <v>39</v>
      </c>
      <c r="D1094" t="s">
        <v>27</v>
      </c>
      <c r="E1094" t="str">
        <f t="shared" si="222"/>
        <v>Unemployed</v>
      </c>
      <c r="F1094">
        <v>6769.87</v>
      </c>
      <c r="G1094">
        <f>ABS(Table1[[#This Row],[Monthly_Income]])</f>
        <v>6769.87</v>
      </c>
      <c r="H1094">
        <v>22899.39</v>
      </c>
      <c r="I1094" s="5">
        <f t="shared" si="223"/>
        <v>22899.39</v>
      </c>
      <c r="J1094">
        <v>12</v>
      </c>
      <c r="K1094">
        <v>22.8</v>
      </c>
      <c r="L1094">
        <v>1</v>
      </c>
      <c r="M1094">
        <f t="shared" si="224"/>
        <v>1</v>
      </c>
      <c r="N1094">
        <v>-0.5</v>
      </c>
      <c r="O1094">
        <f t="shared" si="225"/>
        <v>0.5</v>
      </c>
      <c r="P1094">
        <v>0</v>
      </c>
      <c r="Q1094">
        <f t="shared" si="226"/>
        <v>0</v>
      </c>
      <c r="R1094" t="s">
        <v>18</v>
      </c>
      <c r="S1094" t="str">
        <f t="shared" si="227"/>
        <v>Non-Performing</v>
      </c>
      <c r="T1094" t="s">
        <v>22</v>
      </c>
      <c r="U1094" s="3">
        <f t="shared" si="228"/>
        <v>0.28187875099521853</v>
      </c>
      <c r="V1094" t="str">
        <f t="shared" si="229"/>
        <v>Healthy</v>
      </c>
      <c r="W1094" t="str">
        <f t="shared" si="230"/>
        <v>Good</v>
      </c>
      <c r="X1094" s="5" t="str">
        <f t="shared" si="231"/>
        <v>Medium</v>
      </c>
      <c r="Y1094" s="5" t="str">
        <f t="shared" si="232"/>
        <v>Low</v>
      </c>
      <c r="Z1094" s="5" t="str">
        <f>IF(B1094=120,"NULL",IF(AND(V1094="High Stress", W1094="High Risk", Y1094="Low"),"High Risk : Reject", IF(AND(V1094="Healthy", W1094="Good",Y1094&lt;&gt;"Low"), "Low Risk : Approve", "Medium Risk : Review")))</f>
        <v>Medium Risk : Review</v>
      </c>
      <c r="AA1094" s="5" t="str">
        <f t="shared" si="233"/>
        <v>Medium</v>
      </c>
    </row>
    <row r="1095" spans="1:27" x14ac:dyDescent="0.2">
      <c r="A1095">
        <v>20734</v>
      </c>
      <c r="B1095">
        <v>24</v>
      </c>
      <c r="C1095">
        <f t="shared" si="221"/>
        <v>24</v>
      </c>
      <c r="D1095" t="s">
        <v>26</v>
      </c>
      <c r="E1095" t="str">
        <f t="shared" si="222"/>
        <v>Salaried</v>
      </c>
      <c r="F1095">
        <v>5131.87</v>
      </c>
      <c r="G1095">
        <f>ABS(Table1[[#This Row],[Monthly_Income]])</f>
        <v>5131.87</v>
      </c>
      <c r="H1095">
        <v>30882.25</v>
      </c>
      <c r="I1095" s="5">
        <f t="shared" si="223"/>
        <v>30882.25</v>
      </c>
      <c r="J1095">
        <v>12</v>
      </c>
      <c r="K1095">
        <v>25.78</v>
      </c>
      <c r="L1095">
        <v>3</v>
      </c>
      <c r="M1095">
        <f t="shared" si="224"/>
        <v>3</v>
      </c>
      <c r="N1095">
        <v>4.2</v>
      </c>
      <c r="O1095">
        <f t="shared" si="225"/>
        <v>4.2</v>
      </c>
      <c r="Q1095" t="str">
        <f t="shared" si="226"/>
        <v>NULL</v>
      </c>
      <c r="R1095" t="s">
        <v>18</v>
      </c>
      <c r="S1095" t="str">
        <f t="shared" si="227"/>
        <v>Non-Performing</v>
      </c>
      <c r="T1095" t="s">
        <v>22</v>
      </c>
      <c r="U1095" s="3">
        <f t="shared" si="228"/>
        <v>0.50147818111786413</v>
      </c>
      <c r="V1095" t="str">
        <f t="shared" si="229"/>
        <v>High Stress</v>
      </c>
      <c r="W1095" t="str">
        <f t="shared" si="230"/>
        <v>NULL</v>
      </c>
      <c r="X1095" s="5" t="str">
        <f t="shared" si="231"/>
        <v>High</v>
      </c>
      <c r="Y1095" s="5" t="str">
        <f t="shared" si="232"/>
        <v>High</v>
      </c>
      <c r="Z1095" s="5" t="str">
        <f>IF(B1095=120,"NULL",IF(AND(V1095="High Stress", W1095="High Risk", Y1095="Low"),"High Risk : Reject", IF(AND(V1095="Healthy", W1095="Good",Y1095&lt;&gt;"Low"), "Low Risk : Approve", "Medium Risk : Review")))</f>
        <v>Medium Risk : Review</v>
      </c>
      <c r="AA1095" s="5" t="str">
        <f t="shared" si="233"/>
        <v>Medium</v>
      </c>
    </row>
    <row r="1096" spans="1:27" x14ac:dyDescent="0.2">
      <c r="A1096">
        <v>24747</v>
      </c>
      <c r="B1096">
        <v>56</v>
      </c>
      <c r="C1096">
        <f t="shared" si="221"/>
        <v>56</v>
      </c>
      <c r="D1096" t="s">
        <v>27</v>
      </c>
      <c r="E1096" t="str">
        <f t="shared" si="222"/>
        <v>Unemployed</v>
      </c>
      <c r="F1096">
        <v>2031.83</v>
      </c>
      <c r="G1096">
        <f>ABS(Table1[[#This Row],[Monthly_Income]])</f>
        <v>2031.83</v>
      </c>
      <c r="H1096">
        <v>-7289.5</v>
      </c>
      <c r="I1096" s="5">
        <f t="shared" si="223"/>
        <v>7289.5</v>
      </c>
      <c r="J1096">
        <v>24</v>
      </c>
      <c r="K1096">
        <v>15.74</v>
      </c>
      <c r="L1096">
        <v>1</v>
      </c>
      <c r="M1096">
        <f t="shared" si="224"/>
        <v>1</v>
      </c>
      <c r="N1096">
        <v>3.7</v>
      </c>
      <c r="O1096">
        <f t="shared" si="225"/>
        <v>3.7</v>
      </c>
      <c r="P1096">
        <v>30</v>
      </c>
      <c r="Q1096">
        <f t="shared" si="226"/>
        <v>30</v>
      </c>
      <c r="R1096" t="s">
        <v>15</v>
      </c>
      <c r="S1096" t="str">
        <f t="shared" si="227"/>
        <v xml:space="preserve">Performing </v>
      </c>
      <c r="T1096" t="s">
        <v>16</v>
      </c>
      <c r="U1096" s="3">
        <f t="shared" si="228"/>
        <v>0.14948552126244158</v>
      </c>
      <c r="V1096" t="str">
        <f t="shared" si="229"/>
        <v>Healthy</v>
      </c>
      <c r="W1096" t="str">
        <f t="shared" si="230"/>
        <v>At Risk</v>
      </c>
      <c r="X1096" s="5" t="str">
        <f t="shared" si="231"/>
        <v>Small</v>
      </c>
      <c r="Y1096" s="5" t="str">
        <f t="shared" si="232"/>
        <v>Low</v>
      </c>
      <c r="Z1096" s="5" t="str">
        <f>IF(B1096=120,"NULL",IF(AND(V1096="High Stress", W1096="High Risk", Y1096="Low"),"High Risk : Reject", IF(AND(V1096="Healthy", W1096="Good",Y1096&lt;&gt;"Low"), "Low Risk : Approve", "Medium Risk : Review")))</f>
        <v>Medium Risk : Review</v>
      </c>
      <c r="AA1096" s="5" t="str">
        <f t="shared" si="233"/>
        <v>Medium</v>
      </c>
    </row>
    <row r="1097" spans="1:27" x14ac:dyDescent="0.2">
      <c r="A1097">
        <v>23519</v>
      </c>
      <c r="B1097">
        <v>44</v>
      </c>
      <c r="C1097">
        <f t="shared" si="221"/>
        <v>44</v>
      </c>
      <c r="D1097" t="s">
        <v>23</v>
      </c>
      <c r="E1097" t="str">
        <f t="shared" si="222"/>
        <v>Self-Employed</v>
      </c>
      <c r="F1097">
        <v>6462.18</v>
      </c>
      <c r="G1097">
        <f>ABS(Table1[[#This Row],[Monthly_Income]])</f>
        <v>6462.18</v>
      </c>
      <c r="H1097">
        <v>17019.400000000001</v>
      </c>
      <c r="I1097" s="5">
        <f t="shared" si="223"/>
        <v>17019.400000000001</v>
      </c>
      <c r="J1097">
        <v>6</v>
      </c>
      <c r="K1097">
        <v>22.65</v>
      </c>
      <c r="L1097">
        <v>4</v>
      </c>
      <c r="M1097">
        <f t="shared" si="224"/>
        <v>4</v>
      </c>
      <c r="N1097">
        <v>4.8</v>
      </c>
      <c r="O1097">
        <f t="shared" si="225"/>
        <v>4.8</v>
      </c>
      <c r="Q1097" t="str">
        <f t="shared" si="226"/>
        <v>NULL</v>
      </c>
      <c r="R1097" t="s">
        <v>13</v>
      </c>
      <c r="S1097" t="str">
        <f t="shared" si="227"/>
        <v>Performing</v>
      </c>
      <c r="T1097" t="s">
        <v>14</v>
      </c>
      <c r="U1097" s="3">
        <f t="shared" si="228"/>
        <v>0.43894887896447743</v>
      </c>
      <c r="V1097" t="str">
        <f t="shared" si="229"/>
        <v>Stretched</v>
      </c>
      <c r="W1097" t="str">
        <f t="shared" si="230"/>
        <v>NULL</v>
      </c>
      <c r="X1097" s="5" t="str">
        <f t="shared" si="231"/>
        <v>Medium</v>
      </c>
      <c r="Y1097" s="5" t="str">
        <f t="shared" si="232"/>
        <v>Medium</v>
      </c>
      <c r="Z1097" s="5" t="str">
        <f>IF(B1097=120,"NULL",IF(AND(V1097="High Stress", W1097="High Risk", Y1097="Low"),"High Risk : Reject", IF(AND(V1097="Healthy", W1097="Good",Y1097&lt;&gt;"Low"), "Low Risk : Approve", "Medium Risk : Review")))</f>
        <v>Medium Risk : Review</v>
      </c>
      <c r="AA1097" s="5" t="str">
        <f t="shared" si="233"/>
        <v>Medium</v>
      </c>
    </row>
    <row r="1098" spans="1:27" x14ac:dyDescent="0.2">
      <c r="A1098">
        <v>25051</v>
      </c>
      <c r="B1098">
        <v>62</v>
      </c>
      <c r="C1098">
        <f t="shared" si="221"/>
        <v>62</v>
      </c>
      <c r="D1098" t="s">
        <v>26</v>
      </c>
      <c r="E1098" t="str">
        <f t="shared" si="222"/>
        <v>Salaried</v>
      </c>
      <c r="F1098">
        <v>7088.65</v>
      </c>
      <c r="G1098">
        <f>ABS(Table1[[#This Row],[Monthly_Income]])</f>
        <v>7088.65</v>
      </c>
      <c r="H1098">
        <v>26547.599999999999</v>
      </c>
      <c r="I1098" s="5">
        <f t="shared" si="223"/>
        <v>26547.599999999999</v>
      </c>
      <c r="J1098">
        <v>48</v>
      </c>
      <c r="K1098">
        <v>25.35</v>
      </c>
      <c r="L1098">
        <v>3</v>
      </c>
      <c r="M1098">
        <f t="shared" si="224"/>
        <v>3</v>
      </c>
      <c r="N1098">
        <v>7.3</v>
      </c>
      <c r="O1098">
        <f t="shared" si="225"/>
        <v>7.3</v>
      </c>
      <c r="P1098">
        <v>0</v>
      </c>
      <c r="Q1098">
        <f t="shared" si="226"/>
        <v>0</v>
      </c>
      <c r="R1098" t="s">
        <v>20</v>
      </c>
      <c r="S1098" t="str">
        <f t="shared" si="227"/>
        <v>Written Off</v>
      </c>
      <c r="T1098" t="s">
        <v>19</v>
      </c>
      <c r="U1098" s="3">
        <f t="shared" si="228"/>
        <v>7.8022613614722139E-2</v>
      </c>
      <c r="V1098" t="str">
        <f t="shared" si="229"/>
        <v>Healthy</v>
      </c>
      <c r="W1098" t="str">
        <f t="shared" si="230"/>
        <v>Good</v>
      </c>
      <c r="X1098" s="5" t="str">
        <f t="shared" si="231"/>
        <v>Medium</v>
      </c>
      <c r="Y1098" s="5" t="str">
        <f t="shared" si="232"/>
        <v>High</v>
      </c>
      <c r="Z1098" s="5" t="str">
        <f>IF(B1098=120,"NULL",IF(AND(V1098="High Stress", W1098="High Risk", Y1098="Low"),"High Risk : Reject", IF(AND(V1098="Healthy", W1098="Good",Y1098&lt;&gt;"Low"), "Low Risk : Approve", "Medium Risk : Review")))</f>
        <v>Low Risk : Approve</v>
      </c>
      <c r="AA1098" s="5" t="str">
        <f t="shared" si="233"/>
        <v>Medium</v>
      </c>
    </row>
    <row r="1099" spans="1:27" x14ac:dyDescent="0.2">
      <c r="A1099">
        <v>22809</v>
      </c>
      <c r="B1099">
        <v>18</v>
      </c>
      <c r="C1099">
        <f t="shared" si="221"/>
        <v>18</v>
      </c>
      <c r="D1099" t="s">
        <v>27</v>
      </c>
      <c r="E1099" t="str">
        <f t="shared" si="222"/>
        <v>Unemployed</v>
      </c>
      <c r="F1099">
        <v>6088.02</v>
      </c>
      <c r="G1099">
        <f>ABS(Table1[[#This Row],[Monthly_Income]])</f>
        <v>6088.02</v>
      </c>
      <c r="H1099">
        <v>22155.18</v>
      </c>
      <c r="I1099" s="5">
        <f t="shared" si="223"/>
        <v>22155.18</v>
      </c>
      <c r="J1099">
        <v>60</v>
      </c>
      <c r="K1099">
        <v>18.03</v>
      </c>
      <c r="L1099">
        <v>4</v>
      </c>
      <c r="M1099">
        <f t="shared" si="224"/>
        <v>4</v>
      </c>
      <c r="N1099">
        <v>2.7</v>
      </c>
      <c r="O1099">
        <f t="shared" si="225"/>
        <v>2.7</v>
      </c>
      <c r="P1099">
        <v>0</v>
      </c>
      <c r="Q1099">
        <f t="shared" si="226"/>
        <v>0</v>
      </c>
      <c r="R1099" t="s">
        <v>15</v>
      </c>
      <c r="S1099" t="str">
        <f t="shared" si="227"/>
        <v xml:space="preserve">Performing </v>
      </c>
      <c r="T1099" t="s">
        <v>25</v>
      </c>
      <c r="U1099" s="3">
        <f t="shared" si="228"/>
        <v>6.0652396017095871E-2</v>
      </c>
      <c r="V1099" t="str">
        <f t="shared" si="229"/>
        <v>Healthy</v>
      </c>
      <c r="W1099" t="str">
        <f t="shared" si="230"/>
        <v>Good</v>
      </c>
      <c r="X1099" s="5" t="str">
        <f t="shared" si="231"/>
        <v>Medium</v>
      </c>
      <c r="Y1099" s="5" t="str">
        <f t="shared" si="232"/>
        <v>Low</v>
      </c>
      <c r="Z1099" s="5" t="str">
        <f>IF(B1099=120,"NULL",IF(AND(V1099="High Stress", W1099="High Risk", Y1099="Low"),"High Risk : Reject", IF(AND(V1099="Healthy", W1099="Good",Y1099&lt;&gt;"Low"), "Low Risk : Approve", "Medium Risk : Review")))</f>
        <v>Medium Risk : Review</v>
      </c>
      <c r="AA1099" s="5" t="str">
        <f t="shared" si="233"/>
        <v>Medium</v>
      </c>
    </row>
    <row r="1100" spans="1:27" x14ac:dyDescent="0.2">
      <c r="A1100">
        <v>22650</v>
      </c>
      <c r="B1100">
        <v>46</v>
      </c>
      <c r="C1100">
        <f t="shared" si="221"/>
        <v>46</v>
      </c>
      <c r="D1100" t="s">
        <v>12</v>
      </c>
      <c r="E1100" t="str">
        <f t="shared" si="222"/>
        <v>Self-Employed</v>
      </c>
      <c r="F1100">
        <v>2290.25</v>
      </c>
      <c r="G1100">
        <f>ABS(Table1[[#This Row],[Monthly_Income]])</f>
        <v>2290.25</v>
      </c>
      <c r="H1100">
        <v>30958.29</v>
      </c>
      <c r="I1100" s="5">
        <f t="shared" si="223"/>
        <v>30958.29</v>
      </c>
      <c r="J1100">
        <v>6</v>
      </c>
      <c r="K1100">
        <v>16.55</v>
      </c>
      <c r="L1100">
        <v>2</v>
      </c>
      <c r="M1100">
        <f t="shared" si="224"/>
        <v>2</v>
      </c>
      <c r="N1100">
        <v>6.3</v>
      </c>
      <c r="O1100">
        <f t="shared" si="225"/>
        <v>6.3</v>
      </c>
      <c r="P1100">
        <v>60</v>
      </c>
      <c r="Q1100">
        <f t="shared" si="226"/>
        <v>60</v>
      </c>
      <c r="R1100" t="s">
        <v>13</v>
      </c>
      <c r="S1100" t="str">
        <f t="shared" si="227"/>
        <v>Performing</v>
      </c>
      <c r="T1100" t="s">
        <v>14</v>
      </c>
      <c r="U1100" s="3">
        <f t="shared" si="228"/>
        <v>2.2529047047265585</v>
      </c>
      <c r="V1100" t="str">
        <f t="shared" si="229"/>
        <v>High Stress</v>
      </c>
      <c r="W1100" t="str">
        <f t="shared" si="230"/>
        <v>High Risk</v>
      </c>
      <c r="X1100" s="5" t="str">
        <f t="shared" si="231"/>
        <v>High</v>
      </c>
      <c r="Y1100" s="5" t="str">
        <f t="shared" si="232"/>
        <v>Medium</v>
      </c>
      <c r="Z1100" s="5" t="str">
        <f>IF(B1100=120,"NULL",IF(AND(V1100="High Stress", W1100="High Risk", Y1100="Low"),"High Risk : Reject", IF(AND(V1100="Healthy", W1100="Good",Y1100&lt;&gt;"Low"), "Low Risk : Approve", "Medium Risk : Review")))</f>
        <v>Medium Risk : Review</v>
      </c>
      <c r="AA1100" s="5" t="str">
        <f t="shared" si="233"/>
        <v>Medium</v>
      </c>
    </row>
    <row r="1101" spans="1:27" x14ac:dyDescent="0.2">
      <c r="A1101">
        <v>22261</v>
      </c>
      <c r="B1101">
        <v>58</v>
      </c>
      <c r="C1101">
        <f t="shared" si="221"/>
        <v>58</v>
      </c>
      <c r="D1101" t="s">
        <v>23</v>
      </c>
      <c r="E1101" t="str">
        <f t="shared" si="222"/>
        <v>Self-Employed</v>
      </c>
      <c r="F1101">
        <v>7929.43</v>
      </c>
      <c r="G1101">
        <f>ABS(Table1[[#This Row],[Monthly_Income]])</f>
        <v>7929.43</v>
      </c>
      <c r="H1101">
        <v>22182.94</v>
      </c>
      <c r="I1101" s="5">
        <f t="shared" si="223"/>
        <v>22182.94</v>
      </c>
      <c r="J1101">
        <v>60</v>
      </c>
      <c r="K1101">
        <v>24.31</v>
      </c>
      <c r="L1101">
        <v>1</v>
      </c>
      <c r="M1101">
        <f t="shared" si="224"/>
        <v>1</v>
      </c>
      <c r="N1101">
        <v>1.9</v>
      </c>
      <c r="O1101">
        <f t="shared" si="225"/>
        <v>1.9</v>
      </c>
      <c r="P1101">
        <v>0</v>
      </c>
      <c r="Q1101">
        <f t="shared" si="226"/>
        <v>0</v>
      </c>
      <c r="R1101" t="s">
        <v>15</v>
      </c>
      <c r="S1101" t="str">
        <f t="shared" si="227"/>
        <v xml:space="preserve">Performing </v>
      </c>
      <c r="T1101" t="s">
        <v>25</v>
      </c>
      <c r="U1101" s="3">
        <f t="shared" si="228"/>
        <v>4.6625755781521068E-2</v>
      </c>
      <c r="V1101" t="str">
        <f t="shared" si="229"/>
        <v>Healthy</v>
      </c>
      <c r="W1101" t="str">
        <f t="shared" si="230"/>
        <v>Good</v>
      </c>
      <c r="X1101" s="5" t="str">
        <f t="shared" si="231"/>
        <v>Medium</v>
      </c>
      <c r="Y1101" s="5" t="str">
        <f t="shared" si="232"/>
        <v>Medium</v>
      </c>
      <c r="Z1101" s="5" t="str">
        <f>IF(B1101=120,"NULL",IF(AND(V1101="High Stress", W1101="High Risk", Y1101="Low"),"High Risk : Reject", IF(AND(V1101="Healthy", W1101="Good",Y1101&lt;&gt;"Low"), "Low Risk : Approve", "Medium Risk : Review")))</f>
        <v>Low Risk : Approve</v>
      </c>
      <c r="AA1101" s="5" t="str">
        <f t="shared" si="233"/>
        <v>Medium</v>
      </c>
    </row>
    <row r="1102" spans="1:27" x14ac:dyDescent="0.2">
      <c r="A1102">
        <v>23823</v>
      </c>
      <c r="B1102">
        <v>45</v>
      </c>
      <c r="C1102">
        <f t="shared" si="221"/>
        <v>45</v>
      </c>
      <c r="D1102" t="s">
        <v>27</v>
      </c>
      <c r="E1102" t="str">
        <f t="shared" si="222"/>
        <v>Unemployed</v>
      </c>
      <c r="F1102">
        <v>-1500</v>
      </c>
      <c r="G1102">
        <f>ABS(Table1[[#This Row],[Monthly_Income]])</f>
        <v>1500</v>
      </c>
      <c r="H1102">
        <v>7451.02</v>
      </c>
      <c r="I1102" s="5">
        <f t="shared" si="223"/>
        <v>7451.02</v>
      </c>
      <c r="J1102">
        <v>24</v>
      </c>
      <c r="K1102">
        <v>11.56</v>
      </c>
      <c r="L1102">
        <v>3</v>
      </c>
      <c r="M1102">
        <f t="shared" si="224"/>
        <v>3</v>
      </c>
      <c r="N1102">
        <v>8.8000000000000007</v>
      </c>
      <c r="O1102">
        <f t="shared" si="225"/>
        <v>8.8000000000000007</v>
      </c>
      <c r="P1102">
        <v>0</v>
      </c>
      <c r="Q1102">
        <f t="shared" si="226"/>
        <v>0</v>
      </c>
      <c r="R1102" t="s">
        <v>20</v>
      </c>
      <c r="S1102" t="str">
        <f t="shared" si="227"/>
        <v>Written Off</v>
      </c>
      <c r="T1102" t="s">
        <v>16</v>
      </c>
      <c r="U1102" s="3">
        <f t="shared" si="228"/>
        <v>0.20697277777777778</v>
      </c>
      <c r="V1102" t="str">
        <f t="shared" si="229"/>
        <v>Healthy</v>
      </c>
      <c r="W1102" t="str">
        <f t="shared" si="230"/>
        <v>Good</v>
      </c>
      <c r="X1102" s="5" t="str">
        <f t="shared" si="231"/>
        <v>Small</v>
      </c>
      <c r="Y1102" s="5" t="str">
        <f t="shared" si="232"/>
        <v>Low</v>
      </c>
      <c r="Z1102" s="5" t="str">
        <f>IF(B1102=120,"NULL",IF(AND(V1102="High Stress", W1102="High Risk", Y1102="Low"),"High Risk : Reject", IF(AND(V1102="Healthy", W1102="Good",Y1102&lt;&gt;"Low"), "Low Risk : Approve", "Medium Risk : Review")))</f>
        <v>Medium Risk : Review</v>
      </c>
      <c r="AA1102" s="5" t="str">
        <f t="shared" si="233"/>
        <v>Low</v>
      </c>
    </row>
    <row r="1103" spans="1:27" x14ac:dyDescent="0.2">
      <c r="A1103">
        <v>23608</v>
      </c>
      <c r="B1103">
        <v>25</v>
      </c>
      <c r="C1103">
        <f t="shared" si="221"/>
        <v>25</v>
      </c>
      <c r="D1103" t="s">
        <v>23</v>
      </c>
      <c r="E1103" t="str">
        <f t="shared" si="222"/>
        <v>Self-Employed</v>
      </c>
      <c r="F1103">
        <v>5890.14</v>
      </c>
      <c r="G1103">
        <f>ABS(Table1[[#This Row],[Monthly_Income]])</f>
        <v>5890.14</v>
      </c>
      <c r="H1103">
        <v>11213.05</v>
      </c>
      <c r="I1103" s="5">
        <f t="shared" si="223"/>
        <v>11213.05</v>
      </c>
      <c r="J1103">
        <v>18</v>
      </c>
      <c r="K1103">
        <v>15.53</v>
      </c>
      <c r="L1103">
        <v>3</v>
      </c>
      <c r="M1103">
        <f t="shared" si="224"/>
        <v>3</v>
      </c>
      <c r="N1103">
        <v>13</v>
      </c>
      <c r="O1103">
        <f t="shared" si="225"/>
        <v>13</v>
      </c>
      <c r="P1103">
        <v>120</v>
      </c>
      <c r="Q1103">
        <f t="shared" si="226"/>
        <v>120</v>
      </c>
      <c r="R1103" t="s">
        <v>13</v>
      </c>
      <c r="S1103" t="str">
        <f t="shared" si="227"/>
        <v>Performing</v>
      </c>
      <c r="T1103" t="s">
        <v>22</v>
      </c>
      <c r="U1103" s="3">
        <f t="shared" si="228"/>
        <v>0.10576102133773088</v>
      </c>
      <c r="V1103" t="str">
        <f t="shared" si="229"/>
        <v>Healthy</v>
      </c>
      <c r="W1103" t="str">
        <f t="shared" si="230"/>
        <v>High Risk</v>
      </c>
      <c r="X1103" s="5" t="str">
        <f t="shared" si="231"/>
        <v>Medium</v>
      </c>
      <c r="Y1103" s="5" t="str">
        <f t="shared" si="232"/>
        <v>Medium</v>
      </c>
      <c r="Z1103" s="5" t="str">
        <f>IF(B1103=120,"NULL",IF(AND(V1103="High Stress", W1103="High Risk", Y1103="Low"),"High Risk : Reject", IF(AND(V1103="Healthy", W1103="Good",Y1103&lt;&gt;"Low"), "Low Risk : Approve", "Medium Risk : Review")))</f>
        <v>Medium Risk : Review</v>
      </c>
      <c r="AA1103" s="5" t="str">
        <f t="shared" si="233"/>
        <v>Medium</v>
      </c>
    </row>
    <row r="1104" spans="1:27" x14ac:dyDescent="0.2">
      <c r="A1104">
        <v>23588</v>
      </c>
      <c r="B1104">
        <v>22</v>
      </c>
      <c r="C1104">
        <f t="shared" si="221"/>
        <v>22</v>
      </c>
      <c r="D1104" t="s">
        <v>27</v>
      </c>
      <c r="E1104" t="str">
        <f t="shared" si="222"/>
        <v>Unemployed</v>
      </c>
      <c r="F1104">
        <v>2015.04</v>
      </c>
      <c r="G1104">
        <f>ABS(Table1[[#This Row],[Monthly_Income]])</f>
        <v>2015.04</v>
      </c>
      <c r="H1104">
        <v>25855.35</v>
      </c>
      <c r="I1104" s="5">
        <f t="shared" si="223"/>
        <v>25855.35</v>
      </c>
      <c r="J1104">
        <v>60</v>
      </c>
      <c r="K1104">
        <v>18.52</v>
      </c>
      <c r="L1104">
        <v>3</v>
      </c>
      <c r="M1104">
        <f t="shared" si="224"/>
        <v>3</v>
      </c>
      <c r="O1104" t="str">
        <f t="shared" si="225"/>
        <v>NULL</v>
      </c>
      <c r="P1104">
        <v>30</v>
      </c>
      <c r="Q1104">
        <f t="shared" si="226"/>
        <v>30</v>
      </c>
      <c r="R1104" t="s">
        <v>15</v>
      </c>
      <c r="S1104" t="str">
        <f t="shared" si="227"/>
        <v xml:space="preserve">Performing </v>
      </c>
      <c r="T1104" t="s">
        <v>14</v>
      </c>
      <c r="U1104" s="3">
        <f t="shared" si="228"/>
        <v>0.21385307487692551</v>
      </c>
      <c r="V1104" t="str">
        <f t="shared" si="229"/>
        <v>Healthy</v>
      </c>
      <c r="W1104" t="str">
        <f t="shared" si="230"/>
        <v>At Risk</v>
      </c>
      <c r="X1104" s="5" t="str">
        <f t="shared" si="231"/>
        <v>Medium</v>
      </c>
      <c r="Y1104" s="5" t="str">
        <f t="shared" si="232"/>
        <v>Low</v>
      </c>
      <c r="Z1104" s="5" t="str">
        <f>IF(B1104=120,"NULL",IF(AND(V1104="High Stress", W1104="High Risk", Y1104="Low"),"High Risk : Reject", IF(AND(V1104="Healthy", W1104="Good",Y1104&lt;&gt;"Low"), "Low Risk : Approve", "Medium Risk : Review")))</f>
        <v>Medium Risk : Review</v>
      </c>
      <c r="AA1104" s="5" t="str">
        <f t="shared" si="233"/>
        <v>Medium</v>
      </c>
    </row>
    <row r="1105" spans="1:27" x14ac:dyDescent="0.2">
      <c r="A1105">
        <v>20791</v>
      </c>
      <c r="B1105">
        <v>28</v>
      </c>
      <c r="C1105">
        <f t="shared" si="221"/>
        <v>28</v>
      </c>
      <c r="D1105" t="s">
        <v>27</v>
      </c>
      <c r="E1105" t="str">
        <f t="shared" si="222"/>
        <v>Unemployed</v>
      </c>
      <c r="F1105">
        <v>6363.13</v>
      </c>
      <c r="G1105">
        <f>ABS(Table1[[#This Row],[Monthly_Income]])</f>
        <v>6363.13</v>
      </c>
      <c r="H1105">
        <v>5453.36</v>
      </c>
      <c r="I1105" s="5">
        <f t="shared" si="223"/>
        <v>5453.36</v>
      </c>
      <c r="J1105">
        <v>18</v>
      </c>
      <c r="K1105">
        <v>16.84</v>
      </c>
      <c r="L1105">
        <v>1</v>
      </c>
      <c r="M1105">
        <f t="shared" si="224"/>
        <v>1</v>
      </c>
      <c r="N1105">
        <v>7.2</v>
      </c>
      <c r="O1105">
        <f t="shared" si="225"/>
        <v>7.2</v>
      </c>
      <c r="P1105">
        <v>0</v>
      </c>
      <c r="Q1105">
        <f t="shared" si="226"/>
        <v>0</v>
      </c>
      <c r="R1105" t="s">
        <v>15</v>
      </c>
      <c r="S1105" t="str">
        <f t="shared" si="227"/>
        <v xml:space="preserve">Performing </v>
      </c>
      <c r="T1105" t="s">
        <v>14</v>
      </c>
      <c r="U1105" s="3">
        <f t="shared" si="228"/>
        <v>4.7612487006307339E-2</v>
      </c>
      <c r="V1105" t="str">
        <f t="shared" si="229"/>
        <v>Healthy</v>
      </c>
      <c r="W1105" t="str">
        <f t="shared" si="230"/>
        <v>Good</v>
      </c>
      <c r="X1105" s="5" t="str">
        <f t="shared" si="231"/>
        <v>Small</v>
      </c>
      <c r="Y1105" s="5" t="str">
        <f t="shared" si="232"/>
        <v>Low</v>
      </c>
      <c r="Z1105" s="5" t="str">
        <f>IF(B1105=120,"NULL",IF(AND(V1105="High Stress", W1105="High Risk", Y1105="Low"),"High Risk : Reject", IF(AND(V1105="Healthy", W1105="Good",Y1105&lt;&gt;"Low"), "Low Risk : Approve", "Medium Risk : Review")))</f>
        <v>Medium Risk : Review</v>
      </c>
      <c r="AA1105" s="5" t="str">
        <f t="shared" si="233"/>
        <v>Medium</v>
      </c>
    </row>
    <row r="1106" spans="1:27" x14ac:dyDescent="0.2">
      <c r="A1106">
        <v>24967</v>
      </c>
      <c r="B1106">
        <v>40</v>
      </c>
      <c r="C1106">
        <f t="shared" si="221"/>
        <v>40</v>
      </c>
      <c r="D1106" t="s">
        <v>26</v>
      </c>
      <c r="E1106" t="str">
        <f t="shared" si="222"/>
        <v>Salaried</v>
      </c>
      <c r="F1106">
        <v>6801.44</v>
      </c>
      <c r="G1106">
        <f>ABS(Table1[[#This Row],[Monthly_Income]])</f>
        <v>6801.44</v>
      </c>
      <c r="H1106">
        <v>24507.51</v>
      </c>
      <c r="I1106" s="5">
        <f t="shared" si="223"/>
        <v>24507.51</v>
      </c>
      <c r="J1106">
        <v>48</v>
      </c>
      <c r="K1106">
        <v>7.95</v>
      </c>
      <c r="L1106">
        <v>2</v>
      </c>
      <c r="M1106">
        <f t="shared" si="224"/>
        <v>2</v>
      </c>
      <c r="N1106">
        <v>14</v>
      </c>
      <c r="O1106">
        <f t="shared" si="225"/>
        <v>14</v>
      </c>
      <c r="P1106">
        <v>30</v>
      </c>
      <c r="Q1106">
        <f t="shared" si="226"/>
        <v>30</v>
      </c>
      <c r="R1106" t="s">
        <v>24</v>
      </c>
      <c r="S1106" t="str">
        <f t="shared" si="227"/>
        <v>Non-Performing</v>
      </c>
      <c r="T1106" t="s">
        <v>25</v>
      </c>
      <c r="U1106" s="3">
        <f t="shared" si="228"/>
        <v>7.506838625349925E-2</v>
      </c>
      <c r="V1106" t="str">
        <f t="shared" si="229"/>
        <v>Healthy</v>
      </c>
      <c r="W1106" t="str">
        <f t="shared" si="230"/>
        <v>At Risk</v>
      </c>
      <c r="X1106" s="5" t="str">
        <f t="shared" si="231"/>
        <v>Medium</v>
      </c>
      <c r="Y1106" s="5" t="str">
        <f t="shared" si="232"/>
        <v>High</v>
      </c>
      <c r="Z1106" s="5" t="str">
        <f>IF(B1106=120,"NULL",IF(AND(V1106="High Stress", W1106="High Risk", Y1106="Low"),"High Risk : Reject", IF(AND(V1106="Healthy", W1106="Good",Y1106&lt;&gt;"Low"), "Low Risk : Approve", "Medium Risk : Review")))</f>
        <v>Medium Risk : Review</v>
      </c>
      <c r="AA1106" s="5" t="str">
        <f t="shared" si="233"/>
        <v>Medium</v>
      </c>
    </row>
    <row r="1107" spans="1:27" x14ac:dyDescent="0.2">
      <c r="A1107">
        <v>25214</v>
      </c>
      <c r="B1107">
        <v>48</v>
      </c>
      <c r="C1107">
        <f t="shared" si="221"/>
        <v>48</v>
      </c>
      <c r="D1107" t="s">
        <v>21</v>
      </c>
      <c r="E1107" t="str">
        <f t="shared" si="222"/>
        <v>Salaried</v>
      </c>
      <c r="F1107">
        <v>7790.37</v>
      </c>
      <c r="G1107">
        <f>ABS(Table1[[#This Row],[Monthly_Income]])</f>
        <v>7790.37</v>
      </c>
      <c r="H1107">
        <v>27193.85</v>
      </c>
      <c r="I1107" s="5">
        <f t="shared" si="223"/>
        <v>27193.85</v>
      </c>
      <c r="J1107">
        <v>36</v>
      </c>
      <c r="K1107">
        <v>25.28</v>
      </c>
      <c r="M1107" t="str">
        <f t="shared" si="224"/>
        <v>NULL</v>
      </c>
      <c r="N1107">
        <v>6.5</v>
      </c>
      <c r="O1107">
        <f t="shared" si="225"/>
        <v>6.5</v>
      </c>
      <c r="P1107">
        <v>0</v>
      </c>
      <c r="Q1107">
        <f t="shared" si="226"/>
        <v>0</v>
      </c>
      <c r="R1107" t="s">
        <v>15</v>
      </c>
      <c r="S1107" t="str">
        <f t="shared" si="227"/>
        <v xml:space="preserve">Performing </v>
      </c>
      <c r="T1107" t="s">
        <v>16</v>
      </c>
      <c r="U1107" s="3">
        <f t="shared" si="228"/>
        <v>9.6963908289621953E-2</v>
      </c>
      <c r="V1107" t="str">
        <f t="shared" si="229"/>
        <v>Healthy</v>
      </c>
      <c r="W1107" t="str">
        <f t="shared" si="230"/>
        <v>Good</v>
      </c>
      <c r="X1107" s="5" t="str">
        <f t="shared" si="231"/>
        <v>Medium</v>
      </c>
      <c r="Y1107" s="5" t="str">
        <f t="shared" si="232"/>
        <v>High</v>
      </c>
      <c r="Z1107" s="5" t="str">
        <f>IF(B1107=120,"NULL",IF(AND(V1107="High Stress", W1107="High Risk", Y1107="Low"),"High Risk : Reject", IF(AND(V1107="Healthy", W1107="Good",Y1107&lt;&gt;"Low"), "Low Risk : Approve", "Medium Risk : Review")))</f>
        <v>Low Risk : Approve</v>
      </c>
      <c r="AA1107" s="5" t="str">
        <f t="shared" si="233"/>
        <v>Medium</v>
      </c>
    </row>
    <row r="1108" spans="1:27" x14ac:dyDescent="0.2">
      <c r="A1108">
        <v>22134</v>
      </c>
      <c r="B1108">
        <v>30</v>
      </c>
      <c r="C1108">
        <f t="shared" si="221"/>
        <v>30</v>
      </c>
      <c r="D1108" t="s">
        <v>27</v>
      </c>
      <c r="E1108" t="str">
        <f t="shared" si="222"/>
        <v>Unemployed</v>
      </c>
      <c r="F1108">
        <v>4161.24</v>
      </c>
      <c r="G1108">
        <f>ABS(Table1[[#This Row],[Monthly_Income]])</f>
        <v>4161.24</v>
      </c>
      <c r="H1108">
        <v>25401.94</v>
      </c>
      <c r="I1108" s="5">
        <f t="shared" si="223"/>
        <v>25401.94</v>
      </c>
      <c r="J1108">
        <v>12</v>
      </c>
      <c r="K1108">
        <v>13.39</v>
      </c>
      <c r="L1108">
        <v>0</v>
      </c>
      <c r="M1108">
        <f t="shared" si="224"/>
        <v>0</v>
      </c>
      <c r="N1108">
        <v>9.6999999999999993</v>
      </c>
      <c r="O1108">
        <f t="shared" si="225"/>
        <v>9.6999999999999993</v>
      </c>
      <c r="P1108">
        <v>0</v>
      </c>
      <c r="Q1108">
        <f t="shared" si="226"/>
        <v>0</v>
      </c>
      <c r="R1108" t="s">
        <v>20</v>
      </c>
      <c r="S1108" t="str">
        <f t="shared" si="227"/>
        <v>Written Off</v>
      </c>
      <c r="T1108" t="s">
        <v>16</v>
      </c>
      <c r="U1108" s="3">
        <f t="shared" si="228"/>
        <v>0.50870133261559858</v>
      </c>
      <c r="V1108" t="str">
        <f t="shared" si="229"/>
        <v>High Stress</v>
      </c>
      <c r="W1108" t="str">
        <f t="shared" si="230"/>
        <v>Good</v>
      </c>
      <c r="X1108" s="5" t="str">
        <f t="shared" si="231"/>
        <v>Medium</v>
      </c>
      <c r="Y1108" s="5" t="str">
        <f t="shared" si="232"/>
        <v>Low</v>
      </c>
      <c r="Z1108" s="5" t="str">
        <f>IF(B1108=120,"NULL",IF(AND(V1108="High Stress", W1108="High Risk", Y1108="Low"),"High Risk : Reject", IF(AND(V1108="Healthy", W1108="Good",Y1108&lt;&gt;"Low"), "Low Risk : Approve", "Medium Risk : Review")))</f>
        <v>Medium Risk : Review</v>
      </c>
      <c r="AA1108" s="5" t="str">
        <f t="shared" si="233"/>
        <v>Medium</v>
      </c>
    </row>
    <row r="1109" spans="1:27" x14ac:dyDescent="0.2">
      <c r="A1109">
        <v>20458</v>
      </c>
      <c r="B1109">
        <v>48</v>
      </c>
      <c r="C1109">
        <f t="shared" si="221"/>
        <v>48</v>
      </c>
      <c r="D1109" t="s">
        <v>17</v>
      </c>
      <c r="E1109" t="str">
        <f t="shared" si="222"/>
        <v>Contract</v>
      </c>
      <c r="F1109">
        <v>4218.8599999999997</v>
      </c>
      <c r="G1109">
        <f>ABS(Table1[[#This Row],[Monthly_Income]])</f>
        <v>4218.8599999999997</v>
      </c>
      <c r="H1109">
        <v>14828.96</v>
      </c>
      <c r="I1109" s="5">
        <f t="shared" si="223"/>
        <v>14828.96</v>
      </c>
      <c r="J1109">
        <v>18</v>
      </c>
      <c r="K1109">
        <v>22.06</v>
      </c>
      <c r="L1109">
        <v>0</v>
      </c>
      <c r="M1109">
        <f t="shared" si="224"/>
        <v>0</v>
      </c>
      <c r="N1109">
        <v>6.7</v>
      </c>
      <c r="O1109">
        <f t="shared" si="225"/>
        <v>6.7</v>
      </c>
      <c r="P1109">
        <v>120</v>
      </c>
      <c r="Q1109">
        <f t="shared" si="226"/>
        <v>120</v>
      </c>
      <c r="R1109" t="s">
        <v>18</v>
      </c>
      <c r="S1109" t="str">
        <f t="shared" si="227"/>
        <v>Non-Performing</v>
      </c>
      <c r="T1109" t="s">
        <v>22</v>
      </c>
      <c r="U1109" s="3">
        <f t="shared" si="228"/>
        <v>0.19527339402376734</v>
      </c>
      <c r="V1109" t="str">
        <f t="shared" si="229"/>
        <v>Healthy</v>
      </c>
      <c r="W1109" t="str">
        <f t="shared" si="230"/>
        <v>High Risk</v>
      </c>
      <c r="X1109" s="5" t="str">
        <f t="shared" si="231"/>
        <v>Medium</v>
      </c>
      <c r="Y1109" s="5" t="str">
        <f t="shared" si="232"/>
        <v>Low</v>
      </c>
      <c r="Z1109" s="5" t="str">
        <f>IF(B1109=120,"NULL",IF(AND(V1109="High Stress", W1109="High Risk", Y1109="Low"),"High Risk : Reject", IF(AND(V1109="Healthy", W1109="Good",Y1109&lt;&gt;"Low"), "Low Risk : Approve", "Medium Risk : Review")))</f>
        <v>Medium Risk : Review</v>
      </c>
      <c r="AA1109" s="5" t="str">
        <f t="shared" si="233"/>
        <v>Medium</v>
      </c>
    </row>
    <row r="1110" spans="1:27" x14ac:dyDescent="0.2">
      <c r="A1110">
        <v>24419</v>
      </c>
      <c r="B1110">
        <v>40</v>
      </c>
      <c r="C1110">
        <f t="shared" si="221"/>
        <v>40</v>
      </c>
      <c r="D1110" t="s">
        <v>27</v>
      </c>
      <c r="E1110" t="str">
        <f t="shared" si="222"/>
        <v>Unemployed</v>
      </c>
      <c r="F1110">
        <v>3359.75</v>
      </c>
      <c r="G1110">
        <f>ABS(Table1[[#This Row],[Monthly_Income]])</f>
        <v>3359.75</v>
      </c>
      <c r="H1110">
        <v>6197.51</v>
      </c>
      <c r="I1110" s="5">
        <f t="shared" si="223"/>
        <v>6197.51</v>
      </c>
      <c r="J1110">
        <v>24</v>
      </c>
      <c r="K1110">
        <v>15.79</v>
      </c>
      <c r="L1110">
        <v>2</v>
      </c>
      <c r="M1110">
        <f t="shared" si="224"/>
        <v>2</v>
      </c>
      <c r="N1110">
        <v>7.7</v>
      </c>
      <c r="O1110">
        <f t="shared" si="225"/>
        <v>7.7</v>
      </c>
      <c r="P1110">
        <v>90</v>
      </c>
      <c r="Q1110">
        <f t="shared" si="226"/>
        <v>90</v>
      </c>
      <c r="R1110" t="s">
        <v>15</v>
      </c>
      <c r="S1110" t="str">
        <f t="shared" si="227"/>
        <v xml:space="preserve">Performing </v>
      </c>
      <c r="T1110" t="s">
        <v>22</v>
      </c>
      <c r="U1110" s="3">
        <f t="shared" si="228"/>
        <v>7.6859761390976514E-2</v>
      </c>
      <c r="V1110" t="str">
        <f t="shared" si="229"/>
        <v>Healthy</v>
      </c>
      <c r="W1110" t="str">
        <f t="shared" si="230"/>
        <v>High Risk</v>
      </c>
      <c r="X1110" s="5" t="str">
        <f t="shared" si="231"/>
        <v>Small</v>
      </c>
      <c r="Y1110" s="5" t="str">
        <f t="shared" si="232"/>
        <v>Low</v>
      </c>
      <c r="Z1110" s="5" t="str">
        <f>IF(B1110=120,"NULL",IF(AND(V1110="High Stress", W1110="High Risk", Y1110="Low"),"High Risk : Reject", IF(AND(V1110="Healthy", W1110="Good",Y1110&lt;&gt;"Low"), "Low Risk : Approve", "Medium Risk : Review")))</f>
        <v>Medium Risk : Review</v>
      </c>
      <c r="AA1110" s="5" t="str">
        <f t="shared" si="233"/>
        <v>Medium</v>
      </c>
    </row>
    <row r="1111" spans="1:27" x14ac:dyDescent="0.2">
      <c r="A1111">
        <v>24696</v>
      </c>
      <c r="B1111">
        <v>29</v>
      </c>
      <c r="C1111">
        <f t="shared" si="221"/>
        <v>29</v>
      </c>
      <c r="D1111" t="s">
        <v>17</v>
      </c>
      <c r="E1111" t="str">
        <f t="shared" si="222"/>
        <v>Contract</v>
      </c>
      <c r="F1111">
        <v>5165.32</v>
      </c>
      <c r="G1111">
        <f>ABS(Table1[[#This Row],[Monthly_Income]])</f>
        <v>5165.32</v>
      </c>
      <c r="H1111">
        <v>17557.02</v>
      </c>
      <c r="I1111" s="5">
        <f t="shared" si="223"/>
        <v>17557.02</v>
      </c>
      <c r="J1111">
        <v>36</v>
      </c>
      <c r="K1111">
        <v>24.02</v>
      </c>
      <c r="L1111">
        <v>1</v>
      </c>
      <c r="M1111">
        <f t="shared" si="224"/>
        <v>1</v>
      </c>
      <c r="N1111">
        <v>13.1</v>
      </c>
      <c r="O1111">
        <f t="shared" si="225"/>
        <v>13.1</v>
      </c>
      <c r="P1111">
        <v>120</v>
      </c>
      <c r="Q1111">
        <f t="shared" si="226"/>
        <v>120</v>
      </c>
      <c r="R1111" t="s">
        <v>24</v>
      </c>
      <c r="S1111" t="str">
        <f t="shared" si="227"/>
        <v>Non-Performing</v>
      </c>
      <c r="T1111" t="s">
        <v>16</v>
      </c>
      <c r="U1111" s="3">
        <f t="shared" si="228"/>
        <v>9.4417190028884962E-2</v>
      </c>
      <c r="V1111" t="str">
        <f t="shared" si="229"/>
        <v>Healthy</v>
      </c>
      <c r="W1111" t="str">
        <f t="shared" si="230"/>
        <v>High Risk</v>
      </c>
      <c r="X1111" s="5" t="str">
        <f t="shared" si="231"/>
        <v>Medium</v>
      </c>
      <c r="Y1111" s="5" t="str">
        <f t="shared" si="232"/>
        <v>Low</v>
      </c>
      <c r="Z1111" s="5" t="str">
        <f>IF(B1111=120,"NULL",IF(AND(V1111="High Stress", W1111="High Risk", Y1111="Low"),"High Risk : Reject", IF(AND(V1111="Healthy", W1111="Good",Y1111&lt;&gt;"Low"), "Low Risk : Approve", "Medium Risk : Review")))</f>
        <v>Medium Risk : Review</v>
      </c>
      <c r="AA1111" s="5" t="str">
        <f t="shared" si="233"/>
        <v>Medium</v>
      </c>
    </row>
    <row r="1112" spans="1:27" x14ac:dyDescent="0.2">
      <c r="A1112">
        <v>22111</v>
      </c>
      <c r="B1112">
        <v>34</v>
      </c>
      <c r="C1112">
        <f t="shared" si="221"/>
        <v>34</v>
      </c>
      <c r="D1112" t="s">
        <v>21</v>
      </c>
      <c r="E1112" t="str">
        <f t="shared" si="222"/>
        <v>Salaried</v>
      </c>
      <c r="F1112">
        <v>4707.6000000000004</v>
      </c>
      <c r="G1112">
        <f>ABS(Table1[[#This Row],[Monthly_Income]])</f>
        <v>4707.6000000000004</v>
      </c>
      <c r="H1112">
        <v>24037.95</v>
      </c>
      <c r="I1112" s="5">
        <f t="shared" si="223"/>
        <v>24037.95</v>
      </c>
      <c r="J1112">
        <v>24</v>
      </c>
      <c r="K1112">
        <v>24.51</v>
      </c>
      <c r="L1112">
        <v>4</v>
      </c>
      <c r="M1112">
        <f t="shared" si="224"/>
        <v>4</v>
      </c>
      <c r="N1112">
        <v>-1.5</v>
      </c>
      <c r="O1112">
        <f t="shared" si="225"/>
        <v>1.5</v>
      </c>
      <c r="Q1112" t="str">
        <f t="shared" si="226"/>
        <v>NULL</v>
      </c>
      <c r="R1112" t="s">
        <v>15</v>
      </c>
      <c r="S1112" t="str">
        <f t="shared" si="227"/>
        <v xml:space="preserve">Performing </v>
      </c>
      <c r="T1112" t="s">
        <v>25</v>
      </c>
      <c r="U1112" s="3">
        <f t="shared" si="228"/>
        <v>0.21275835882402921</v>
      </c>
      <c r="V1112" t="str">
        <f t="shared" si="229"/>
        <v>Healthy</v>
      </c>
      <c r="W1112" t="str">
        <f t="shared" si="230"/>
        <v>NULL</v>
      </c>
      <c r="X1112" s="5" t="str">
        <f t="shared" si="231"/>
        <v>Medium</v>
      </c>
      <c r="Y1112" s="5" t="str">
        <f t="shared" si="232"/>
        <v>High</v>
      </c>
      <c r="Z1112" s="5" t="str">
        <f>IF(B1112=120,"NULL",IF(AND(V1112="High Stress", W1112="High Risk", Y1112="Low"),"High Risk : Reject", IF(AND(V1112="Healthy", W1112="Good",Y1112&lt;&gt;"Low"), "Low Risk : Approve", "Medium Risk : Review")))</f>
        <v>Medium Risk : Review</v>
      </c>
      <c r="AA1112" s="5" t="str">
        <f t="shared" si="233"/>
        <v>Medium</v>
      </c>
    </row>
    <row r="1113" spans="1:27" x14ac:dyDescent="0.2">
      <c r="A1113">
        <v>24983</v>
      </c>
      <c r="B1113">
        <v>37</v>
      </c>
      <c r="C1113">
        <f t="shared" si="221"/>
        <v>37</v>
      </c>
      <c r="D1113" t="s">
        <v>23</v>
      </c>
      <c r="E1113" t="str">
        <f t="shared" si="222"/>
        <v>Self-Employed</v>
      </c>
      <c r="F1113">
        <v>5329.87</v>
      </c>
      <c r="G1113">
        <f>ABS(Table1[[#This Row],[Monthly_Income]])</f>
        <v>5329.87</v>
      </c>
      <c r="H1113">
        <v>34111.65</v>
      </c>
      <c r="I1113" s="5">
        <f t="shared" si="223"/>
        <v>34111.65</v>
      </c>
      <c r="J1113">
        <v>60</v>
      </c>
      <c r="K1113">
        <v>55</v>
      </c>
      <c r="L1113">
        <v>1</v>
      </c>
      <c r="M1113">
        <f t="shared" si="224"/>
        <v>1</v>
      </c>
      <c r="N1113">
        <v>-4.4000000000000004</v>
      </c>
      <c r="O1113">
        <f t="shared" si="225"/>
        <v>4.4000000000000004</v>
      </c>
      <c r="P1113">
        <v>90</v>
      </c>
      <c r="Q1113">
        <f t="shared" si="226"/>
        <v>90</v>
      </c>
      <c r="R1113" t="s">
        <v>13</v>
      </c>
      <c r="S1113" t="str">
        <f t="shared" si="227"/>
        <v>Performing</v>
      </c>
      <c r="T1113" t="s">
        <v>16</v>
      </c>
      <c r="U1113" s="3">
        <f t="shared" si="228"/>
        <v>0.10666817389542334</v>
      </c>
      <c r="V1113" t="str">
        <f t="shared" si="229"/>
        <v>Healthy</v>
      </c>
      <c r="W1113" t="str">
        <f t="shared" si="230"/>
        <v>High Risk</v>
      </c>
      <c r="X1113" s="5" t="str">
        <f t="shared" si="231"/>
        <v>High</v>
      </c>
      <c r="Y1113" s="5" t="str">
        <f t="shared" si="232"/>
        <v>Medium</v>
      </c>
      <c r="Z1113" s="5" t="str">
        <f>IF(B1113=120,"NULL",IF(AND(V1113="High Stress", W1113="High Risk", Y1113="Low"),"High Risk : Reject", IF(AND(V1113="Healthy", W1113="Good",Y1113&lt;&gt;"Low"), "Low Risk : Approve", "Medium Risk : Review")))</f>
        <v>Medium Risk : Review</v>
      </c>
      <c r="AA1113" s="5" t="str">
        <f t="shared" si="233"/>
        <v>Medium</v>
      </c>
    </row>
    <row r="1114" spans="1:27" x14ac:dyDescent="0.2">
      <c r="A1114">
        <v>22508</v>
      </c>
      <c r="B1114">
        <v>35</v>
      </c>
      <c r="C1114">
        <f t="shared" si="221"/>
        <v>35</v>
      </c>
      <c r="D1114" t="s">
        <v>17</v>
      </c>
      <c r="E1114" t="str">
        <f t="shared" si="222"/>
        <v>Contract</v>
      </c>
      <c r="F1114">
        <v>2405.23</v>
      </c>
      <c r="G1114">
        <f>ABS(Table1[[#This Row],[Monthly_Income]])</f>
        <v>2405.23</v>
      </c>
      <c r="H1114">
        <v>11209.13</v>
      </c>
      <c r="I1114" s="5">
        <f t="shared" si="223"/>
        <v>11209.13</v>
      </c>
      <c r="J1114">
        <v>60</v>
      </c>
      <c r="K1114">
        <v>17.059999999999999</v>
      </c>
      <c r="L1114">
        <v>3</v>
      </c>
      <c r="M1114">
        <f t="shared" si="224"/>
        <v>3</v>
      </c>
      <c r="N1114">
        <v>12.4</v>
      </c>
      <c r="O1114">
        <f t="shared" si="225"/>
        <v>12.4</v>
      </c>
      <c r="P1114">
        <v>0</v>
      </c>
      <c r="Q1114">
        <f t="shared" si="226"/>
        <v>0</v>
      </c>
      <c r="R1114" t="s">
        <v>20</v>
      </c>
      <c r="S1114" t="str">
        <f t="shared" si="227"/>
        <v>Written Off</v>
      </c>
      <c r="T1114" t="s">
        <v>19</v>
      </c>
      <c r="U1114" s="3">
        <f t="shared" si="228"/>
        <v>7.7671920495475832E-2</v>
      </c>
      <c r="V1114" t="str">
        <f t="shared" si="229"/>
        <v>Healthy</v>
      </c>
      <c r="W1114" t="str">
        <f t="shared" si="230"/>
        <v>Good</v>
      </c>
      <c r="X1114" s="5" t="str">
        <f t="shared" si="231"/>
        <v>Medium</v>
      </c>
      <c r="Y1114" s="5" t="str">
        <f t="shared" si="232"/>
        <v>Low</v>
      </c>
      <c r="Z1114" s="5" t="str">
        <f>IF(B1114=120,"NULL",IF(AND(V1114="High Stress", W1114="High Risk", Y1114="Low"),"High Risk : Reject", IF(AND(V1114="Healthy", W1114="Good",Y1114&lt;&gt;"Low"), "Low Risk : Approve", "Medium Risk : Review")))</f>
        <v>Medium Risk : Review</v>
      </c>
      <c r="AA1114" s="5" t="str">
        <f t="shared" si="233"/>
        <v>Medium</v>
      </c>
    </row>
    <row r="1115" spans="1:27" x14ac:dyDescent="0.2">
      <c r="A1115">
        <v>20868</v>
      </c>
      <c r="B1115">
        <v>30</v>
      </c>
      <c r="C1115">
        <f t="shared" si="221"/>
        <v>30</v>
      </c>
      <c r="D1115" t="s">
        <v>27</v>
      </c>
      <c r="E1115" t="str">
        <f t="shared" si="222"/>
        <v>Unemployed</v>
      </c>
      <c r="F1115">
        <v>5848.75</v>
      </c>
      <c r="G1115">
        <f>ABS(Table1[[#This Row],[Monthly_Income]])</f>
        <v>5848.75</v>
      </c>
      <c r="H1115">
        <v>17110.37</v>
      </c>
      <c r="I1115" s="5">
        <f t="shared" si="223"/>
        <v>17110.37</v>
      </c>
      <c r="J1115">
        <v>48</v>
      </c>
      <c r="K1115">
        <v>17.61</v>
      </c>
      <c r="L1115">
        <v>4</v>
      </c>
      <c r="M1115">
        <f t="shared" si="224"/>
        <v>4</v>
      </c>
      <c r="N1115">
        <v>3.1</v>
      </c>
      <c r="O1115">
        <f t="shared" si="225"/>
        <v>3.1</v>
      </c>
      <c r="P1115">
        <v>0</v>
      </c>
      <c r="Q1115">
        <f t="shared" si="226"/>
        <v>0</v>
      </c>
      <c r="R1115" t="s">
        <v>20</v>
      </c>
      <c r="S1115" t="str">
        <f t="shared" si="227"/>
        <v>Written Off</v>
      </c>
      <c r="T1115" t="s">
        <v>25</v>
      </c>
      <c r="U1115" s="3">
        <f t="shared" si="228"/>
        <v>6.0947389043242851E-2</v>
      </c>
      <c r="V1115" t="str">
        <f t="shared" si="229"/>
        <v>Healthy</v>
      </c>
      <c r="W1115" t="str">
        <f t="shared" si="230"/>
        <v>Good</v>
      </c>
      <c r="X1115" s="5" t="str">
        <f t="shared" si="231"/>
        <v>Medium</v>
      </c>
      <c r="Y1115" s="5" t="str">
        <f t="shared" si="232"/>
        <v>Low</v>
      </c>
      <c r="Z1115" s="5" t="str">
        <f>IF(B1115=120,"NULL",IF(AND(V1115="High Stress", W1115="High Risk", Y1115="Low"),"High Risk : Reject", IF(AND(V1115="Healthy", W1115="Good",Y1115&lt;&gt;"Low"), "Low Risk : Approve", "Medium Risk : Review")))</f>
        <v>Medium Risk : Review</v>
      </c>
      <c r="AA1115" s="5" t="str">
        <f t="shared" si="233"/>
        <v>Medium</v>
      </c>
    </row>
    <row r="1116" spans="1:27" x14ac:dyDescent="0.2">
      <c r="A1116">
        <v>22543</v>
      </c>
      <c r="B1116">
        <v>35</v>
      </c>
      <c r="C1116">
        <f t="shared" si="221"/>
        <v>35</v>
      </c>
      <c r="D1116" t="s">
        <v>21</v>
      </c>
      <c r="E1116" t="str">
        <f t="shared" si="222"/>
        <v>Salaried</v>
      </c>
      <c r="F1116">
        <v>5657.08</v>
      </c>
      <c r="G1116">
        <f>ABS(Table1[[#This Row],[Monthly_Income]])</f>
        <v>5657.08</v>
      </c>
      <c r="H1116">
        <v>22555.95</v>
      </c>
      <c r="I1116" s="5">
        <f t="shared" si="223"/>
        <v>22555.95</v>
      </c>
      <c r="J1116">
        <v>60</v>
      </c>
      <c r="K1116">
        <v>12.98</v>
      </c>
      <c r="L1116">
        <v>4</v>
      </c>
      <c r="M1116">
        <f t="shared" si="224"/>
        <v>4</v>
      </c>
      <c r="N1116">
        <v>12.1</v>
      </c>
      <c r="O1116">
        <f t="shared" si="225"/>
        <v>12.1</v>
      </c>
      <c r="P1116">
        <v>0</v>
      </c>
      <c r="Q1116">
        <f t="shared" si="226"/>
        <v>0</v>
      </c>
      <c r="R1116" t="s">
        <v>20</v>
      </c>
      <c r="S1116" t="str">
        <f t="shared" si="227"/>
        <v>Written Off</v>
      </c>
      <c r="T1116" t="s">
        <v>14</v>
      </c>
      <c r="U1116" s="3">
        <f t="shared" si="228"/>
        <v>6.6453453018164854E-2</v>
      </c>
      <c r="V1116" t="str">
        <f t="shared" si="229"/>
        <v>Healthy</v>
      </c>
      <c r="W1116" t="str">
        <f t="shared" si="230"/>
        <v>Good</v>
      </c>
      <c r="X1116" s="5" t="str">
        <f t="shared" si="231"/>
        <v>Medium</v>
      </c>
      <c r="Y1116" s="5" t="str">
        <f t="shared" si="232"/>
        <v>High</v>
      </c>
      <c r="Z1116" s="5" t="str">
        <f>IF(B1116=120,"NULL",IF(AND(V1116="High Stress", W1116="High Risk", Y1116="Low"),"High Risk : Reject", IF(AND(V1116="Healthy", W1116="Good",Y1116&lt;&gt;"Low"), "Low Risk : Approve", "Medium Risk : Review")))</f>
        <v>Low Risk : Approve</v>
      </c>
      <c r="AA1116" s="5" t="str">
        <f t="shared" si="233"/>
        <v>Medium</v>
      </c>
    </row>
    <row r="1117" spans="1:27" x14ac:dyDescent="0.2">
      <c r="A1117">
        <v>22848</v>
      </c>
      <c r="B1117">
        <v>48</v>
      </c>
      <c r="C1117">
        <f t="shared" si="221"/>
        <v>48</v>
      </c>
      <c r="D1117" t="s">
        <v>23</v>
      </c>
      <c r="E1117" t="str">
        <f t="shared" si="222"/>
        <v>Self-Employed</v>
      </c>
      <c r="F1117">
        <v>541.64</v>
      </c>
      <c r="G1117">
        <f>ABS(Table1[[#This Row],[Monthly_Income]])</f>
        <v>541.64</v>
      </c>
      <c r="H1117">
        <v>25277.72</v>
      </c>
      <c r="I1117" s="5">
        <f t="shared" si="223"/>
        <v>25277.72</v>
      </c>
      <c r="J1117">
        <v>12</v>
      </c>
      <c r="K1117">
        <v>13.72</v>
      </c>
      <c r="L1117">
        <v>3</v>
      </c>
      <c r="M1117">
        <f t="shared" si="224"/>
        <v>3</v>
      </c>
      <c r="N1117">
        <v>4.4000000000000004</v>
      </c>
      <c r="O1117">
        <f t="shared" si="225"/>
        <v>4.4000000000000004</v>
      </c>
      <c r="P1117">
        <v>60</v>
      </c>
      <c r="Q1117">
        <f t="shared" si="226"/>
        <v>60</v>
      </c>
      <c r="R1117" t="s">
        <v>15</v>
      </c>
      <c r="S1117" t="str">
        <f t="shared" si="227"/>
        <v xml:space="preserve">Performing </v>
      </c>
      <c r="T1117" t="s">
        <v>16</v>
      </c>
      <c r="U1117" s="3">
        <f t="shared" si="228"/>
        <v>3.8890714619796669</v>
      </c>
      <c r="V1117" t="str">
        <f t="shared" si="229"/>
        <v>High Stress</v>
      </c>
      <c r="W1117" t="str">
        <f t="shared" si="230"/>
        <v>High Risk</v>
      </c>
      <c r="X1117" s="5" t="str">
        <f t="shared" si="231"/>
        <v>Medium</v>
      </c>
      <c r="Y1117" s="5" t="str">
        <f t="shared" si="232"/>
        <v>Medium</v>
      </c>
      <c r="Z1117" s="5" t="str">
        <f>IF(B1117=120,"NULL",IF(AND(V1117="High Stress", W1117="High Risk", Y1117="Low"),"High Risk : Reject", IF(AND(V1117="Healthy", W1117="Good",Y1117&lt;&gt;"Low"), "Low Risk : Approve", "Medium Risk : Review")))</f>
        <v>Medium Risk : Review</v>
      </c>
      <c r="AA1117" s="5" t="str">
        <f t="shared" si="233"/>
        <v>Low</v>
      </c>
    </row>
    <row r="1118" spans="1:27" x14ac:dyDescent="0.2">
      <c r="A1118">
        <v>24605</v>
      </c>
      <c r="B1118">
        <v>48</v>
      </c>
      <c r="C1118">
        <f t="shared" si="221"/>
        <v>48</v>
      </c>
      <c r="D1118" t="s">
        <v>12</v>
      </c>
      <c r="E1118" t="str">
        <f t="shared" si="222"/>
        <v>Self-Employed</v>
      </c>
      <c r="F1118">
        <v>6316.83</v>
      </c>
      <c r="G1118">
        <f>ABS(Table1[[#This Row],[Monthly_Income]])</f>
        <v>6316.83</v>
      </c>
      <c r="H1118">
        <v>19934.22</v>
      </c>
      <c r="I1118" s="5">
        <f t="shared" si="223"/>
        <v>19934.22</v>
      </c>
      <c r="J1118">
        <v>6</v>
      </c>
      <c r="K1118">
        <v>21.1</v>
      </c>
      <c r="L1118">
        <v>3</v>
      </c>
      <c r="M1118">
        <f t="shared" si="224"/>
        <v>3</v>
      </c>
      <c r="N1118">
        <v>4.3</v>
      </c>
      <c r="O1118">
        <f t="shared" si="225"/>
        <v>4.3</v>
      </c>
      <c r="P1118">
        <v>60</v>
      </c>
      <c r="Q1118">
        <f t="shared" si="226"/>
        <v>60</v>
      </c>
      <c r="R1118" t="s">
        <v>18</v>
      </c>
      <c r="S1118" t="str">
        <f t="shared" si="227"/>
        <v>Non-Performing</v>
      </c>
      <c r="T1118" t="s">
        <v>16</v>
      </c>
      <c r="U1118" s="3">
        <f t="shared" si="228"/>
        <v>0.5259552655366696</v>
      </c>
      <c r="V1118" t="str">
        <f t="shared" si="229"/>
        <v>High Stress</v>
      </c>
      <c r="W1118" t="str">
        <f t="shared" si="230"/>
        <v>High Risk</v>
      </c>
      <c r="X1118" s="5" t="str">
        <f t="shared" si="231"/>
        <v>Medium</v>
      </c>
      <c r="Y1118" s="5" t="str">
        <f t="shared" si="232"/>
        <v>Medium</v>
      </c>
      <c r="Z1118" s="5" t="str">
        <f>IF(B1118=120,"NULL",IF(AND(V1118="High Stress", W1118="High Risk", Y1118="Low"),"High Risk : Reject", IF(AND(V1118="Healthy", W1118="Good",Y1118&lt;&gt;"Low"), "Low Risk : Approve", "Medium Risk : Review")))</f>
        <v>Medium Risk : Review</v>
      </c>
      <c r="AA1118" s="5" t="str">
        <f t="shared" si="233"/>
        <v>Medium</v>
      </c>
    </row>
    <row r="1119" spans="1:27" x14ac:dyDescent="0.2">
      <c r="A1119">
        <v>20619</v>
      </c>
      <c r="B1119">
        <v>39</v>
      </c>
      <c r="C1119">
        <f t="shared" si="221"/>
        <v>39</v>
      </c>
      <c r="D1119" t="s">
        <v>23</v>
      </c>
      <c r="E1119" t="str">
        <f t="shared" si="222"/>
        <v>Self-Employed</v>
      </c>
      <c r="F1119">
        <v>5494.49</v>
      </c>
      <c r="G1119">
        <f>ABS(Table1[[#This Row],[Monthly_Income]])</f>
        <v>5494.49</v>
      </c>
      <c r="H1119">
        <v>24185.09</v>
      </c>
      <c r="I1119" s="5">
        <f t="shared" si="223"/>
        <v>24185.09</v>
      </c>
      <c r="J1119">
        <v>12</v>
      </c>
      <c r="K1119">
        <v>15.97</v>
      </c>
      <c r="L1119">
        <v>2</v>
      </c>
      <c r="M1119">
        <f t="shared" si="224"/>
        <v>2</v>
      </c>
      <c r="O1119" t="str">
        <f t="shared" si="225"/>
        <v>NULL</v>
      </c>
      <c r="P1119">
        <v>0</v>
      </c>
      <c r="Q1119">
        <f t="shared" si="226"/>
        <v>0</v>
      </c>
      <c r="R1119" t="s">
        <v>15</v>
      </c>
      <c r="S1119" t="str">
        <f t="shared" si="227"/>
        <v xml:space="preserve">Performing </v>
      </c>
      <c r="T1119" t="s">
        <v>19</v>
      </c>
      <c r="U1119" s="3">
        <f t="shared" si="228"/>
        <v>0.36680823273254959</v>
      </c>
      <c r="V1119" t="str">
        <f t="shared" si="229"/>
        <v>Stretched</v>
      </c>
      <c r="W1119" t="str">
        <f t="shared" si="230"/>
        <v>Good</v>
      </c>
      <c r="X1119" s="5" t="str">
        <f t="shared" si="231"/>
        <v>Medium</v>
      </c>
      <c r="Y1119" s="5" t="str">
        <f t="shared" si="232"/>
        <v>Medium</v>
      </c>
      <c r="Z1119" s="5" t="str">
        <f>IF(B1119=120,"NULL",IF(AND(V1119="High Stress", W1119="High Risk", Y1119="Low"),"High Risk : Reject", IF(AND(V1119="Healthy", W1119="Good",Y1119&lt;&gt;"Low"), "Low Risk : Approve", "Medium Risk : Review")))</f>
        <v>Medium Risk : Review</v>
      </c>
      <c r="AA1119" s="5" t="str">
        <f t="shared" si="233"/>
        <v>Medium</v>
      </c>
    </row>
    <row r="1120" spans="1:27" x14ac:dyDescent="0.2">
      <c r="A1120">
        <v>22981</v>
      </c>
      <c r="B1120">
        <v>58</v>
      </c>
      <c r="C1120">
        <f t="shared" si="221"/>
        <v>58</v>
      </c>
      <c r="D1120" t="s">
        <v>27</v>
      </c>
      <c r="E1120" t="str">
        <f t="shared" si="222"/>
        <v>Unemployed</v>
      </c>
      <c r="F1120">
        <v>6933.44</v>
      </c>
      <c r="G1120">
        <f>ABS(Table1[[#This Row],[Monthly_Income]])</f>
        <v>6933.44</v>
      </c>
      <c r="H1120">
        <v>35542.49</v>
      </c>
      <c r="I1120" s="5">
        <f t="shared" si="223"/>
        <v>35542.49</v>
      </c>
      <c r="J1120">
        <v>18</v>
      </c>
      <c r="K1120">
        <v>20.82</v>
      </c>
      <c r="L1120">
        <v>4</v>
      </c>
      <c r="M1120">
        <f t="shared" si="224"/>
        <v>4</v>
      </c>
      <c r="N1120">
        <v>3.6</v>
      </c>
      <c r="O1120">
        <f t="shared" si="225"/>
        <v>3.6</v>
      </c>
      <c r="P1120">
        <v>30</v>
      </c>
      <c r="Q1120">
        <f t="shared" si="226"/>
        <v>30</v>
      </c>
      <c r="R1120" t="s">
        <v>13</v>
      </c>
      <c r="S1120" t="str">
        <f t="shared" si="227"/>
        <v>Performing</v>
      </c>
      <c r="T1120" t="s">
        <v>25</v>
      </c>
      <c r="U1120" s="3">
        <f t="shared" si="228"/>
        <v>0.28479121154546339</v>
      </c>
      <c r="V1120" t="str">
        <f t="shared" si="229"/>
        <v>Healthy</v>
      </c>
      <c r="W1120" t="str">
        <f t="shared" si="230"/>
        <v>At Risk</v>
      </c>
      <c r="X1120" s="5" t="str">
        <f t="shared" si="231"/>
        <v>High</v>
      </c>
      <c r="Y1120" s="5" t="str">
        <f t="shared" si="232"/>
        <v>Low</v>
      </c>
      <c r="Z1120" s="5" t="str">
        <f>IF(B1120=120,"NULL",IF(AND(V1120="High Stress", W1120="High Risk", Y1120="Low"),"High Risk : Reject", IF(AND(V1120="Healthy", W1120="Good",Y1120&lt;&gt;"Low"), "Low Risk : Approve", "Medium Risk : Review")))</f>
        <v>Medium Risk : Review</v>
      </c>
      <c r="AA1120" s="5" t="str">
        <f t="shared" si="233"/>
        <v>Medium</v>
      </c>
    </row>
    <row r="1121" spans="1:27" x14ac:dyDescent="0.2">
      <c r="A1121">
        <v>22847</v>
      </c>
      <c r="B1121">
        <v>44</v>
      </c>
      <c r="C1121">
        <f t="shared" si="221"/>
        <v>44</v>
      </c>
      <c r="D1121" t="s">
        <v>27</v>
      </c>
      <c r="E1121" t="str">
        <f t="shared" si="222"/>
        <v>Unemployed</v>
      </c>
      <c r="F1121">
        <v>8043.6</v>
      </c>
      <c r="G1121">
        <f>ABS(Table1[[#This Row],[Monthly_Income]])</f>
        <v>8043.6</v>
      </c>
      <c r="H1121">
        <v>21482.41</v>
      </c>
      <c r="I1121" s="5">
        <f t="shared" si="223"/>
        <v>21482.41</v>
      </c>
      <c r="J1121">
        <v>24</v>
      </c>
      <c r="K1121">
        <v>18.12</v>
      </c>
      <c r="L1121">
        <v>2</v>
      </c>
      <c r="M1121">
        <f t="shared" si="224"/>
        <v>2</v>
      </c>
      <c r="N1121">
        <v>9.9</v>
      </c>
      <c r="O1121">
        <f t="shared" si="225"/>
        <v>9.9</v>
      </c>
      <c r="Q1121" t="str">
        <f t="shared" si="226"/>
        <v>NULL</v>
      </c>
      <c r="R1121" t="s">
        <v>13</v>
      </c>
      <c r="S1121" t="str">
        <f t="shared" si="227"/>
        <v>Performing</v>
      </c>
      <c r="T1121" t="s">
        <v>16</v>
      </c>
      <c r="U1121" s="3">
        <f t="shared" si="228"/>
        <v>0.11128107025046827</v>
      </c>
      <c r="V1121" t="str">
        <f t="shared" si="229"/>
        <v>Healthy</v>
      </c>
      <c r="W1121" t="str">
        <f t="shared" si="230"/>
        <v>NULL</v>
      </c>
      <c r="X1121" s="5" t="str">
        <f t="shared" si="231"/>
        <v>Medium</v>
      </c>
      <c r="Y1121" s="5" t="str">
        <f t="shared" si="232"/>
        <v>Low</v>
      </c>
      <c r="Z1121" s="5" t="str">
        <f>IF(B1121=120,"NULL",IF(AND(V1121="High Stress", W1121="High Risk", Y1121="Low"),"High Risk : Reject", IF(AND(V1121="Healthy", W1121="Good",Y1121&lt;&gt;"Low"), "Low Risk : Approve", "Medium Risk : Review")))</f>
        <v>Medium Risk : Review</v>
      </c>
      <c r="AA1121" s="5" t="str">
        <f t="shared" si="233"/>
        <v>High</v>
      </c>
    </row>
    <row r="1122" spans="1:27" x14ac:dyDescent="0.2">
      <c r="A1122">
        <v>24496</v>
      </c>
      <c r="B1122">
        <v>43</v>
      </c>
      <c r="C1122">
        <f t="shared" si="221"/>
        <v>43</v>
      </c>
      <c r="D1122" t="s">
        <v>17</v>
      </c>
      <c r="E1122" t="str">
        <f t="shared" si="222"/>
        <v>Contract</v>
      </c>
      <c r="F1122">
        <v>3031.86</v>
      </c>
      <c r="G1122">
        <f>ABS(Table1[[#This Row],[Monthly_Income]])</f>
        <v>3031.86</v>
      </c>
      <c r="H1122">
        <v>25072.69</v>
      </c>
      <c r="I1122" s="5">
        <f t="shared" si="223"/>
        <v>25072.69</v>
      </c>
      <c r="J1122">
        <v>6</v>
      </c>
      <c r="K1122">
        <v>12.15</v>
      </c>
      <c r="M1122" t="str">
        <f t="shared" si="224"/>
        <v>NULL</v>
      </c>
      <c r="N1122">
        <v>7.2</v>
      </c>
      <c r="O1122">
        <f t="shared" si="225"/>
        <v>7.2</v>
      </c>
      <c r="P1122">
        <v>30</v>
      </c>
      <c r="Q1122">
        <f t="shared" si="226"/>
        <v>30</v>
      </c>
      <c r="R1122" t="s">
        <v>24</v>
      </c>
      <c r="S1122" t="str">
        <f t="shared" si="227"/>
        <v>Non-Performing</v>
      </c>
      <c r="T1122" t="s">
        <v>19</v>
      </c>
      <c r="U1122" s="3">
        <f t="shared" si="228"/>
        <v>1.3782897847086166</v>
      </c>
      <c r="V1122" t="str">
        <f t="shared" si="229"/>
        <v>High Stress</v>
      </c>
      <c r="W1122" t="str">
        <f t="shared" si="230"/>
        <v>At Risk</v>
      </c>
      <c r="X1122" s="5" t="str">
        <f t="shared" si="231"/>
        <v>Medium</v>
      </c>
      <c r="Y1122" s="5" t="str">
        <f t="shared" si="232"/>
        <v>Low</v>
      </c>
      <c r="Z1122" s="5" t="str">
        <f>IF(B1122=120,"NULL",IF(AND(V1122="High Stress", W1122="High Risk", Y1122="Low"),"High Risk : Reject", IF(AND(V1122="Healthy", W1122="Good",Y1122&lt;&gt;"Low"), "Low Risk : Approve", "Medium Risk : Review")))</f>
        <v>Medium Risk : Review</v>
      </c>
      <c r="AA1122" s="5" t="str">
        <f t="shared" si="233"/>
        <v>Medium</v>
      </c>
    </row>
    <row r="1123" spans="1:27" x14ac:dyDescent="0.2">
      <c r="A1123">
        <v>23856</v>
      </c>
      <c r="B1123">
        <v>53</v>
      </c>
      <c r="C1123">
        <f t="shared" si="221"/>
        <v>53</v>
      </c>
      <c r="D1123" t="s">
        <v>26</v>
      </c>
      <c r="E1123" t="str">
        <f t="shared" si="222"/>
        <v>Salaried</v>
      </c>
      <c r="F1123">
        <v>-1500</v>
      </c>
      <c r="G1123">
        <f>ABS(Table1[[#This Row],[Monthly_Income]])</f>
        <v>1500</v>
      </c>
      <c r="H1123">
        <v>23743.360000000001</v>
      </c>
      <c r="I1123" s="5">
        <f t="shared" si="223"/>
        <v>23743.360000000001</v>
      </c>
      <c r="J1123">
        <v>48</v>
      </c>
      <c r="K1123">
        <v>22.31</v>
      </c>
      <c r="L1123">
        <v>2</v>
      </c>
      <c r="M1123">
        <f t="shared" si="224"/>
        <v>2</v>
      </c>
      <c r="N1123">
        <v>9.8000000000000007</v>
      </c>
      <c r="O1123">
        <f t="shared" si="225"/>
        <v>9.8000000000000007</v>
      </c>
      <c r="P1123">
        <v>15</v>
      </c>
      <c r="Q1123">
        <f t="shared" si="226"/>
        <v>15</v>
      </c>
      <c r="R1123" t="s">
        <v>20</v>
      </c>
      <c r="S1123" t="str">
        <f t="shared" si="227"/>
        <v>Written Off</v>
      </c>
      <c r="T1123" t="s">
        <v>16</v>
      </c>
      <c r="U1123" s="3">
        <f t="shared" si="228"/>
        <v>0.32976888888888889</v>
      </c>
      <c r="V1123" t="str">
        <f t="shared" si="229"/>
        <v>Stretched</v>
      </c>
      <c r="W1123" t="str">
        <f t="shared" si="230"/>
        <v>Good</v>
      </c>
      <c r="X1123" s="5" t="str">
        <f t="shared" si="231"/>
        <v>Medium</v>
      </c>
      <c r="Y1123" s="5" t="str">
        <f t="shared" si="232"/>
        <v>High</v>
      </c>
      <c r="Z1123" s="5" t="str">
        <f>IF(B1123=120,"NULL",IF(AND(V1123="High Stress", W1123="High Risk", Y1123="Low"),"High Risk : Reject", IF(AND(V1123="Healthy", W1123="Good",Y1123&lt;&gt;"Low"), "Low Risk : Approve", "Medium Risk : Review")))</f>
        <v>Medium Risk : Review</v>
      </c>
      <c r="AA1123" s="5" t="str">
        <f t="shared" si="233"/>
        <v>Low</v>
      </c>
    </row>
    <row r="1124" spans="1:27" x14ac:dyDescent="0.2">
      <c r="A1124">
        <v>25516</v>
      </c>
      <c r="B1124">
        <v>55</v>
      </c>
      <c r="C1124">
        <f t="shared" si="221"/>
        <v>55</v>
      </c>
      <c r="D1124" t="s">
        <v>12</v>
      </c>
      <c r="E1124" t="str">
        <f t="shared" si="222"/>
        <v>Self-Employed</v>
      </c>
      <c r="F1124">
        <v>4471.6099999999997</v>
      </c>
      <c r="G1124">
        <f>ABS(Table1[[#This Row],[Monthly_Income]])</f>
        <v>4471.6099999999997</v>
      </c>
      <c r="H1124">
        <v>18998.32</v>
      </c>
      <c r="I1124" s="5">
        <f t="shared" si="223"/>
        <v>18998.32</v>
      </c>
      <c r="J1124">
        <v>60</v>
      </c>
      <c r="K1124">
        <v>14.55</v>
      </c>
      <c r="L1124">
        <v>1</v>
      </c>
      <c r="M1124">
        <f t="shared" si="224"/>
        <v>1</v>
      </c>
      <c r="N1124">
        <v>3</v>
      </c>
      <c r="O1124">
        <f t="shared" si="225"/>
        <v>3</v>
      </c>
      <c r="Q1124" t="str">
        <f t="shared" si="226"/>
        <v>NULL</v>
      </c>
      <c r="R1124" t="s">
        <v>15</v>
      </c>
      <c r="S1124" t="str">
        <f t="shared" si="227"/>
        <v xml:space="preserve">Performing </v>
      </c>
      <c r="T1124" t="s">
        <v>19</v>
      </c>
      <c r="U1124" s="3">
        <f t="shared" si="228"/>
        <v>7.0810886161062056E-2</v>
      </c>
      <c r="V1124" t="str">
        <f t="shared" si="229"/>
        <v>Healthy</v>
      </c>
      <c r="W1124" t="str">
        <f t="shared" si="230"/>
        <v>NULL</v>
      </c>
      <c r="X1124" s="5" t="str">
        <f t="shared" si="231"/>
        <v>Medium</v>
      </c>
      <c r="Y1124" s="5" t="str">
        <f t="shared" si="232"/>
        <v>Medium</v>
      </c>
      <c r="Z1124" s="5" t="str">
        <f>IF(B1124=120,"NULL",IF(AND(V1124="High Stress", W1124="High Risk", Y1124="Low"),"High Risk : Reject", IF(AND(V1124="Healthy", W1124="Good",Y1124&lt;&gt;"Low"), "Low Risk : Approve", "Medium Risk : Review")))</f>
        <v>Medium Risk : Review</v>
      </c>
      <c r="AA1124" s="5" t="str">
        <f t="shared" si="233"/>
        <v>Medium</v>
      </c>
    </row>
    <row r="1125" spans="1:27" x14ac:dyDescent="0.2">
      <c r="A1125">
        <v>21738</v>
      </c>
      <c r="B1125">
        <v>53</v>
      </c>
      <c r="C1125">
        <f t="shared" si="221"/>
        <v>53</v>
      </c>
      <c r="D1125" t="s">
        <v>23</v>
      </c>
      <c r="E1125" t="str">
        <f t="shared" si="222"/>
        <v>Self-Employed</v>
      </c>
      <c r="F1125">
        <v>8690.5300000000007</v>
      </c>
      <c r="G1125">
        <f>ABS(Table1[[#This Row],[Monthly_Income]])</f>
        <v>8690.5300000000007</v>
      </c>
      <c r="H1125">
        <v>18694.509999999998</v>
      </c>
      <c r="I1125" s="5">
        <f t="shared" si="223"/>
        <v>18694.509999999998</v>
      </c>
      <c r="J1125">
        <v>6</v>
      </c>
      <c r="K1125">
        <v>13.12</v>
      </c>
      <c r="L1125">
        <v>0</v>
      </c>
      <c r="M1125">
        <f t="shared" si="224"/>
        <v>0</v>
      </c>
      <c r="N1125">
        <v>0</v>
      </c>
      <c r="O1125">
        <f t="shared" si="225"/>
        <v>0</v>
      </c>
      <c r="P1125">
        <v>60</v>
      </c>
      <c r="Q1125">
        <f t="shared" si="226"/>
        <v>60</v>
      </c>
      <c r="R1125" t="s">
        <v>24</v>
      </c>
      <c r="S1125" t="str">
        <f t="shared" si="227"/>
        <v>Non-Performing</v>
      </c>
      <c r="T1125" t="s">
        <v>16</v>
      </c>
      <c r="U1125" s="3">
        <f t="shared" si="228"/>
        <v>0.35852262942152735</v>
      </c>
      <c r="V1125" t="str">
        <f t="shared" si="229"/>
        <v>Stretched</v>
      </c>
      <c r="W1125" t="str">
        <f t="shared" si="230"/>
        <v>High Risk</v>
      </c>
      <c r="X1125" s="5" t="str">
        <f t="shared" si="231"/>
        <v>Medium</v>
      </c>
      <c r="Y1125" s="5" t="str">
        <f t="shared" si="232"/>
        <v>Medium</v>
      </c>
      <c r="Z1125" s="5" t="str">
        <f>IF(B1125=120,"NULL",IF(AND(V1125="High Stress", W1125="High Risk", Y1125="Low"),"High Risk : Reject", IF(AND(V1125="Healthy", W1125="Good",Y1125&lt;&gt;"Low"), "Low Risk : Approve", "Medium Risk : Review")))</f>
        <v>Medium Risk : Review</v>
      </c>
      <c r="AA1125" s="5" t="str">
        <f t="shared" si="233"/>
        <v>High</v>
      </c>
    </row>
    <row r="1126" spans="1:27" x14ac:dyDescent="0.2">
      <c r="A1126">
        <v>21572</v>
      </c>
      <c r="B1126">
        <v>28</v>
      </c>
      <c r="C1126">
        <f t="shared" si="221"/>
        <v>28</v>
      </c>
      <c r="D1126" t="s">
        <v>12</v>
      </c>
      <c r="E1126" t="str">
        <f t="shared" si="222"/>
        <v>Self-Employed</v>
      </c>
      <c r="F1126">
        <v>2405.44</v>
      </c>
      <c r="G1126">
        <f>ABS(Table1[[#This Row],[Monthly_Income]])</f>
        <v>2405.44</v>
      </c>
      <c r="H1126">
        <v>17715.7</v>
      </c>
      <c r="I1126" s="5">
        <f t="shared" si="223"/>
        <v>17715.7</v>
      </c>
      <c r="J1126">
        <v>6</v>
      </c>
      <c r="K1126">
        <v>13.72</v>
      </c>
      <c r="L1126">
        <v>1</v>
      </c>
      <c r="M1126">
        <f t="shared" si="224"/>
        <v>1</v>
      </c>
      <c r="N1126">
        <v>6.3</v>
      </c>
      <c r="O1126">
        <f t="shared" si="225"/>
        <v>6.3</v>
      </c>
      <c r="P1126">
        <v>30</v>
      </c>
      <c r="Q1126">
        <f t="shared" si="226"/>
        <v>30</v>
      </c>
      <c r="R1126" t="s">
        <v>24</v>
      </c>
      <c r="S1126" t="str">
        <f t="shared" si="227"/>
        <v>Non-Performing</v>
      </c>
      <c r="T1126" t="s">
        <v>16</v>
      </c>
      <c r="U1126" s="3">
        <f t="shared" si="228"/>
        <v>1.2274746685291118</v>
      </c>
      <c r="V1126" t="str">
        <f t="shared" si="229"/>
        <v>High Stress</v>
      </c>
      <c r="W1126" t="str">
        <f t="shared" si="230"/>
        <v>At Risk</v>
      </c>
      <c r="X1126" s="5" t="str">
        <f t="shared" si="231"/>
        <v>Medium</v>
      </c>
      <c r="Y1126" s="5" t="str">
        <f t="shared" si="232"/>
        <v>Medium</v>
      </c>
      <c r="Z1126" s="5" t="str">
        <f>IF(B1126=120,"NULL",IF(AND(V1126="High Stress", W1126="High Risk", Y1126="Low"),"High Risk : Reject", IF(AND(V1126="Healthy", W1126="Good",Y1126&lt;&gt;"Low"), "Low Risk : Approve", "Medium Risk : Review")))</f>
        <v>Medium Risk : Review</v>
      </c>
      <c r="AA1126" s="5" t="str">
        <f t="shared" si="233"/>
        <v>Medium</v>
      </c>
    </row>
    <row r="1127" spans="1:27" x14ac:dyDescent="0.2">
      <c r="A1127">
        <v>20657</v>
      </c>
      <c r="B1127">
        <v>64</v>
      </c>
      <c r="C1127">
        <f t="shared" si="221"/>
        <v>64</v>
      </c>
      <c r="D1127" t="s">
        <v>17</v>
      </c>
      <c r="E1127" t="str">
        <f t="shared" si="222"/>
        <v>Contract</v>
      </c>
      <c r="F1127">
        <v>4326.4399999999996</v>
      </c>
      <c r="G1127">
        <f>ABS(Table1[[#This Row],[Monthly_Income]])</f>
        <v>4326.4399999999996</v>
      </c>
      <c r="H1127">
        <v>26419.33</v>
      </c>
      <c r="I1127" s="5">
        <f t="shared" si="223"/>
        <v>26419.33</v>
      </c>
      <c r="J1127">
        <v>12</v>
      </c>
      <c r="K1127">
        <v>17.329999999999998</v>
      </c>
      <c r="L1127">
        <v>3</v>
      </c>
      <c r="M1127">
        <f t="shared" si="224"/>
        <v>3</v>
      </c>
      <c r="N1127">
        <v>4.4000000000000004</v>
      </c>
      <c r="O1127">
        <f t="shared" si="225"/>
        <v>4.4000000000000004</v>
      </c>
      <c r="P1127">
        <v>30</v>
      </c>
      <c r="Q1127">
        <f t="shared" si="226"/>
        <v>30</v>
      </c>
      <c r="R1127" t="s">
        <v>15</v>
      </c>
      <c r="S1127" t="str">
        <f t="shared" si="227"/>
        <v xml:space="preserve">Performing </v>
      </c>
      <c r="T1127" t="s">
        <v>19</v>
      </c>
      <c r="U1127" s="3">
        <f t="shared" si="228"/>
        <v>0.50887353882946107</v>
      </c>
      <c r="V1127" t="str">
        <f t="shared" si="229"/>
        <v>High Stress</v>
      </c>
      <c r="W1127" t="str">
        <f t="shared" si="230"/>
        <v>At Risk</v>
      </c>
      <c r="X1127" s="5" t="str">
        <f t="shared" si="231"/>
        <v>Medium</v>
      </c>
      <c r="Y1127" s="5" t="str">
        <f t="shared" si="232"/>
        <v>Low</v>
      </c>
      <c r="Z1127" s="5" t="str">
        <f>IF(B1127=120,"NULL",IF(AND(V1127="High Stress", W1127="High Risk", Y1127="Low"),"High Risk : Reject", IF(AND(V1127="Healthy", W1127="Good",Y1127&lt;&gt;"Low"), "Low Risk : Approve", "Medium Risk : Review")))</f>
        <v>Medium Risk : Review</v>
      </c>
      <c r="AA1127" s="5" t="str">
        <f t="shared" si="233"/>
        <v>Medium</v>
      </c>
    </row>
    <row r="1128" spans="1:27" x14ac:dyDescent="0.2">
      <c r="A1128">
        <v>22354</v>
      </c>
      <c r="B1128">
        <v>50</v>
      </c>
      <c r="C1128">
        <f t="shared" si="221"/>
        <v>50</v>
      </c>
      <c r="D1128" t="s">
        <v>12</v>
      </c>
      <c r="E1128" t="str">
        <f t="shared" si="222"/>
        <v>Self-Employed</v>
      </c>
      <c r="F1128">
        <v>6709.15</v>
      </c>
      <c r="G1128">
        <f>ABS(Table1[[#This Row],[Monthly_Income]])</f>
        <v>6709.15</v>
      </c>
      <c r="H1128">
        <v>28489.48</v>
      </c>
      <c r="I1128" s="5">
        <f t="shared" si="223"/>
        <v>28489.48</v>
      </c>
      <c r="J1128">
        <v>36</v>
      </c>
      <c r="K1128">
        <v>22.01</v>
      </c>
      <c r="L1128">
        <v>1</v>
      </c>
      <c r="M1128">
        <f t="shared" si="224"/>
        <v>1</v>
      </c>
      <c r="N1128">
        <v>0.3</v>
      </c>
      <c r="O1128">
        <f t="shared" si="225"/>
        <v>0.3</v>
      </c>
      <c r="Q1128" t="str">
        <f t="shared" si="226"/>
        <v>NULL</v>
      </c>
      <c r="R1128" t="s">
        <v>13</v>
      </c>
      <c r="S1128" t="str">
        <f t="shared" si="227"/>
        <v>Performing</v>
      </c>
      <c r="T1128" t="s">
        <v>14</v>
      </c>
      <c r="U1128" s="3">
        <f t="shared" si="228"/>
        <v>0.11795450160518761</v>
      </c>
      <c r="V1128" t="str">
        <f t="shared" si="229"/>
        <v>Healthy</v>
      </c>
      <c r="W1128" t="str">
        <f t="shared" si="230"/>
        <v>NULL</v>
      </c>
      <c r="X1128" s="5" t="str">
        <f t="shared" si="231"/>
        <v>Medium</v>
      </c>
      <c r="Y1128" s="5" t="str">
        <f t="shared" si="232"/>
        <v>Medium</v>
      </c>
      <c r="Z1128" s="5" t="str">
        <f>IF(B1128=120,"NULL",IF(AND(V1128="High Stress", W1128="High Risk", Y1128="Low"),"High Risk : Reject", IF(AND(V1128="Healthy", W1128="Good",Y1128&lt;&gt;"Low"), "Low Risk : Approve", "Medium Risk : Review")))</f>
        <v>Medium Risk : Review</v>
      </c>
      <c r="AA1128" s="5" t="str">
        <f t="shared" si="233"/>
        <v>Medium</v>
      </c>
    </row>
    <row r="1129" spans="1:27" x14ac:dyDescent="0.2">
      <c r="A1129">
        <v>25281</v>
      </c>
      <c r="B1129">
        <v>31</v>
      </c>
      <c r="C1129">
        <f t="shared" si="221"/>
        <v>31</v>
      </c>
      <c r="D1129" t="s">
        <v>12</v>
      </c>
      <c r="E1129" t="str">
        <f t="shared" si="222"/>
        <v>Self-Employed</v>
      </c>
      <c r="F1129">
        <v>3448.07</v>
      </c>
      <c r="G1129">
        <f>ABS(Table1[[#This Row],[Monthly_Income]])</f>
        <v>3448.07</v>
      </c>
      <c r="H1129">
        <v>1393.01</v>
      </c>
      <c r="I1129" s="5">
        <f t="shared" si="223"/>
        <v>1393.01</v>
      </c>
      <c r="J1129">
        <v>24</v>
      </c>
      <c r="K1129">
        <v>20.7</v>
      </c>
      <c r="L1129">
        <v>2</v>
      </c>
      <c r="M1129">
        <f t="shared" si="224"/>
        <v>2</v>
      </c>
      <c r="N1129">
        <v>10.3</v>
      </c>
      <c r="O1129">
        <f t="shared" si="225"/>
        <v>10.3</v>
      </c>
      <c r="P1129">
        <v>90</v>
      </c>
      <c r="Q1129">
        <f t="shared" si="226"/>
        <v>90</v>
      </c>
      <c r="R1129" t="s">
        <v>13</v>
      </c>
      <c r="S1129" t="str">
        <f t="shared" si="227"/>
        <v>Performing</v>
      </c>
      <c r="T1129" t="s">
        <v>14</v>
      </c>
      <c r="U1129" s="3">
        <f t="shared" si="228"/>
        <v>1.6833209109250489E-2</v>
      </c>
      <c r="V1129" t="str">
        <f t="shared" si="229"/>
        <v>Healthy</v>
      </c>
      <c r="W1129" t="str">
        <f t="shared" si="230"/>
        <v>High Risk</v>
      </c>
      <c r="X1129" s="5" t="str">
        <f t="shared" si="231"/>
        <v>Small</v>
      </c>
      <c r="Y1129" s="5" t="str">
        <f t="shared" si="232"/>
        <v>Medium</v>
      </c>
      <c r="Z1129" s="5" t="str">
        <f>IF(B1129=120,"NULL",IF(AND(V1129="High Stress", W1129="High Risk", Y1129="Low"),"High Risk : Reject", IF(AND(V1129="Healthy", W1129="Good",Y1129&lt;&gt;"Low"), "Low Risk : Approve", "Medium Risk : Review")))</f>
        <v>Medium Risk : Review</v>
      </c>
      <c r="AA1129" s="5" t="str">
        <f t="shared" si="233"/>
        <v>Medium</v>
      </c>
    </row>
    <row r="1130" spans="1:27" x14ac:dyDescent="0.2">
      <c r="A1130">
        <v>21677</v>
      </c>
      <c r="B1130">
        <v>45</v>
      </c>
      <c r="C1130">
        <f t="shared" si="221"/>
        <v>45</v>
      </c>
      <c r="D1130" t="s">
        <v>12</v>
      </c>
      <c r="E1130" t="str">
        <f t="shared" si="222"/>
        <v>Self-Employed</v>
      </c>
      <c r="F1130">
        <v>6503.54</v>
      </c>
      <c r="G1130">
        <f>ABS(Table1[[#This Row],[Monthly_Income]])</f>
        <v>6503.54</v>
      </c>
      <c r="H1130">
        <v>21148.89</v>
      </c>
      <c r="I1130" s="5">
        <f t="shared" si="223"/>
        <v>21148.89</v>
      </c>
      <c r="J1130">
        <v>48</v>
      </c>
      <c r="K1130">
        <v>18.670000000000002</v>
      </c>
      <c r="M1130" t="str">
        <f t="shared" si="224"/>
        <v>NULL</v>
      </c>
      <c r="N1130">
        <v>12.9</v>
      </c>
      <c r="O1130">
        <f t="shared" si="225"/>
        <v>12.9</v>
      </c>
      <c r="P1130">
        <v>90</v>
      </c>
      <c r="Q1130">
        <f t="shared" si="226"/>
        <v>90</v>
      </c>
      <c r="R1130" t="s">
        <v>13</v>
      </c>
      <c r="S1130" t="str">
        <f t="shared" si="227"/>
        <v>Performing</v>
      </c>
      <c r="T1130" t="s">
        <v>16</v>
      </c>
      <c r="U1130" s="3">
        <f t="shared" si="228"/>
        <v>6.7748007239134378E-2</v>
      </c>
      <c r="V1130" t="str">
        <f t="shared" si="229"/>
        <v>Healthy</v>
      </c>
      <c r="W1130" t="str">
        <f t="shared" si="230"/>
        <v>High Risk</v>
      </c>
      <c r="X1130" s="5" t="str">
        <f t="shared" si="231"/>
        <v>Medium</v>
      </c>
      <c r="Y1130" s="5" t="str">
        <f t="shared" si="232"/>
        <v>Medium</v>
      </c>
      <c r="Z1130" s="5" t="str">
        <f>IF(B1130=120,"NULL",IF(AND(V1130="High Stress", W1130="High Risk", Y1130="Low"),"High Risk : Reject", IF(AND(V1130="Healthy", W1130="Good",Y1130&lt;&gt;"Low"), "Low Risk : Approve", "Medium Risk : Review")))</f>
        <v>Medium Risk : Review</v>
      </c>
      <c r="AA1130" s="5" t="str">
        <f t="shared" si="233"/>
        <v>Medium</v>
      </c>
    </row>
    <row r="1131" spans="1:27" x14ac:dyDescent="0.2">
      <c r="A1131">
        <v>21487</v>
      </c>
      <c r="B1131">
        <v>56</v>
      </c>
      <c r="C1131">
        <f t="shared" si="221"/>
        <v>56</v>
      </c>
      <c r="D1131" t="s">
        <v>26</v>
      </c>
      <c r="E1131" t="str">
        <f t="shared" si="222"/>
        <v>Salaried</v>
      </c>
      <c r="F1131">
        <v>4937.47</v>
      </c>
      <c r="G1131">
        <f>ABS(Table1[[#This Row],[Monthly_Income]])</f>
        <v>4937.47</v>
      </c>
      <c r="H1131">
        <v>14011.09</v>
      </c>
      <c r="I1131" s="5">
        <f t="shared" si="223"/>
        <v>14011.09</v>
      </c>
      <c r="J1131">
        <v>48</v>
      </c>
      <c r="K1131">
        <v>20.48</v>
      </c>
      <c r="L1131">
        <v>4</v>
      </c>
      <c r="M1131">
        <f t="shared" si="224"/>
        <v>4</v>
      </c>
      <c r="N1131">
        <v>5.6</v>
      </c>
      <c r="O1131">
        <f t="shared" si="225"/>
        <v>5.6</v>
      </c>
      <c r="P1131">
        <v>30</v>
      </c>
      <c r="Q1131">
        <f t="shared" si="226"/>
        <v>30</v>
      </c>
      <c r="R1131" t="s">
        <v>13</v>
      </c>
      <c r="S1131" t="str">
        <f t="shared" si="227"/>
        <v>Performing</v>
      </c>
      <c r="T1131" t="s">
        <v>22</v>
      </c>
      <c r="U1131" s="3">
        <f t="shared" si="228"/>
        <v>5.9118882410087219E-2</v>
      </c>
      <c r="V1131" t="str">
        <f t="shared" si="229"/>
        <v>Healthy</v>
      </c>
      <c r="W1131" t="str">
        <f t="shared" si="230"/>
        <v>At Risk</v>
      </c>
      <c r="X1131" s="5" t="str">
        <f t="shared" si="231"/>
        <v>Medium</v>
      </c>
      <c r="Y1131" s="5" t="str">
        <f t="shared" si="232"/>
        <v>High</v>
      </c>
      <c r="Z1131" s="5" t="str">
        <f>IF(B1131=120,"NULL",IF(AND(V1131="High Stress", W1131="High Risk", Y1131="Low"),"High Risk : Reject", IF(AND(V1131="Healthy", W1131="Good",Y1131&lt;&gt;"Low"), "Low Risk : Approve", "Medium Risk : Review")))</f>
        <v>Medium Risk : Review</v>
      </c>
      <c r="AA1131" s="5" t="str">
        <f t="shared" si="233"/>
        <v>Medium</v>
      </c>
    </row>
    <row r="1132" spans="1:27" x14ac:dyDescent="0.2">
      <c r="A1132">
        <v>23596</v>
      </c>
      <c r="B1132">
        <v>60</v>
      </c>
      <c r="C1132">
        <f t="shared" si="221"/>
        <v>60</v>
      </c>
      <c r="D1132" t="s">
        <v>21</v>
      </c>
      <c r="E1132" t="str">
        <f t="shared" si="222"/>
        <v>Salaried</v>
      </c>
      <c r="F1132">
        <v>6332.09</v>
      </c>
      <c r="G1132">
        <f>ABS(Table1[[#This Row],[Monthly_Income]])</f>
        <v>6332.09</v>
      </c>
      <c r="H1132"/>
      <c r="I1132" s="5" t="str">
        <f t="shared" si="223"/>
        <v>NULL</v>
      </c>
      <c r="J1132">
        <v>60</v>
      </c>
      <c r="K1132">
        <v>17.13</v>
      </c>
      <c r="L1132">
        <v>1</v>
      </c>
      <c r="M1132">
        <f t="shared" si="224"/>
        <v>1</v>
      </c>
      <c r="N1132">
        <v>15.2</v>
      </c>
      <c r="O1132">
        <f t="shared" si="225"/>
        <v>15.2</v>
      </c>
      <c r="P1132">
        <v>0</v>
      </c>
      <c r="Q1132">
        <f t="shared" si="226"/>
        <v>0</v>
      </c>
      <c r="R1132" t="s">
        <v>24</v>
      </c>
      <c r="S1132" t="str">
        <f t="shared" si="227"/>
        <v>Non-Performing</v>
      </c>
      <c r="T1132" t="s">
        <v>22</v>
      </c>
      <c r="U1132" s="3" t="str">
        <f t="shared" si="228"/>
        <v>NULL</v>
      </c>
      <c r="V1132" t="str">
        <f t="shared" si="229"/>
        <v>NULL</v>
      </c>
      <c r="W1132" t="str">
        <f t="shared" si="230"/>
        <v>Good</v>
      </c>
      <c r="X1132" s="5" t="str">
        <f t="shared" si="231"/>
        <v>High</v>
      </c>
      <c r="Y1132" s="5" t="str">
        <f t="shared" si="232"/>
        <v>High</v>
      </c>
      <c r="Z1132" s="5" t="str">
        <f>IF(B1132=120,"NULL",IF(AND(V1132="High Stress", W1132="High Risk", Y1132="Low"),"High Risk : Reject", IF(AND(V1132="Healthy", W1132="Good",Y1132&lt;&gt;"Low"), "Low Risk : Approve", "Medium Risk : Review")))</f>
        <v>Medium Risk : Review</v>
      </c>
      <c r="AA1132" s="5" t="str">
        <f t="shared" si="233"/>
        <v>Medium</v>
      </c>
    </row>
    <row r="1133" spans="1:27" x14ac:dyDescent="0.2">
      <c r="A1133">
        <v>22206</v>
      </c>
      <c r="B1133">
        <v>61</v>
      </c>
      <c r="C1133">
        <f t="shared" si="221"/>
        <v>61</v>
      </c>
      <c r="D1133" t="s">
        <v>26</v>
      </c>
      <c r="E1133" t="str">
        <f t="shared" si="222"/>
        <v>Salaried</v>
      </c>
      <c r="F1133">
        <v>6158.32</v>
      </c>
      <c r="G1133">
        <f>ABS(Table1[[#This Row],[Monthly_Income]])</f>
        <v>6158.32</v>
      </c>
      <c r="H1133">
        <v>30323.53</v>
      </c>
      <c r="I1133" s="5">
        <f t="shared" si="223"/>
        <v>30323.53</v>
      </c>
      <c r="J1133">
        <v>18</v>
      </c>
      <c r="K1133">
        <v>18.850000000000001</v>
      </c>
      <c r="M1133" t="str">
        <f t="shared" si="224"/>
        <v>NULL</v>
      </c>
      <c r="N1133">
        <v>14.3</v>
      </c>
      <c r="O1133">
        <f t="shared" si="225"/>
        <v>14.3</v>
      </c>
      <c r="P1133">
        <v>0</v>
      </c>
      <c r="Q1133">
        <f t="shared" si="226"/>
        <v>0</v>
      </c>
      <c r="R1133" t="s">
        <v>18</v>
      </c>
      <c r="S1133" t="str">
        <f t="shared" si="227"/>
        <v>Non-Performing</v>
      </c>
      <c r="T1133" t="s">
        <v>25</v>
      </c>
      <c r="U1133" s="3">
        <f t="shared" si="228"/>
        <v>0.27355521563601037</v>
      </c>
      <c r="V1133" t="str">
        <f t="shared" si="229"/>
        <v>Healthy</v>
      </c>
      <c r="W1133" t="str">
        <f t="shared" si="230"/>
        <v>Good</v>
      </c>
      <c r="X1133" s="5" t="str">
        <f t="shared" si="231"/>
        <v>High</v>
      </c>
      <c r="Y1133" s="5" t="str">
        <f t="shared" si="232"/>
        <v>High</v>
      </c>
      <c r="Z1133" s="5" t="str">
        <f>IF(B1133=120,"NULL",IF(AND(V1133="High Stress", W1133="High Risk", Y1133="Low"),"High Risk : Reject", IF(AND(V1133="Healthy", W1133="Good",Y1133&lt;&gt;"Low"), "Low Risk : Approve", "Medium Risk : Review")))</f>
        <v>Low Risk : Approve</v>
      </c>
      <c r="AA1133" s="5" t="str">
        <f t="shared" si="233"/>
        <v>Medium</v>
      </c>
    </row>
    <row r="1134" spans="1:27" x14ac:dyDescent="0.2">
      <c r="A1134">
        <v>22724</v>
      </c>
      <c r="B1134">
        <v>40</v>
      </c>
      <c r="C1134">
        <f t="shared" si="221"/>
        <v>40</v>
      </c>
      <c r="D1134" t="s">
        <v>17</v>
      </c>
      <c r="E1134" t="str">
        <f t="shared" si="222"/>
        <v>Contract</v>
      </c>
      <c r="F1134">
        <v>2968.45</v>
      </c>
      <c r="G1134">
        <f>ABS(Table1[[#This Row],[Monthly_Income]])</f>
        <v>2968.45</v>
      </c>
      <c r="H1134">
        <v>33766.47</v>
      </c>
      <c r="I1134" s="5">
        <f t="shared" si="223"/>
        <v>33766.47</v>
      </c>
      <c r="J1134">
        <v>18</v>
      </c>
      <c r="K1134">
        <v>16.190000000000001</v>
      </c>
      <c r="L1134">
        <v>0</v>
      </c>
      <c r="M1134">
        <f t="shared" si="224"/>
        <v>0</v>
      </c>
      <c r="N1134">
        <v>9.1</v>
      </c>
      <c r="O1134">
        <f t="shared" si="225"/>
        <v>9.1</v>
      </c>
      <c r="P1134">
        <v>120</v>
      </c>
      <c r="Q1134">
        <f t="shared" si="226"/>
        <v>120</v>
      </c>
      <c r="R1134" t="s">
        <v>18</v>
      </c>
      <c r="S1134" t="str">
        <f t="shared" si="227"/>
        <v>Non-Performing</v>
      </c>
      <c r="T1134" t="s">
        <v>25</v>
      </c>
      <c r="U1134" s="3">
        <f t="shared" si="228"/>
        <v>0.6319510182081558</v>
      </c>
      <c r="V1134" t="str">
        <f t="shared" si="229"/>
        <v>High Stress</v>
      </c>
      <c r="W1134" t="str">
        <f t="shared" si="230"/>
        <v>High Risk</v>
      </c>
      <c r="X1134" s="5" t="str">
        <f t="shared" si="231"/>
        <v>High</v>
      </c>
      <c r="Y1134" s="5" t="str">
        <f t="shared" si="232"/>
        <v>Low</v>
      </c>
      <c r="Z1134" s="5" t="str">
        <f>IF(B1134=120,"NULL",IF(AND(V1134="High Stress", W1134="High Risk", Y1134="Low"),"High Risk : Reject", IF(AND(V1134="Healthy", W1134="Good",Y1134&lt;&gt;"Low"), "Low Risk : Approve", "Medium Risk : Review")))</f>
        <v>High Risk : Reject</v>
      </c>
      <c r="AA1134" s="5" t="str">
        <f t="shared" si="233"/>
        <v>Medium</v>
      </c>
    </row>
    <row r="1135" spans="1:27" x14ac:dyDescent="0.2">
      <c r="A1135">
        <v>22515</v>
      </c>
      <c r="B1135">
        <v>32</v>
      </c>
      <c r="C1135">
        <f t="shared" si="221"/>
        <v>32</v>
      </c>
      <c r="D1135" t="s">
        <v>27</v>
      </c>
      <c r="E1135" t="str">
        <f t="shared" si="222"/>
        <v>Unemployed</v>
      </c>
      <c r="F1135">
        <v>4787.03</v>
      </c>
      <c r="G1135">
        <f>ABS(Table1[[#This Row],[Monthly_Income]])</f>
        <v>4787.03</v>
      </c>
      <c r="H1135">
        <v>31083.9</v>
      </c>
      <c r="I1135" s="5">
        <f t="shared" si="223"/>
        <v>31083.9</v>
      </c>
      <c r="J1135">
        <v>48</v>
      </c>
      <c r="K1135">
        <v>17.14</v>
      </c>
      <c r="L1135">
        <v>0</v>
      </c>
      <c r="M1135">
        <f t="shared" si="224"/>
        <v>0</v>
      </c>
      <c r="N1135">
        <v>6.1</v>
      </c>
      <c r="O1135">
        <f t="shared" si="225"/>
        <v>6.1</v>
      </c>
      <c r="P1135">
        <v>90</v>
      </c>
      <c r="Q1135">
        <f t="shared" si="226"/>
        <v>90</v>
      </c>
      <c r="R1135" t="s">
        <v>18</v>
      </c>
      <c r="S1135" t="str">
        <f t="shared" si="227"/>
        <v>Non-Performing</v>
      </c>
      <c r="T1135" t="s">
        <v>22</v>
      </c>
      <c r="U1135" s="3">
        <f t="shared" si="228"/>
        <v>0.13527829363927113</v>
      </c>
      <c r="V1135" t="str">
        <f t="shared" si="229"/>
        <v>Healthy</v>
      </c>
      <c r="W1135" t="str">
        <f t="shared" si="230"/>
        <v>High Risk</v>
      </c>
      <c r="X1135" s="5" t="str">
        <f t="shared" si="231"/>
        <v>High</v>
      </c>
      <c r="Y1135" s="5" t="str">
        <f t="shared" si="232"/>
        <v>Low</v>
      </c>
      <c r="Z1135" s="5" t="str">
        <f>IF(B1135=120,"NULL",IF(AND(V1135="High Stress", W1135="High Risk", Y1135="Low"),"High Risk : Reject", IF(AND(V1135="Healthy", W1135="Good",Y1135&lt;&gt;"Low"), "Low Risk : Approve", "Medium Risk : Review")))</f>
        <v>Medium Risk : Review</v>
      </c>
      <c r="AA1135" s="5" t="str">
        <f t="shared" si="233"/>
        <v>Medium</v>
      </c>
    </row>
    <row r="1136" spans="1:27" x14ac:dyDescent="0.2">
      <c r="A1136">
        <v>20017</v>
      </c>
      <c r="B1136">
        <v>21</v>
      </c>
      <c r="C1136">
        <f t="shared" si="221"/>
        <v>21</v>
      </c>
      <c r="D1136" t="s">
        <v>23</v>
      </c>
      <c r="E1136" t="str">
        <f t="shared" si="222"/>
        <v>Self-Employed</v>
      </c>
      <c r="F1136">
        <v>1108.17</v>
      </c>
      <c r="G1136">
        <f>ABS(Table1[[#This Row],[Monthly_Income]])</f>
        <v>1108.17</v>
      </c>
      <c r="H1136">
        <v>25080.22</v>
      </c>
      <c r="I1136" s="5">
        <f t="shared" si="223"/>
        <v>25080.22</v>
      </c>
      <c r="J1136">
        <v>18</v>
      </c>
      <c r="K1136">
        <v>13</v>
      </c>
      <c r="M1136" t="str">
        <f t="shared" si="224"/>
        <v>NULL</v>
      </c>
      <c r="N1136">
        <v>16.399999999999999</v>
      </c>
      <c r="O1136">
        <f t="shared" si="225"/>
        <v>16.399999999999999</v>
      </c>
      <c r="P1136">
        <v>120</v>
      </c>
      <c r="Q1136">
        <f t="shared" si="226"/>
        <v>120</v>
      </c>
      <c r="R1136" t="s">
        <v>18</v>
      </c>
      <c r="S1136" t="str">
        <f t="shared" si="227"/>
        <v>Non-Performing</v>
      </c>
      <c r="T1136" t="s">
        <v>16</v>
      </c>
      <c r="U1136" s="3">
        <f t="shared" si="228"/>
        <v>1.2573391768009923</v>
      </c>
      <c r="V1136" t="str">
        <f t="shared" si="229"/>
        <v>High Stress</v>
      </c>
      <c r="W1136" t="str">
        <f t="shared" si="230"/>
        <v>High Risk</v>
      </c>
      <c r="X1136" s="5" t="str">
        <f t="shared" si="231"/>
        <v>Medium</v>
      </c>
      <c r="Y1136" s="5" t="str">
        <f t="shared" si="232"/>
        <v>Medium</v>
      </c>
      <c r="Z1136" s="5" t="str">
        <f>IF(B1136=120,"NULL",IF(AND(V1136="High Stress", W1136="High Risk", Y1136="Low"),"High Risk : Reject", IF(AND(V1136="Healthy", W1136="Good",Y1136&lt;&gt;"Low"), "Low Risk : Approve", "Medium Risk : Review")))</f>
        <v>Medium Risk : Review</v>
      </c>
      <c r="AA1136" s="5" t="str">
        <f t="shared" si="233"/>
        <v>Low</v>
      </c>
    </row>
    <row r="1137" spans="1:27" x14ac:dyDescent="0.2">
      <c r="A1137">
        <v>22478</v>
      </c>
      <c r="B1137">
        <v>58</v>
      </c>
      <c r="C1137">
        <f t="shared" si="221"/>
        <v>58</v>
      </c>
      <c r="D1137" t="s">
        <v>23</v>
      </c>
      <c r="E1137" t="str">
        <f t="shared" si="222"/>
        <v>Self-Employed</v>
      </c>
      <c r="F1137">
        <v>9681.73</v>
      </c>
      <c r="G1137">
        <f>ABS(Table1[[#This Row],[Monthly_Income]])</f>
        <v>9681.73</v>
      </c>
      <c r="H1137">
        <v>27544.6</v>
      </c>
      <c r="I1137" s="5">
        <f t="shared" si="223"/>
        <v>27544.6</v>
      </c>
      <c r="J1137">
        <v>12</v>
      </c>
      <c r="K1137">
        <v>8.42</v>
      </c>
      <c r="L1137">
        <v>1</v>
      </c>
      <c r="M1137">
        <f t="shared" si="224"/>
        <v>1</v>
      </c>
      <c r="N1137">
        <v>1.5</v>
      </c>
      <c r="O1137">
        <f t="shared" si="225"/>
        <v>1.5</v>
      </c>
      <c r="P1137">
        <v>0</v>
      </c>
      <c r="Q1137">
        <f t="shared" si="226"/>
        <v>0</v>
      </c>
      <c r="R1137" t="s">
        <v>13</v>
      </c>
      <c r="S1137" t="str">
        <f t="shared" si="227"/>
        <v>Performing</v>
      </c>
      <c r="T1137" t="s">
        <v>25</v>
      </c>
      <c r="U1137" s="3">
        <f t="shared" si="228"/>
        <v>0.23708400599204205</v>
      </c>
      <c r="V1137" t="str">
        <f t="shared" si="229"/>
        <v>Healthy</v>
      </c>
      <c r="W1137" t="str">
        <f t="shared" si="230"/>
        <v>Good</v>
      </c>
      <c r="X1137" s="5" t="str">
        <f t="shared" si="231"/>
        <v>Medium</v>
      </c>
      <c r="Y1137" s="5" t="str">
        <f t="shared" si="232"/>
        <v>Medium</v>
      </c>
      <c r="Z1137" s="5" t="str">
        <f>IF(B1137=120,"NULL",IF(AND(V1137="High Stress", W1137="High Risk", Y1137="Low"),"High Risk : Reject", IF(AND(V1137="Healthy", W1137="Good",Y1137&lt;&gt;"Low"), "Low Risk : Approve", "Medium Risk : Review")))</f>
        <v>Low Risk : Approve</v>
      </c>
      <c r="AA1137" s="5" t="str">
        <f t="shared" si="233"/>
        <v>High</v>
      </c>
    </row>
    <row r="1138" spans="1:27" x14ac:dyDescent="0.2">
      <c r="A1138">
        <v>24089</v>
      </c>
      <c r="B1138">
        <v>51</v>
      </c>
      <c r="C1138">
        <f t="shared" si="221"/>
        <v>51</v>
      </c>
      <c r="D1138" t="s">
        <v>12</v>
      </c>
      <c r="E1138" t="str">
        <f t="shared" si="222"/>
        <v>Self-Employed</v>
      </c>
      <c r="F1138">
        <v>3406.48</v>
      </c>
      <c r="G1138">
        <f>ABS(Table1[[#This Row],[Monthly_Income]])</f>
        <v>3406.48</v>
      </c>
      <c r="H1138">
        <v>19487.900000000001</v>
      </c>
      <c r="I1138" s="5">
        <f t="shared" si="223"/>
        <v>19487.900000000001</v>
      </c>
      <c r="J1138">
        <v>60</v>
      </c>
      <c r="K1138">
        <v>21.34</v>
      </c>
      <c r="M1138" t="str">
        <f t="shared" si="224"/>
        <v>NULL</v>
      </c>
      <c r="N1138">
        <v>13.3</v>
      </c>
      <c r="O1138">
        <f t="shared" si="225"/>
        <v>13.3</v>
      </c>
      <c r="P1138">
        <v>0</v>
      </c>
      <c r="Q1138">
        <f t="shared" si="226"/>
        <v>0</v>
      </c>
      <c r="R1138" t="s">
        <v>15</v>
      </c>
      <c r="S1138" t="str">
        <f t="shared" si="227"/>
        <v xml:space="preserve">Performing </v>
      </c>
      <c r="T1138" t="s">
        <v>22</v>
      </c>
      <c r="U1138" s="3">
        <f t="shared" si="228"/>
        <v>9.5347201020799591E-2</v>
      </c>
      <c r="V1138" t="str">
        <f t="shared" si="229"/>
        <v>Healthy</v>
      </c>
      <c r="W1138" t="str">
        <f t="shared" si="230"/>
        <v>Good</v>
      </c>
      <c r="X1138" s="5" t="str">
        <f t="shared" si="231"/>
        <v>Medium</v>
      </c>
      <c r="Y1138" s="5" t="str">
        <f t="shared" si="232"/>
        <v>Medium</v>
      </c>
      <c r="Z1138" s="5" t="str">
        <f>IF(B1138=120,"NULL",IF(AND(V1138="High Stress", W1138="High Risk", Y1138="Low"),"High Risk : Reject", IF(AND(V1138="Healthy", W1138="Good",Y1138&lt;&gt;"Low"), "Low Risk : Approve", "Medium Risk : Review")))</f>
        <v>Low Risk : Approve</v>
      </c>
      <c r="AA1138" s="5" t="str">
        <f t="shared" si="233"/>
        <v>Medium</v>
      </c>
    </row>
    <row r="1139" spans="1:27" x14ac:dyDescent="0.2">
      <c r="A1139">
        <v>21908</v>
      </c>
      <c r="B1139">
        <v>51</v>
      </c>
      <c r="C1139">
        <f t="shared" si="221"/>
        <v>51</v>
      </c>
      <c r="D1139" t="s">
        <v>12</v>
      </c>
      <c r="E1139" t="str">
        <f t="shared" si="222"/>
        <v>Self-Employed</v>
      </c>
      <c r="F1139">
        <v>3407.35</v>
      </c>
      <c r="G1139">
        <f>ABS(Table1[[#This Row],[Monthly_Income]])</f>
        <v>3407.35</v>
      </c>
      <c r="H1139">
        <v>46288.93</v>
      </c>
      <c r="I1139" s="5">
        <f t="shared" si="223"/>
        <v>46288.93</v>
      </c>
      <c r="J1139">
        <v>36</v>
      </c>
      <c r="K1139">
        <v>22.18</v>
      </c>
      <c r="L1139">
        <v>1</v>
      </c>
      <c r="M1139">
        <f t="shared" si="224"/>
        <v>1</v>
      </c>
      <c r="N1139">
        <v>10.3</v>
      </c>
      <c r="O1139">
        <f t="shared" si="225"/>
        <v>10.3</v>
      </c>
      <c r="P1139">
        <v>0</v>
      </c>
      <c r="Q1139">
        <f t="shared" si="226"/>
        <v>0</v>
      </c>
      <c r="R1139" t="s">
        <v>24</v>
      </c>
      <c r="S1139" t="str">
        <f t="shared" si="227"/>
        <v>Non-Performing</v>
      </c>
      <c r="T1139" t="s">
        <v>16</v>
      </c>
      <c r="U1139" s="3">
        <f t="shared" si="228"/>
        <v>0.37736176533408988</v>
      </c>
      <c r="V1139" t="str">
        <f t="shared" si="229"/>
        <v>Stretched</v>
      </c>
      <c r="W1139" t="str">
        <f t="shared" si="230"/>
        <v>Good</v>
      </c>
      <c r="X1139" s="5" t="str">
        <f t="shared" si="231"/>
        <v>High</v>
      </c>
      <c r="Y1139" s="5" t="str">
        <f t="shared" si="232"/>
        <v>Medium</v>
      </c>
      <c r="Z1139" s="5" t="str">
        <f>IF(B1139=120,"NULL",IF(AND(V1139="High Stress", W1139="High Risk", Y1139="Low"),"High Risk : Reject", IF(AND(V1139="Healthy", W1139="Good",Y1139&lt;&gt;"Low"), "Low Risk : Approve", "Medium Risk : Review")))</f>
        <v>Medium Risk : Review</v>
      </c>
      <c r="AA1139" s="5" t="str">
        <f t="shared" si="233"/>
        <v>Medium</v>
      </c>
    </row>
    <row r="1140" spans="1:27" x14ac:dyDescent="0.2">
      <c r="A1140">
        <v>21370</v>
      </c>
      <c r="B1140">
        <v>32</v>
      </c>
      <c r="C1140">
        <f t="shared" si="221"/>
        <v>32</v>
      </c>
      <c r="D1140" t="s">
        <v>12</v>
      </c>
      <c r="E1140" t="str">
        <f t="shared" si="222"/>
        <v>Self-Employed</v>
      </c>
      <c r="F1140">
        <v>4797.5600000000004</v>
      </c>
      <c r="G1140">
        <f>ABS(Table1[[#This Row],[Monthly_Income]])</f>
        <v>4797.5600000000004</v>
      </c>
      <c r="H1140">
        <v>24489.32</v>
      </c>
      <c r="I1140" s="5">
        <f t="shared" si="223"/>
        <v>24489.32</v>
      </c>
      <c r="J1140">
        <v>36</v>
      </c>
      <c r="K1140">
        <v>18.010000000000002</v>
      </c>
      <c r="L1140">
        <v>3</v>
      </c>
      <c r="M1140">
        <f t="shared" si="224"/>
        <v>3</v>
      </c>
      <c r="N1140">
        <v>5.0999999999999996</v>
      </c>
      <c r="O1140">
        <f t="shared" si="225"/>
        <v>5.0999999999999996</v>
      </c>
      <c r="Q1140" t="str">
        <f t="shared" si="226"/>
        <v>NULL</v>
      </c>
      <c r="R1140" t="s">
        <v>20</v>
      </c>
      <c r="S1140" t="str">
        <f t="shared" si="227"/>
        <v>Written Off</v>
      </c>
      <c r="T1140" t="s">
        <v>25</v>
      </c>
      <c r="U1140" s="3">
        <f t="shared" si="228"/>
        <v>0.14179267979741553</v>
      </c>
      <c r="V1140" t="str">
        <f t="shared" si="229"/>
        <v>Healthy</v>
      </c>
      <c r="W1140" t="str">
        <f t="shared" si="230"/>
        <v>NULL</v>
      </c>
      <c r="X1140" s="5" t="str">
        <f t="shared" si="231"/>
        <v>Medium</v>
      </c>
      <c r="Y1140" s="5" t="str">
        <f t="shared" si="232"/>
        <v>Medium</v>
      </c>
      <c r="Z1140" s="5" t="str">
        <f>IF(B1140=120,"NULL",IF(AND(V1140="High Stress", W1140="High Risk", Y1140="Low"),"High Risk : Reject", IF(AND(V1140="Healthy", W1140="Good",Y1140&lt;&gt;"Low"), "Low Risk : Approve", "Medium Risk : Review")))</f>
        <v>Medium Risk : Review</v>
      </c>
      <c r="AA1140" s="5" t="str">
        <f t="shared" si="233"/>
        <v>Medium</v>
      </c>
    </row>
    <row r="1141" spans="1:27" x14ac:dyDescent="0.2">
      <c r="A1141">
        <v>21187</v>
      </c>
      <c r="B1141">
        <v>51</v>
      </c>
      <c r="C1141">
        <f t="shared" si="221"/>
        <v>51</v>
      </c>
      <c r="D1141" t="s">
        <v>27</v>
      </c>
      <c r="E1141" t="str">
        <f t="shared" si="222"/>
        <v>Unemployed</v>
      </c>
      <c r="F1141">
        <v>6202.33</v>
      </c>
      <c r="G1141">
        <f>ABS(Table1[[#This Row],[Monthly_Income]])</f>
        <v>6202.33</v>
      </c>
      <c r="H1141">
        <v>15102.72</v>
      </c>
      <c r="I1141" s="5">
        <f t="shared" si="223"/>
        <v>15102.72</v>
      </c>
      <c r="J1141">
        <v>48</v>
      </c>
      <c r="K1141">
        <v>24.84</v>
      </c>
      <c r="L1141">
        <v>4</v>
      </c>
      <c r="M1141">
        <f t="shared" si="224"/>
        <v>4</v>
      </c>
      <c r="N1141">
        <v>9</v>
      </c>
      <c r="O1141">
        <f t="shared" si="225"/>
        <v>9</v>
      </c>
      <c r="P1141">
        <v>120</v>
      </c>
      <c r="Q1141">
        <f t="shared" si="226"/>
        <v>120</v>
      </c>
      <c r="R1141" t="s">
        <v>20</v>
      </c>
      <c r="S1141" t="str">
        <f t="shared" si="227"/>
        <v>Written Off</v>
      </c>
      <c r="T1141" t="s">
        <v>22</v>
      </c>
      <c r="U1141" s="3">
        <f t="shared" si="228"/>
        <v>5.0729322690021332E-2</v>
      </c>
      <c r="V1141" t="str">
        <f t="shared" si="229"/>
        <v>Healthy</v>
      </c>
      <c r="W1141" t="str">
        <f t="shared" si="230"/>
        <v>High Risk</v>
      </c>
      <c r="X1141" s="5" t="str">
        <f t="shared" si="231"/>
        <v>Medium</v>
      </c>
      <c r="Y1141" s="5" t="str">
        <f t="shared" si="232"/>
        <v>Low</v>
      </c>
      <c r="Z1141" s="5" t="str">
        <f>IF(B1141=120,"NULL",IF(AND(V1141="High Stress", W1141="High Risk", Y1141="Low"),"High Risk : Reject", IF(AND(V1141="Healthy", W1141="Good",Y1141&lt;&gt;"Low"), "Low Risk : Approve", "Medium Risk : Review")))</f>
        <v>Medium Risk : Review</v>
      </c>
      <c r="AA1141" s="5" t="str">
        <f t="shared" si="233"/>
        <v>Medium</v>
      </c>
    </row>
    <row r="1142" spans="1:27" x14ac:dyDescent="0.2">
      <c r="A1142">
        <v>22613</v>
      </c>
      <c r="B1142">
        <v>46</v>
      </c>
      <c r="C1142">
        <f t="shared" si="221"/>
        <v>46</v>
      </c>
      <c r="D1142" t="s">
        <v>26</v>
      </c>
      <c r="E1142" t="str">
        <f t="shared" si="222"/>
        <v>Salaried</v>
      </c>
      <c r="F1142">
        <v>4550.28</v>
      </c>
      <c r="G1142">
        <f>ABS(Table1[[#This Row],[Monthly_Income]])</f>
        <v>4550.28</v>
      </c>
      <c r="H1142">
        <v>17498.11</v>
      </c>
      <c r="I1142" s="5">
        <f t="shared" si="223"/>
        <v>17498.11</v>
      </c>
      <c r="J1142">
        <v>18</v>
      </c>
      <c r="K1142">
        <v>19.93</v>
      </c>
      <c r="L1142">
        <v>3</v>
      </c>
      <c r="M1142">
        <f t="shared" si="224"/>
        <v>3</v>
      </c>
      <c r="N1142">
        <v>8.1</v>
      </c>
      <c r="O1142">
        <f t="shared" si="225"/>
        <v>8.1</v>
      </c>
      <c r="P1142">
        <v>15</v>
      </c>
      <c r="Q1142">
        <f t="shared" si="226"/>
        <v>15</v>
      </c>
      <c r="R1142" t="s">
        <v>18</v>
      </c>
      <c r="S1142" t="str">
        <f t="shared" si="227"/>
        <v>Non-Performing</v>
      </c>
      <c r="T1142" t="s">
        <v>19</v>
      </c>
      <c r="U1142" s="3">
        <f t="shared" si="228"/>
        <v>0.21363898973738371</v>
      </c>
      <c r="V1142" t="str">
        <f t="shared" si="229"/>
        <v>Healthy</v>
      </c>
      <c r="W1142" t="str">
        <f t="shared" si="230"/>
        <v>Good</v>
      </c>
      <c r="X1142" s="5" t="str">
        <f t="shared" si="231"/>
        <v>Medium</v>
      </c>
      <c r="Y1142" s="5" t="str">
        <f t="shared" si="232"/>
        <v>High</v>
      </c>
      <c r="Z1142" s="5" t="str">
        <f>IF(B1142=120,"NULL",IF(AND(V1142="High Stress", W1142="High Risk", Y1142="Low"),"High Risk : Reject", IF(AND(V1142="Healthy", W1142="Good",Y1142&lt;&gt;"Low"), "Low Risk : Approve", "Medium Risk : Review")))</f>
        <v>Low Risk : Approve</v>
      </c>
      <c r="AA1142" s="5" t="str">
        <f t="shared" si="233"/>
        <v>Medium</v>
      </c>
    </row>
    <row r="1143" spans="1:27" x14ac:dyDescent="0.2">
      <c r="A1143">
        <v>25835</v>
      </c>
      <c r="B1143">
        <v>53</v>
      </c>
      <c r="C1143">
        <f t="shared" si="221"/>
        <v>53</v>
      </c>
      <c r="D1143" t="s">
        <v>21</v>
      </c>
      <c r="E1143" t="str">
        <f t="shared" si="222"/>
        <v>Salaried</v>
      </c>
      <c r="F1143">
        <v>4840.62</v>
      </c>
      <c r="G1143">
        <f>ABS(Table1[[#This Row],[Monthly_Income]])</f>
        <v>4840.62</v>
      </c>
      <c r="H1143">
        <v>-3700.89</v>
      </c>
      <c r="I1143" s="5">
        <f t="shared" si="223"/>
        <v>3700.89</v>
      </c>
      <c r="J1143">
        <v>18</v>
      </c>
      <c r="K1143">
        <v>22.3</v>
      </c>
      <c r="L1143">
        <v>1</v>
      </c>
      <c r="M1143">
        <f t="shared" si="224"/>
        <v>1</v>
      </c>
      <c r="N1143">
        <v>6.3</v>
      </c>
      <c r="O1143">
        <f t="shared" si="225"/>
        <v>6.3</v>
      </c>
      <c r="P1143">
        <v>0</v>
      </c>
      <c r="Q1143">
        <f t="shared" si="226"/>
        <v>0</v>
      </c>
      <c r="R1143" t="s">
        <v>18</v>
      </c>
      <c r="S1143" t="str">
        <f t="shared" si="227"/>
        <v>Non-Performing</v>
      </c>
      <c r="T1143" t="s">
        <v>14</v>
      </c>
      <c r="U1143" s="3">
        <f t="shared" si="228"/>
        <v>4.247493089728175E-2</v>
      </c>
      <c r="V1143" t="str">
        <f t="shared" si="229"/>
        <v>Healthy</v>
      </c>
      <c r="W1143" t="str">
        <f t="shared" si="230"/>
        <v>Good</v>
      </c>
      <c r="X1143" s="5" t="str">
        <f t="shared" si="231"/>
        <v>Small</v>
      </c>
      <c r="Y1143" s="5" t="str">
        <f t="shared" si="232"/>
        <v>High</v>
      </c>
      <c r="Z1143" s="5" t="str">
        <f>IF(B1143=120,"NULL",IF(AND(V1143="High Stress", W1143="High Risk", Y1143="Low"),"High Risk : Reject", IF(AND(V1143="Healthy", W1143="Good",Y1143&lt;&gt;"Low"), "Low Risk : Approve", "Medium Risk : Review")))</f>
        <v>Low Risk : Approve</v>
      </c>
      <c r="AA1143" s="5" t="str">
        <f t="shared" si="233"/>
        <v>Medium</v>
      </c>
    </row>
    <row r="1144" spans="1:27" x14ac:dyDescent="0.2">
      <c r="A1144">
        <v>23164</v>
      </c>
      <c r="B1144">
        <v>40</v>
      </c>
      <c r="C1144">
        <f t="shared" si="221"/>
        <v>40</v>
      </c>
      <c r="D1144" t="s">
        <v>17</v>
      </c>
      <c r="E1144" t="str">
        <f t="shared" si="222"/>
        <v>Contract</v>
      </c>
      <c r="F1144">
        <v>-1500</v>
      </c>
      <c r="G1144">
        <f>ABS(Table1[[#This Row],[Monthly_Income]])</f>
        <v>1500</v>
      </c>
      <c r="H1144">
        <v>23986.99</v>
      </c>
      <c r="I1144" s="5">
        <f t="shared" si="223"/>
        <v>23986.99</v>
      </c>
      <c r="J1144">
        <v>18</v>
      </c>
      <c r="K1144">
        <v>23.8</v>
      </c>
      <c r="L1144">
        <v>2</v>
      </c>
      <c r="M1144">
        <f t="shared" si="224"/>
        <v>2</v>
      </c>
      <c r="N1144">
        <v>5</v>
      </c>
      <c r="O1144">
        <f t="shared" si="225"/>
        <v>5</v>
      </c>
      <c r="P1144">
        <v>60</v>
      </c>
      <c r="Q1144">
        <f t="shared" si="226"/>
        <v>60</v>
      </c>
      <c r="R1144" t="s">
        <v>15</v>
      </c>
      <c r="S1144" t="str">
        <f t="shared" si="227"/>
        <v xml:space="preserve">Performing </v>
      </c>
      <c r="T1144" t="s">
        <v>22</v>
      </c>
      <c r="U1144" s="3">
        <f t="shared" si="228"/>
        <v>0.88840703703703705</v>
      </c>
      <c r="V1144" t="str">
        <f t="shared" si="229"/>
        <v>High Stress</v>
      </c>
      <c r="W1144" t="str">
        <f t="shared" si="230"/>
        <v>High Risk</v>
      </c>
      <c r="X1144" s="5" t="str">
        <f t="shared" si="231"/>
        <v>Medium</v>
      </c>
      <c r="Y1144" s="5" t="str">
        <f t="shared" si="232"/>
        <v>Low</v>
      </c>
      <c r="Z1144" s="5" t="str">
        <f>IF(B1144=120,"NULL",IF(AND(V1144="High Stress", W1144="High Risk", Y1144="Low"),"High Risk : Reject", IF(AND(V1144="Healthy", W1144="Good",Y1144&lt;&gt;"Low"), "Low Risk : Approve", "Medium Risk : Review")))</f>
        <v>High Risk : Reject</v>
      </c>
      <c r="AA1144" s="5" t="str">
        <f t="shared" si="233"/>
        <v>Low</v>
      </c>
    </row>
    <row r="1145" spans="1:27" x14ac:dyDescent="0.2">
      <c r="A1145">
        <v>25242</v>
      </c>
      <c r="B1145">
        <v>54</v>
      </c>
      <c r="C1145">
        <f t="shared" si="221"/>
        <v>54</v>
      </c>
      <c r="D1145" t="s">
        <v>27</v>
      </c>
      <c r="E1145" t="str">
        <f t="shared" si="222"/>
        <v>Unemployed</v>
      </c>
      <c r="F1145">
        <v>5391.93</v>
      </c>
      <c r="G1145">
        <f>ABS(Table1[[#This Row],[Monthly_Income]])</f>
        <v>5391.93</v>
      </c>
      <c r="H1145">
        <v>22750.97</v>
      </c>
      <c r="I1145" s="5">
        <f t="shared" si="223"/>
        <v>22750.97</v>
      </c>
      <c r="J1145">
        <v>18</v>
      </c>
      <c r="K1145">
        <v>20.04</v>
      </c>
      <c r="L1145">
        <v>1</v>
      </c>
      <c r="M1145">
        <f t="shared" si="224"/>
        <v>1</v>
      </c>
      <c r="N1145">
        <v>-2</v>
      </c>
      <c r="O1145">
        <f t="shared" si="225"/>
        <v>2</v>
      </c>
      <c r="Q1145" t="str">
        <f t="shared" si="226"/>
        <v>NULL</v>
      </c>
      <c r="R1145" t="s">
        <v>20</v>
      </c>
      <c r="S1145" t="str">
        <f t="shared" si="227"/>
        <v>Written Off</v>
      </c>
      <c r="T1145" t="s">
        <v>14</v>
      </c>
      <c r="U1145" s="3">
        <f t="shared" si="228"/>
        <v>0.23441379576103136</v>
      </c>
      <c r="V1145" t="str">
        <f t="shared" si="229"/>
        <v>Healthy</v>
      </c>
      <c r="W1145" t="str">
        <f t="shared" si="230"/>
        <v>NULL</v>
      </c>
      <c r="X1145" s="5" t="str">
        <f t="shared" si="231"/>
        <v>Medium</v>
      </c>
      <c r="Y1145" s="5" t="str">
        <f t="shared" si="232"/>
        <v>Low</v>
      </c>
      <c r="Z1145" s="5" t="str">
        <f>IF(B1145=120,"NULL",IF(AND(V1145="High Stress", W1145="High Risk", Y1145="Low"),"High Risk : Reject", IF(AND(V1145="Healthy", W1145="Good",Y1145&lt;&gt;"Low"), "Low Risk : Approve", "Medium Risk : Review")))</f>
        <v>Medium Risk : Review</v>
      </c>
      <c r="AA1145" s="5" t="str">
        <f t="shared" si="233"/>
        <v>Medium</v>
      </c>
    </row>
    <row r="1146" spans="1:27" x14ac:dyDescent="0.2">
      <c r="A1146">
        <v>20694</v>
      </c>
      <c r="B1146">
        <v>27</v>
      </c>
      <c r="C1146">
        <f t="shared" si="221"/>
        <v>27</v>
      </c>
      <c r="D1146" t="s">
        <v>27</v>
      </c>
      <c r="E1146" t="str">
        <f t="shared" si="222"/>
        <v>Unemployed</v>
      </c>
      <c r="F1146">
        <v>3831.9</v>
      </c>
      <c r="G1146">
        <f>ABS(Table1[[#This Row],[Monthly_Income]])</f>
        <v>3831.9</v>
      </c>
      <c r="H1146">
        <v>4973.08</v>
      </c>
      <c r="I1146" s="5">
        <f t="shared" si="223"/>
        <v>4973.08</v>
      </c>
      <c r="J1146">
        <v>24</v>
      </c>
      <c r="K1146">
        <v>21.6</v>
      </c>
      <c r="L1146">
        <v>3</v>
      </c>
      <c r="M1146">
        <f t="shared" si="224"/>
        <v>3</v>
      </c>
      <c r="N1146">
        <v>4</v>
      </c>
      <c r="O1146">
        <f t="shared" si="225"/>
        <v>4</v>
      </c>
      <c r="P1146">
        <v>0</v>
      </c>
      <c r="Q1146">
        <f t="shared" si="226"/>
        <v>0</v>
      </c>
      <c r="R1146" t="s">
        <v>13</v>
      </c>
      <c r="S1146" t="str">
        <f t="shared" si="227"/>
        <v>Performing</v>
      </c>
      <c r="T1146" t="s">
        <v>14</v>
      </c>
      <c r="U1146" s="3">
        <f t="shared" si="228"/>
        <v>5.4075436902493973E-2</v>
      </c>
      <c r="V1146" t="str">
        <f t="shared" si="229"/>
        <v>Healthy</v>
      </c>
      <c r="W1146" t="str">
        <f t="shared" si="230"/>
        <v>Good</v>
      </c>
      <c r="X1146" s="5" t="str">
        <f t="shared" si="231"/>
        <v>Small</v>
      </c>
      <c r="Y1146" s="5" t="str">
        <f t="shared" si="232"/>
        <v>Low</v>
      </c>
      <c r="Z1146" s="5" t="str">
        <f>IF(B1146=120,"NULL",IF(AND(V1146="High Stress", W1146="High Risk", Y1146="Low"),"High Risk : Reject", IF(AND(V1146="Healthy", W1146="Good",Y1146&lt;&gt;"Low"), "Low Risk : Approve", "Medium Risk : Review")))</f>
        <v>Medium Risk : Review</v>
      </c>
      <c r="AA1146" s="5" t="str">
        <f t="shared" si="233"/>
        <v>Medium</v>
      </c>
    </row>
    <row r="1147" spans="1:27" x14ac:dyDescent="0.2">
      <c r="A1147">
        <v>23858</v>
      </c>
      <c r="B1147">
        <v>40</v>
      </c>
      <c r="C1147">
        <f t="shared" si="221"/>
        <v>40</v>
      </c>
      <c r="D1147" t="s">
        <v>21</v>
      </c>
      <c r="E1147" t="str">
        <f t="shared" si="222"/>
        <v>Salaried</v>
      </c>
      <c r="F1147">
        <v>4670.8500000000004</v>
      </c>
      <c r="G1147">
        <f>ABS(Table1[[#This Row],[Monthly_Income]])</f>
        <v>4670.8500000000004</v>
      </c>
      <c r="H1147">
        <v>21548.66</v>
      </c>
      <c r="I1147" s="5">
        <f t="shared" si="223"/>
        <v>21548.66</v>
      </c>
      <c r="J1147">
        <v>36</v>
      </c>
      <c r="K1147">
        <v>20.32</v>
      </c>
      <c r="L1147">
        <v>2</v>
      </c>
      <c r="M1147">
        <f t="shared" si="224"/>
        <v>2</v>
      </c>
      <c r="N1147">
        <v>4.5999999999999996</v>
      </c>
      <c r="O1147">
        <f t="shared" si="225"/>
        <v>4.5999999999999996</v>
      </c>
      <c r="P1147">
        <v>0</v>
      </c>
      <c r="Q1147">
        <f t="shared" si="226"/>
        <v>0</v>
      </c>
      <c r="R1147" t="s">
        <v>20</v>
      </c>
      <c r="S1147" t="str">
        <f t="shared" si="227"/>
        <v>Written Off</v>
      </c>
      <c r="T1147" t="s">
        <v>19</v>
      </c>
      <c r="U1147" s="3">
        <f t="shared" si="228"/>
        <v>0.12815095515567593</v>
      </c>
      <c r="V1147" t="str">
        <f t="shared" si="229"/>
        <v>Healthy</v>
      </c>
      <c r="W1147" t="str">
        <f t="shared" si="230"/>
        <v>Good</v>
      </c>
      <c r="X1147" s="5" t="str">
        <f t="shared" si="231"/>
        <v>Medium</v>
      </c>
      <c r="Y1147" s="5" t="str">
        <f t="shared" si="232"/>
        <v>High</v>
      </c>
      <c r="Z1147" s="5" t="str">
        <f>IF(B1147=120,"NULL",IF(AND(V1147="High Stress", W1147="High Risk", Y1147="Low"),"High Risk : Reject", IF(AND(V1147="Healthy", W1147="Good",Y1147&lt;&gt;"Low"), "Low Risk : Approve", "Medium Risk : Review")))</f>
        <v>Low Risk : Approve</v>
      </c>
      <c r="AA1147" s="5" t="str">
        <f t="shared" si="233"/>
        <v>Medium</v>
      </c>
    </row>
    <row r="1148" spans="1:27" x14ac:dyDescent="0.2">
      <c r="A1148">
        <v>25143</v>
      </c>
      <c r="B1148">
        <v>47</v>
      </c>
      <c r="C1148">
        <f t="shared" si="221"/>
        <v>47</v>
      </c>
      <c r="D1148" t="s">
        <v>27</v>
      </c>
      <c r="E1148" t="str">
        <f t="shared" si="222"/>
        <v>Unemployed</v>
      </c>
      <c r="F1148">
        <v>4204.37</v>
      </c>
      <c r="G1148">
        <f>ABS(Table1[[#This Row],[Monthly_Income]])</f>
        <v>4204.37</v>
      </c>
      <c r="H1148">
        <v>16622.310000000001</v>
      </c>
      <c r="I1148" s="5">
        <f t="shared" si="223"/>
        <v>16622.310000000001</v>
      </c>
      <c r="J1148">
        <v>18</v>
      </c>
      <c r="K1148">
        <v>17.32</v>
      </c>
      <c r="L1148">
        <v>1</v>
      </c>
      <c r="M1148">
        <f t="shared" si="224"/>
        <v>1</v>
      </c>
      <c r="N1148">
        <v>9.8000000000000007</v>
      </c>
      <c r="O1148">
        <f t="shared" si="225"/>
        <v>9.8000000000000007</v>
      </c>
      <c r="P1148">
        <v>30</v>
      </c>
      <c r="Q1148">
        <f t="shared" si="226"/>
        <v>30</v>
      </c>
      <c r="R1148" t="s">
        <v>18</v>
      </c>
      <c r="S1148" t="str">
        <f t="shared" si="227"/>
        <v>Non-Performing</v>
      </c>
      <c r="T1148" t="s">
        <v>16</v>
      </c>
      <c r="U1148" s="3">
        <f t="shared" si="228"/>
        <v>0.2196432917813291</v>
      </c>
      <c r="V1148" t="str">
        <f t="shared" si="229"/>
        <v>Healthy</v>
      </c>
      <c r="W1148" t="str">
        <f t="shared" si="230"/>
        <v>At Risk</v>
      </c>
      <c r="X1148" s="5" t="str">
        <f t="shared" si="231"/>
        <v>Medium</v>
      </c>
      <c r="Y1148" s="5" t="str">
        <f t="shared" si="232"/>
        <v>Low</v>
      </c>
      <c r="Z1148" s="5" t="str">
        <f>IF(B1148=120,"NULL",IF(AND(V1148="High Stress", W1148="High Risk", Y1148="Low"),"High Risk : Reject", IF(AND(V1148="Healthy", W1148="Good",Y1148&lt;&gt;"Low"), "Low Risk : Approve", "Medium Risk : Review")))</f>
        <v>Medium Risk : Review</v>
      </c>
      <c r="AA1148" s="5" t="str">
        <f t="shared" si="233"/>
        <v>Medium</v>
      </c>
    </row>
    <row r="1149" spans="1:27" x14ac:dyDescent="0.2">
      <c r="A1149">
        <v>24605</v>
      </c>
      <c r="B1149">
        <v>51</v>
      </c>
      <c r="C1149">
        <f t="shared" si="221"/>
        <v>51</v>
      </c>
      <c r="D1149" t="s">
        <v>26</v>
      </c>
      <c r="E1149" t="str">
        <f t="shared" si="222"/>
        <v>Salaried</v>
      </c>
      <c r="F1149">
        <v>7904.17</v>
      </c>
      <c r="G1149">
        <f>ABS(Table1[[#This Row],[Monthly_Income]])</f>
        <v>7904.17</v>
      </c>
      <c r="H1149">
        <v>16719.78</v>
      </c>
      <c r="I1149" s="5">
        <f t="shared" si="223"/>
        <v>16719.78</v>
      </c>
      <c r="J1149">
        <v>24</v>
      </c>
      <c r="K1149">
        <v>12.81</v>
      </c>
      <c r="M1149" t="str">
        <f t="shared" si="224"/>
        <v>NULL</v>
      </c>
      <c r="N1149">
        <v>5.3</v>
      </c>
      <c r="O1149">
        <f t="shared" si="225"/>
        <v>5.3</v>
      </c>
      <c r="Q1149" t="str">
        <f t="shared" si="226"/>
        <v>NULL</v>
      </c>
      <c r="R1149" t="s">
        <v>15</v>
      </c>
      <c r="S1149" t="str">
        <f t="shared" si="227"/>
        <v xml:space="preserve">Performing </v>
      </c>
      <c r="T1149" t="s">
        <v>25</v>
      </c>
      <c r="U1149" s="3">
        <f t="shared" si="228"/>
        <v>8.8137970210660943E-2</v>
      </c>
      <c r="V1149" t="str">
        <f t="shared" si="229"/>
        <v>Healthy</v>
      </c>
      <c r="W1149" t="str">
        <f t="shared" si="230"/>
        <v>NULL</v>
      </c>
      <c r="X1149" s="5" t="str">
        <f t="shared" si="231"/>
        <v>Medium</v>
      </c>
      <c r="Y1149" s="5" t="str">
        <f t="shared" si="232"/>
        <v>High</v>
      </c>
      <c r="Z1149" s="5" t="str">
        <f>IF(B1149=120,"NULL",IF(AND(V1149="High Stress", W1149="High Risk", Y1149="Low"),"High Risk : Reject", IF(AND(V1149="Healthy", W1149="Good",Y1149&lt;&gt;"Low"), "Low Risk : Approve", "Medium Risk : Review")))</f>
        <v>Medium Risk : Review</v>
      </c>
      <c r="AA1149" s="5" t="str">
        <f t="shared" si="233"/>
        <v>Medium</v>
      </c>
    </row>
    <row r="1150" spans="1:27" x14ac:dyDescent="0.2">
      <c r="A1150">
        <v>24188</v>
      </c>
      <c r="B1150">
        <v>21</v>
      </c>
      <c r="C1150">
        <f t="shared" si="221"/>
        <v>21</v>
      </c>
      <c r="D1150" t="s">
        <v>21</v>
      </c>
      <c r="E1150" t="str">
        <f t="shared" si="222"/>
        <v>Salaried</v>
      </c>
      <c r="F1150">
        <v>5293.76</v>
      </c>
      <c r="G1150">
        <f>ABS(Table1[[#This Row],[Monthly_Income]])</f>
        <v>5293.76</v>
      </c>
      <c r="H1150">
        <v>13143.59</v>
      </c>
      <c r="I1150" s="5">
        <f t="shared" si="223"/>
        <v>13143.59</v>
      </c>
      <c r="J1150">
        <v>18</v>
      </c>
      <c r="K1150">
        <v>16.760000000000002</v>
      </c>
      <c r="M1150" t="str">
        <f t="shared" si="224"/>
        <v>NULL</v>
      </c>
      <c r="N1150">
        <v>-0.5</v>
      </c>
      <c r="O1150">
        <f t="shared" si="225"/>
        <v>0.5</v>
      </c>
      <c r="P1150">
        <v>15</v>
      </c>
      <c r="Q1150">
        <f t="shared" si="226"/>
        <v>15</v>
      </c>
      <c r="R1150" t="s">
        <v>13</v>
      </c>
      <c r="S1150" t="str">
        <f t="shared" si="227"/>
        <v>Performing</v>
      </c>
      <c r="T1150" t="s">
        <v>22</v>
      </c>
      <c r="U1150" s="3">
        <f t="shared" si="228"/>
        <v>0.13793588006340379</v>
      </c>
      <c r="V1150" t="str">
        <f t="shared" si="229"/>
        <v>Healthy</v>
      </c>
      <c r="W1150" t="str">
        <f t="shared" si="230"/>
        <v>Good</v>
      </c>
      <c r="X1150" s="5" t="str">
        <f t="shared" si="231"/>
        <v>Medium</v>
      </c>
      <c r="Y1150" s="5" t="str">
        <f t="shared" si="232"/>
        <v>High</v>
      </c>
      <c r="Z1150" s="5" t="str">
        <f>IF(B1150=120,"NULL",IF(AND(V1150="High Stress", W1150="High Risk", Y1150="Low"),"High Risk : Reject", IF(AND(V1150="Healthy", W1150="Good",Y1150&lt;&gt;"Low"), "Low Risk : Approve", "Medium Risk : Review")))</f>
        <v>Low Risk : Approve</v>
      </c>
      <c r="AA1150" s="5" t="str">
        <f t="shared" si="233"/>
        <v>Medium</v>
      </c>
    </row>
    <row r="1151" spans="1:27" x14ac:dyDescent="0.2">
      <c r="A1151">
        <v>25124</v>
      </c>
      <c r="B1151">
        <v>36</v>
      </c>
      <c r="C1151">
        <f t="shared" si="221"/>
        <v>36</v>
      </c>
      <c r="D1151" t="s">
        <v>23</v>
      </c>
      <c r="E1151" t="str">
        <f t="shared" si="222"/>
        <v>Self-Employed</v>
      </c>
      <c r="F1151">
        <v>2263.89</v>
      </c>
      <c r="G1151">
        <f>ABS(Table1[[#This Row],[Monthly_Income]])</f>
        <v>2263.89</v>
      </c>
      <c r="H1151">
        <v>27454.53</v>
      </c>
      <c r="I1151" s="5">
        <f t="shared" si="223"/>
        <v>27454.53</v>
      </c>
      <c r="J1151">
        <v>12</v>
      </c>
      <c r="K1151">
        <v>16.25</v>
      </c>
      <c r="L1151">
        <v>2</v>
      </c>
      <c r="M1151">
        <f t="shared" si="224"/>
        <v>2</v>
      </c>
      <c r="N1151">
        <v>8</v>
      </c>
      <c r="O1151">
        <f t="shared" si="225"/>
        <v>8</v>
      </c>
      <c r="P1151">
        <v>60</v>
      </c>
      <c r="Q1151">
        <f t="shared" si="226"/>
        <v>60</v>
      </c>
      <c r="R1151" t="s">
        <v>20</v>
      </c>
      <c r="S1151" t="str">
        <f t="shared" si="227"/>
        <v>Written Off</v>
      </c>
      <c r="T1151" t="s">
        <v>19</v>
      </c>
      <c r="U1151" s="3">
        <f t="shared" si="228"/>
        <v>1.0105957003211286</v>
      </c>
      <c r="V1151" t="str">
        <f t="shared" si="229"/>
        <v>High Stress</v>
      </c>
      <c r="W1151" t="str">
        <f t="shared" si="230"/>
        <v>High Risk</v>
      </c>
      <c r="X1151" s="5" t="str">
        <f t="shared" si="231"/>
        <v>Medium</v>
      </c>
      <c r="Y1151" s="5" t="str">
        <f t="shared" si="232"/>
        <v>Medium</v>
      </c>
      <c r="Z1151" s="5" t="str">
        <f>IF(B1151=120,"NULL",IF(AND(V1151="High Stress", W1151="High Risk", Y1151="Low"),"High Risk : Reject", IF(AND(V1151="Healthy", W1151="Good",Y1151&lt;&gt;"Low"), "Low Risk : Approve", "Medium Risk : Review")))</f>
        <v>Medium Risk : Review</v>
      </c>
      <c r="AA1151" s="5" t="str">
        <f t="shared" si="233"/>
        <v>Medium</v>
      </c>
    </row>
    <row r="1152" spans="1:27" x14ac:dyDescent="0.2">
      <c r="A1152">
        <v>24302</v>
      </c>
      <c r="B1152">
        <v>31</v>
      </c>
      <c r="C1152">
        <f t="shared" si="221"/>
        <v>31</v>
      </c>
      <c r="D1152" t="s">
        <v>17</v>
      </c>
      <c r="E1152" t="str">
        <f t="shared" si="222"/>
        <v>Contract</v>
      </c>
      <c r="F1152">
        <v>5112.05</v>
      </c>
      <c r="G1152">
        <f>ABS(Table1[[#This Row],[Monthly_Income]])</f>
        <v>5112.05</v>
      </c>
      <c r="H1152">
        <v>29657.7</v>
      </c>
      <c r="I1152" s="5">
        <f t="shared" si="223"/>
        <v>29657.7</v>
      </c>
      <c r="J1152">
        <v>60</v>
      </c>
      <c r="K1152">
        <v>7.82</v>
      </c>
      <c r="L1152">
        <v>0</v>
      </c>
      <c r="M1152">
        <f t="shared" si="224"/>
        <v>0</v>
      </c>
      <c r="N1152">
        <v>6.1</v>
      </c>
      <c r="O1152">
        <f t="shared" si="225"/>
        <v>6.1</v>
      </c>
      <c r="P1152">
        <v>15</v>
      </c>
      <c r="Q1152">
        <f t="shared" si="226"/>
        <v>15</v>
      </c>
      <c r="R1152" t="s">
        <v>13</v>
      </c>
      <c r="S1152" t="str">
        <f t="shared" si="227"/>
        <v>Performing</v>
      </c>
      <c r="T1152" t="s">
        <v>25</v>
      </c>
      <c r="U1152" s="3">
        <f t="shared" si="228"/>
        <v>9.6692129380581179E-2</v>
      </c>
      <c r="V1152" t="str">
        <f t="shared" si="229"/>
        <v>Healthy</v>
      </c>
      <c r="W1152" t="str">
        <f t="shared" si="230"/>
        <v>Good</v>
      </c>
      <c r="X1152" s="5" t="str">
        <f t="shared" si="231"/>
        <v>Medium</v>
      </c>
      <c r="Y1152" s="5" t="str">
        <f t="shared" si="232"/>
        <v>Low</v>
      </c>
      <c r="Z1152" s="5" t="str">
        <f>IF(B1152=120,"NULL",IF(AND(V1152="High Stress", W1152="High Risk", Y1152="Low"),"High Risk : Reject", IF(AND(V1152="Healthy", W1152="Good",Y1152&lt;&gt;"Low"), "Low Risk : Approve", "Medium Risk : Review")))</f>
        <v>Medium Risk : Review</v>
      </c>
      <c r="AA1152" s="5" t="str">
        <f t="shared" si="233"/>
        <v>Medium</v>
      </c>
    </row>
    <row r="1153" spans="1:27" x14ac:dyDescent="0.2">
      <c r="A1153">
        <v>23658</v>
      </c>
      <c r="B1153">
        <v>42</v>
      </c>
      <c r="C1153">
        <f t="shared" si="221"/>
        <v>42</v>
      </c>
      <c r="D1153" t="s">
        <v>23</v>
      </c>
      <c r="E1153" t="str">
        <f t="shared" si="222"/>
        <v>Self-Employed</v>
      </c>
      <c r="F1153">
        <v>4613.13</v>
      </c>
      <c r="G1153">
        <f>ABS(Table1[[#This Row],[Monthly_Income]])</f>
        <v>4613.13</v>
      </c>
      <c r="H1153">
        <v>21261.38</v>
      </c>
      <c r="I1153" s="5">
        <f t="shared" si="223"/>
        <v>21261.38</v>
      </c>
      <c r="J1153">
        <v>24</v>
      </c>
      <c r="K1153">
        <v>18.149999999999999</v>
      </c>
      <c r="L1153">
        <v>0</v>
      </c>
      <c r="M1153">
        <f t="shared" si="224"/>
        <v>0</v>
      </c>
      <c r="N1153">
        <v>3.8</v>
      </c>
      <c r="O1153">
        <f t="shared" si="225"/>
        <v>3.8</v>
      </c>
      <c r="P1153">
        <v>0</v>
      </c>
      <c r="Q1153">
        <f t="shared" si="226"/>
        <v>0</v>
      </c>
      <c r="R1153" t="s">
        <v>15</v>
      </c>
      <c r="S1153" t="str">
        <f t="shared" si="227"/>
        <v xml:space="preserve">Performing </v>
      </c>
      <c r="T1153" t="s">
        <v>22</v>
      </c>
      <c r="U1153" s="3">
        <f t="shared" si="228"/>
        <v>0.19203682387735299</v>
      </c>
      <c r="V1153" t="str">
        <f t="shared" si="229"/>
        <v>Healthy</v>
      </c>
      <c r="W1153" t="str">
        <f t="shared" si="230"/>
        <v>Good</v>
      </c>
      <c r="X1153" s="5" t="str">
        <f t="shared" si="231"/>
        <v>Medium</v>
      </c>
      <c r="Y1153" s="5" t="str">
        <f t="shared" si="232"/>
        <v>Medium</v>
      </c>
      <c r="Z1153" s="5" t="str">
        <f>IF(B1153=120,"NULL",IF(AND(V1153="High Stress", W1153="High Risk", Y1153="Low"),"High Risk : Reject", IF(AND(V1153="Healthy", W1153="Good",Y1153&lt;&gt;"Low"), "Low Risk : Approve", "Medium Risk : Review")))</f>
        <v>Low Risk : Approve</v>
      </c>
      <c r="AA1153" s="5" t="str">
        <f t="shared" si="233"/>
        <v>Medium</v>
      </c>
    </row>
    <row r="1154" spans="1:27" x14ac:dyDescent="0.2">
      <c r="A1154">
        <v>22010</v>
      </c>
      <c r="B1154">
        <v>25</v>
      </c>
      <c r="C1154">
        <f t="shared" ref="C1154:C1217" si="234">IF(B1154=120,"NULL",B1154)</f>
        <v>25</v>
      </c>
      <c r="D1154" t="s">
        <v>23</v>
      </c>
      <c r="E1154" t="str">
        <f t="shared" ref="E1154:E1201" si="235">TRIM(IF(D1154="Self employed","Self-Employed",D1154))</f>
        <v>Self-Employed</v>
      </c>
      <c r="F1154">
        <v>4859.0200000000004</v>
      </c>
      <c r="G1154">
        <f>ABS(Table1[[#This Row],[Monthly_Income]])</f>
        <v>4859.0200000000004</v>
      </c>
      <c r="H1154">
        <v>40681.54</v>
      </c>
      <c r="I1154" s="5">
        <f t="shared" ref="I1154:I1201" si="236">IF(H1154="","NULL",ABS(H1154))</f>
        <v>40681.54</v>
      </c>
      <c r="J1154">
        <v>60</v>
      </c>
      <c r="K1154">
        <v>14.48</v>
      </c>
      <c r="M1154" t="str">
        <f t="shared" ref="M1154:M1201" si="237">IF(L1154="","NULL",L1154)</f>
        <v>NULL</v>
      </c>
      <c r="N1154">
        <v>8.1999999999999993</v>
      </c>
      <c r="O1154">
        <f t="shared" ref="O1154:O1201" si="238">IF(N1154="","NULL",ABS(N1154))</f>
        <v>8.1999999999999993</v>
      </c>
      <c r="P1154">
        <v>0</v>
      </c>
      <c r="Q1154">
        <f t="shared" ref="Q1154:Q1201" si="239">IF(P1154="","NULL",P1154)</f>
        <v>0</v>
      </c>
      <c r="R1154" t="s">
        <v>24</v>
      </c>
      <c r="S1154" t="str">
        <f t="shared" ref="S1154:S1201" si="240">IF(R1154="Non performing","Non-Performing",R1154)</f>
        <v>Non-Performing</v>
      </c>
      <c r="T1154" t="s">
        <v>16</v>
      </c>
      <c r="U1154" s="3">
        <f t="shared" ref="U1154:U1201" si="241">IFERROR(I1154/(G1154*J1154),"NULL")</f>
        <v>0.13953959165977228</v>
      </c>
      <c r="V1154" t="str">
        <f t="shared" ref="V1154:V1201" si="242">IF(U1154="NULL","NULL",IF(U1154&lt;=0.3,"Healthy",IF(U1154&lt;=0.45,"Stretched","High Stress")))</f>
        <v>Healthy</v>
      </c>
      <c r="W1154" t="str">
        <f t="shared" ref="W1154:W1201" si="243">IF(Q1154="NULL","NULL",IF(Q1154&lt;30,"Good",IF(Q1154&lt;60,"At Risk","High Risk")))</f>
        <v>Good</v>
      </c>
      <c r="X1154" s="5" t="str">
        <f t="shared" ref="X1154:X1201" si="244">IF(I1154&lt;10000,"Small",IF(I1154&lt;=30000,"Medium","High"))</f>
        <v>High</v>
      </c>
      <c r="Y1154" s="5" t="str">
        <f t="shared" ref="Y1154:Y1201" si="245">IF(E1154="Salaried","High",IF(E1154="Self-Employed","Medium","Low"))</f>
        <v>Medium</v>
      </c>
      <c r="Z1154" s="5" t="str">
        <f>IF(B1154=120,"NULL",IF(AND(V1154="High Stress", W1154="High Risk", Y1154="Low"),"High Risk : Reject", IF(AND(V1154="Healthy", W1154="Good",Y1154&lt;&gt;"Low"), "Low Risk : Approve", "Medium Risk : Review")))</f>
        <v>Low Risk : Approve</v>
      </c>
      <c r="AA1154" s="5" t="str">
        <f t="shared" ref="AA1154:AA1201" si="246">IF(G1154="NULL","NULL",IF(G1154&gt;8000,"High",IF(G1154&gt;2000,"Medium","Low")))</f>
        <v>Medium</v>
      </c>
    </row>
    <row r="1155" spans="1:27" x14ac:dyDescent="0.2">
      <c r="A1155">
        <v>23662</v>
      </c>
      <c r="B1155">
        <v>22</v>
      </c>
      <c r="C1155">
        <f t="shared" si="234"/>
        <v>22</v>
      </c>
      <c r="D1155" t="s">
        <v>21</v>
      </c>
      <c r="E1155" t="str">
        <f t="shared" si="235"/>
        <v>Salaried</v>
      </c>
      <c r="F1155">
        <v>5235.97</v>
      </c>
      <c r="G1155">
        <f>ABS(Table1[[#This Row],[Monthly_Income]])</f>
        <v>5235.97</v>
      </c>
      <c r="H1155">
        <v>24297.34</v>
      </c>
      <c r="I1155" s="5">
        <f t="shared" si="236"/>
        <v>24297.34</v>
      </c>
      <c r="J1155">
        <v>60</v>
      </c>
      <c r="K1155">
        <v>21.03</v>
      </c>
      <c r="L1155">
        <v>2</v>
      </c>
      <c r="M1155">
        <f t="shared" si="237"/>
        <v>2</v>
      </c>
      <c r="N1155">
        <v>6.2</v>
      </c>
      <c r="O1155">
        <f t="shared" si="238"/>
        <v>6.2</v>
      </c>
      <c r="P1155">
        <v>0</v>
      </c>
      <c r="Q1155">
        <f t="shared" si="239"/>
        <v>0</v>
      </c>
      <c r="R1155" t="s">
        <v>24</v>
      </c>
      <c r="S1155" t="str">
        <f t="shared" si="240"/>
        <v>Non-Performing</v>
      </c>
      <c r="T1155" t="s">
        <v>25</v>
      </c>
      <c r="U1155" s="3">
        <f t="shared" si="241"/>
        <v>7.7341097574406784E-2</v>
      </c>
      <c r="V1155" t="str">
        <f t="shared" si="242"/>
        <v>Healthy</v>
      </c>
      <c r="W1155" t="str">
        <f t="shared" si="243"/>
        <v>Good</v>
      </c>
      <c r="X1155" s="5" t="str">
        <f t="shared" si="244"/>
        <v>Medium</v>
      </c>
      <c r="Y1155" s="5" t="str">
        <f t="shared" si="245"/>
        <v>High</v>
      </c>
      <c r="Z1155" s="5" t="str">
        <f>IF(B1155=120,"NULL",IF(AND(V1155="High Stress", W1155="High Risk", Y1155="Low"),"High Risk : Reject", IF(AND(V1155="Healthy", W1155="Good",Y1155&lt;&gt;"Low"), "Low Risk : Approve", "Medium Risk : Review")))</f>
        <v>Low Risk : Approve</v>
      </c>
      <c r="AA1155" s="5" t="str">
        <f t="shared" si="246"/>
        <v>Medium</v>
      </c>
    </row>
    <row r="1156" spans="1:27" x14ac:dyDescent="0.2">
      <c r="A1156">
        <v>21834</v>
      </c>
      <c r="B1156">
        <v>18</v>
      </c>
      <c r="C1156">
        <f t="shared" si="234"/>
        <v>18</v>
      </c>
      <c r="D1156" t="s">
        <v>21</v>
      </c>
      <c r="E1156" t="str">
        <f t="shared" si="235"/>
        <v>Salaried</v>
      </c>
      <c r="F1156">
        <v>657.99</v>
      </c>
      <c r="G1156">
        <f>ABS(Table1[[#This Row],[Monthly_Income]])</f>
        <v>657.99</v>
      </c>
      <c r="H1156">
        <v>24797.56</v>
      </c>
      <c r="I1156" s="5">
        <f t="shared" si="236"/>
        <v>24797.56</v>
      </c>
      <c r="J1156">
        <v>48</v>
      </c>
      <c r="K1156">
        <v>16.04</v>
      </c>
      <c r="L1156">
        <v>2</v>
      </c>
      <c r="M1156">
        <f t="shared" si="237"/>
        <v>2</v>
      </c>
      <c r="N1156">
        <v>8.6</v>
      </c>
      <c r="O1156">
        <f t="shared" si="238"/>
        <v>8.6</v>
      </c>
      <c r="P1156">
        <v>90</v>
      </c>
      <c r="Q1156">
        <f t="shared" si="239"/>
        <v>90</v>
      </c>
      <c r="R1156" t="s">
        <v>24</v>
      </c>
      <c r="S1156" t="str">
        <f t="shared" si="240"/>
        <v>Non-Performing</v>
      </c>
      <c r="T1156" t="s">
        <v>14</v>
      </c>
      <c r="U1156" s="3">
        <f t="shared" si="241"/>
        <v>0.78514237805032505</v>
      </c>
      <c r="V1156" t="str">
        <f t="shared" si="242"/>
        <v>High Stress</v>
      </c>
      <c r="W1156" t="str">
        <f t="shared" si="243"/>
        <v>High Risk</v>
      </c>
      <c r="X1156" s="5" t="str">
        <f t="shared" si="244"/>
        <v>Medium</v>
      </c>
      <c r="Y1156" s="5" t="str">
        <f t="shared" si="245"/>
        <v>High</v>
      </c>
      <c r="Z1156" s="5" t="str">
        <f>IF(B1156=120,"NULL",IF(AND(V1156="High Stress", W1156="High Risk", Y1156="Low"),"High Risk : Reject", IF(AND(V1156="Healthy", W1156="Good",Y1156&lt;&gt;"Low"), "Low Risk : Approve", "Medium Risk : Review")))</f>
        <v>Medium Risk : Review</v>
      </c>
      <c r="AA1156" s="5" t="str">
        <f t="shared" si="246"/>
        <v>Low</v>
      </c>
    </row>
    <row r="1157" spans="1:27" x14ac:dyDescent="0.2">
      <c r="A1157">
        <v>21481</v>
      </c>
      <c r="B1157">
        <v>120</v>
      </c>
      <c r="C1157" t="str">
        <f t="shared" si="234"/>
        <v>NULL</v>
      </c>
      <c r="D1157" t="s">
        <v>27</v>
      </c>
      <c r="E1157" t="str">
        <f t="shared" si="235"/>
        <v>Unemployed</v>
      </c>
      <c r="F1157">
        <v>5905.57</v>
      </c>
      <c r="G1157">
        <f>ABS(Table1[[#This Row],[Monthly_Income]])</f>
        <v>5905.57</v>
      </c>
      <c r="H1157">
        <v>22992.83</v>
      </c>
      <c r="I1157" s="5">
        <f t="shared" si="236"/>
        <v>22992.83</v>
      </c>
      <c r="J1157">
        <v>12</v>
      </c>
      <c r="K1157">
        <v>18.8</v>
      </c>
      <c r="L1157">
        <v>0</v>
      </c>
      <c r="M1157">
        <f t="shared" si="237"/>
        <v>0</v>
      </c>
      <c r="N1157">
        <v>6.7</v>
      </c>
      <c r="O1157">
        <f t="shared" si="238"/>
        <v>6.7</v>
      </c>
      <c r="P1157">
        <v>0</v>
      </c>
      <c r="Q1157">
        <f t="shared" si="239"/>
        <v>0</v>
      </c>
      <c r="R1157" t="s">
        <v>24</v>
      </c>
      <c r="S1157" t="str">
        <f t="shared" si="240"/>
        <v>Non-Performing</v>
      </c>
      <c r="T1157" t="s">
        <v>16</v>
      </c>
      <c r="U1157" s="3">
        <f t="shared" si="241"/>
        <v>0.32445118196324263</v>
      </c>
      <c r="V1157" t="str">
        <f t="shared" si="242"/>
        <v>Stretched</v>
      </c>
      <c r="W1157" t="str">
        <f t="shared" si="243"/>
        <v>Good</v>
      </c>
      <c r="X1157" s="5" t="str">
        <f t="shared" si="244"/>
        <v>Medium</v>
      </c>
      <c r="Y1157" s="5" t="str">
        <f t="shared" si="245"/>
        <v>Low</v>
      </c>
      <c r="Z1157" s="5" t="str">
        <f>IF(B1157=120,"NULL",IF(AND(V1157="High Stress", W1157="High Risk", Y1157="Low"),"High Risk : Reject", IF(AND(V1157="Healthy", W1157="Good",Y1157&lt;&gt;"Low"), "Low Risk : Approve", "Medium Risk : Review")))</f>
        <v>NULL</v>
      </c>
      <c r="AA1157" s="5" t="str">
        <f t="shared" si="246"/>
        <v>Medium</v>
      </c>
    </row>
    <row r="1158" spans="1:27" x14ac:dyDescent="0.2">
      <c r="A1158">
        <v>23559</v>
      </c>
      <c r="B1158">
        <v>63</v>
      </c>
      <c r="C1158">
        <f t="shared" si="234"/>
        <v>63</v>
      </c>
      <c r="D1158" t="s">
        <v>23</v>
      </c>
      <c r="E1158" t="str">
        <f t="shared" si="235"/>
        <v>Self-Employed</v>
      </c>
      <c r="F1158">
        <v>8393.07</v>
      </c>
      <c r="G1158">
        <f>ABS(Table1[[#This Row],[Monthly_Income]])</f>
        <v>8393.07</v>
      </c>
      <c r="H1158">
        <v>12076.81</v>
      </c>
      <c r="I1158" s="5">
        <f t="shared" si="236"/>
        <v>12076.81</v>
      </c>
      <c r="J1158">
        <v>12</v>
      </c>
      <c r="K1158">
        <v>25.99</v>
      </c>
      <c r="L1158">
        <v>1</v>
      </c>
      <c r="M1158">
        <f t="shared" si="237"/>
        <v>1</v>
      </c>
      <c r="N1158">
        <v>5</v>
      </c>
      <c r="O1158">
        <f t="shared" si="238"/>
        <v>5</v>
      </c>
      <c r="P1158">
        <v>15</v>
      </c>
      <c r="Q1158">
        <f t="shared" si="239"/>
        <v>15</v>
      </c>
      <c r="R1158" t="s">
        <v>15</v>
      </c>
      <c r="S1158" t="str">
        <f t="shared" si="240"/>
        <v xml:space="preserve">Performing </v>
      </c>
      <c r="T1158" t="s">
        <v>14</v>
      </c>
      <c r="U1158" s="3">
        <f t="shared" si="241"/>
        <v>0.11990854756761629</v>
      </c>
      <c r="V1158" t="str">
        <f t="shared" si="242"/>
        <v>Healthy</v>
      </c>
      <c r="W1158" t="str">
        <f t="shared" si="243"/>
        <v>Good</v>
      </c>
      <c r="X1158" s="5" t="str">
        <f t="shared" si="244"/>
        <v>Medium</v>
      </c>
      <c r="Y1158" s="5" t="str">
        <f t="shared" si="245"/>
        <v>Medium</v>
      </c>
      <c r="Z1158" s="5" t="str">
        <f>IF(B1158=120,"NULL",IF(AND(V1158="High Stress", W1158="High Risk", Y1158="Low"),"High Risk : Reject", IF(AND(V1158="Healthy", W1158="Good",Y1158&lt;&gt;"Low"), "Low Risk : Approve", "Medium Risk : Review")))</f>
        <v>Low Risk : Approve</v>
      </c>
      <c r="AA1158" s="5" t="str">
        <f t="shared" si="246"/>
        <v>High</v>
      </c>
    </row>
    <row r="1159" spans="1:27" x14ac:dyDescent="0.2">
      <c r="A1159">
        <v>25589</v>
      </c>
      <c r="B1159">
        <v>31</v>
      </c>
      <c r="C1159">
        <f t="shared" si="234"/>
        <v>31</v>
      </c>
      <c r="D1159" t="s">
        <v>27</v>
      </c>
      <c r="E1159" t="str">
        <f t="shared" si="235"/>
        <v>Unemployed</v>
      </c>
      <c r="F1159">
        <v>7508.77</v>
      </c>
      <c r="G1159">
        <f>ABS(Table1[[#This Row],[Monthly_Income]])</f>
        <v>7508.77</v>
      </c>
      <c r="H1159">
        <v>22454.27</v>
      </c>
      <c r="I1159" s="5">
        <f t="shared" si="236"/>
        <v>22454.27</v>
      </c>
      <c r="J1159">
        <v>24</v>
      </c>
      <c r="K1159">
        <v>16.600000000000001</v>
      </c>
      <c r="L1159">
        <v>4</v>
      </c>
      <c r="M1159">
        <f t="shared" si="237"/>
        <v>4</v>
      </c>
      <c r="N1159">
        <v>10.1</v>
      </c>
      <c r="O1159">
        <f t="shared" si="238"/>
        <v>10.1</v>
      </c>
      <c r="P1159">
        <v>15</v>
      </c>
      <c r="Q1159">
        <f t="shared" si="239"/>
        <v>15</v>
      </c>
      <c r="R1159" t="s">
        <v>18</v>
      </c>
      <c r="S1159" t="str">
        <f t="shared" si="240"/>
        <v>Non-Performing</v>
      </c>
      <c r="T1159" t="s">
        <v>22</v>
      </c>
      <c r="U1159" s="3">
        <f t="shared" si="241"/>
        <v>0.12460024522436208</v>
      </c>
      <c r="V1159" t="str">
        <f t="shared" si="242"/>
        <v>Healthy</v>
      </c>
      <c r="W1159" t="str">
        <f t="shared" si="243"/>
        <v>Good</v>
      </c>
      <c r="X1159" s="5" t="str">
        <f t="shared" si="244"/>
        <v>Medium</v>
      </c>
      <c r="Y1159" s="5" t="str">
        <f t="shared" si="245"/>
        <v>Low</v>
      </c>
      <c r="Z1159" s="5" t="str">
        <f>IF(B1159=120,"NULL",IF(AND(V1159="High Stress", W1159="High Risk", Y1159="Low"),"High Risk : Reject", IF(AND(V1159="Healthy", W1159="Good",Y1159&lt;&gt;"Low"), "Low Risk : Approve", "Medium Risk : Review")))</f>
        <v>Medium Risk : Review</v>
      </c>
      <c r="AA1159" s="5" t="str">
        <f t="shared" si="246"/>
        <v>Medium</v>
      </c>
    </row>
    <row r="1160" spans="1:27" x14ac:dyDescent="0.2">
      <c r="A1160">
        <v>25279</v>
      </c>
      <c r="B1160">
        <v>39</v>
      </c>
      <c r="C1160">
        <f t="shared" si="234"/>
        <v>39</v>
      </c>
      <c r="D1160" t="s">
        <v>27</v>
      </c>
      <c r="E1160" t="str">
        <f t="shared" si="235"/>
        <v>Unemployed</v>
      </c>
      <c r="F1160">
        <v>7654.32</v>
      </c>
      <c r="G1160">
        <f>ABS(Table1[[#This Row],[Monthly_Income]])</f>
        <v>7654.32</v>
      </c>
      <c r="H1160">
        <v>21188.75</v>
      </c>
      <c r="I1160" s="5">
        <f t="shared" si="236"/>
        <v>21188.75</v>
      </c>
      <c r="J1160">
        <v>48</v>
      </c>
      <c r="K1160">
        <v>15.81</v>
      </c>
      <c r="L1160">
        <v>1</v>
      </c>
      <c r="M1160">
        <f t="shared" si="237"/>
        <v>1</v>
      </c>
      <c r="N1160">
        <v>7</v>
      </c>
      <c r="O1160">
        <f t="shared" si="238"/>
        <v>7</v>
      </c>
      <c r="P1160">
        <v>120</v>
      </c>
      <c r="Q1160">
        <f t="shared" si="239"/>
        <v>120</v>
      </c>
      <c r="R1160" t="s">
        <v>24</v>
      </c>
      <c r="S1160" t="str">
        <f t="shared" si="240"/>
        <v>Non-Performing</v>
      </c>
      <c r="T1160" t="s">
        <v>14</v>
      </c>
      <c r="U1160" s="3">
        <f t="shared" si="241"/>
        <v>5.7671000384967794E-2</v>
      </c>
      <c r="V1160" t="str">
        <f t="shared" si="242"/>
        <v>Healthy</v>
      </c>
      <c r="W1160" t="str">
        <f t="shared" si="243"/>
        <v>High Risk</v>
      </c>
      <c r="X1160" s="5" t="str">
        <f t="shared" si="244"/>
        <v>Medium</v>
      </c>
      <c r="Y1160" s="5" t="str">
        <f t="shared" si="245"/>
        <v>Low</v>
      </c>
      <c r="Z1160" s="5" t="str">
        <f>IF(B1160=120,"NULL",IF(AND(V1160="High Stress", W1160="High Risk", Y1160="Low"),"High Risk : Reject", IF(AND(V1160="Healthy", W1160="Good",Y1160&lt;&gt;"Low"), "Low Risk : Approve", "Medium Risk : Review")))</f>
        <v>Medium Risk : Review</v>
      </c>
      <c r="AA1160" s="5" t="str">
        <f t="shared" si="246"/>
        <v>Medium</v>
      </c>
    </row>
    <row r="1161" spans="1:27" x14ac:dyDescent="0.2">
      <c r="A1161">
        <v>25736</v>
      </c>
      <c r="B1161">
        <v>51</v>
      </c>
      <c r="C1161">
        <f t="shared" si="234"/>
        <v>51</v>
      </c>
      <c r="D1161" t="s">
        <v>26</v>
      </c>
      <c r="E1161" t="str">
        <f t="shared" si="235"/>
        <v>Salaried</v>
      </c>
      <c r="F1161">
        <v>6202.2</v>
      </c>
      <c r="G1161">
        <f>ABS(Table1[[#This Row],[Monthly_Income]])</f>
        <v>6202.2</v>
      </c>
      <c r="H1161">
        <v>20159.009999999998</v>
      </c>
      <c r="I1161" s="5">
        <f t="shared" si="236"/>
        <v>20159.009999999998</v>
      </c>
      <c r="J1161">
        <v>60</v>
      </c>
      <c r="K1161">
        <v>17.399999999999999</v>
      </c>
      <c r="L1161">
        <v>3</v>
      </c>
      <c r="M1161">
        <f t="shared" si="237"/>
        <v>3</v>
      </c>
      <c r="N1161">
        <v>12.6</v>
      </c>
      <c r="O1161">
        <f t="shared" si="238"/>
        <v>12.6</v>
      </c>
      <c r="P1161">
        <v>0</v>
      </c>
      <c r="Q1161">
        <f t="shared" si="239"/>
        <v>0</v>
      </c>
      <c r="R1161" t="s">
        <v>13</v>
      </c>
      <c r="S1161" t="str">
        <f t="shared" si="240"/>
        <v>Performing</v>
      </c>
      <c r="T1161" t="s">
        <v>19</v>
      </c>
      <c r="U1161" s="3">
        <f t="shared" si="241"/>
        <v>5.4171664893102441E-2</v>
      </c>
      <c r="V1161" t="str">
        <f t="shared" si="242"/>
        <v>Healthy</v>
      </c>
      <c r="W1161" t="str">
        <f t="shared" si="243"/>
        <v>Good</v>
      </c>
      <c r="X1161" s="5" t="str">
        <f t="shared" si="244"/>
        <v>Medium</v>
      </c>
      <c r="Y1161" s="5" t="str">
        <f t="shared" si="245"/>
        <v>High</v>
      </c>
      <c r="Z1161" s="5" t="str">
        <f>IF(B1161=120,"NULL",IF(AND(V1161="High Stress", W1161="High Risk", Y1161="Low"),"High Risk : Reject", IF(AND(V1161="Healthy", W1161="Good",Y1161&lt;&gt;"Low"), "Low Risk : Approve", "Medium Risk : Review")))</f>
        <v>Low Risk : Approve</v>
      </c>
      <c r="AA1161" s="5" t="str">
        <f t="shared" si="246"/>
        <v>Medium</v>
      </c>
    </row>
    <row r="1162" spans="1:27" x14ac:dyDescent="0.2">
      <c r="A1162">
        <v>22325</v>
      </c>
      <c r="B1162">
        <v>61</v>
      </c>
      <c r="C1162">
        <f t="shared" si="234"/>
        <v>61</v>
      </c>
      <c r="D1162" t="s">
        <v>21</v>
      </c>
      <c r="E1162" t="str">
        <f t="shared" si="235"/>
        <v>Salaried</v>
      </c>
      <c r="F1162">
        <v>10390.36</v>
      </c>
      <c r="G1162">
        <f>ABS(Table1[[#This Row],[Monthly_Income]])</f>
        <v>10390.36</v>
      </c>
      <c r="H1162">
        <v>16076.25</v>
      </c>
      <c r="I1162" s="5">
        <f t="shared" si="236"/>
        <v>16076.25</v>
      </c>
      <c r="J1162">
        <v>36</v>
      </c>
      <c r="K1162">
        <v>8.4</v>
      </c>
      <c r="L1162">
        <v>3</v>
      </c>
      <c r="M1162">
        <f t="shared" si="237"/>
        <v>3</v>
      </c>
      <c r="N1162">
        <v>10.199999999999999</v>
      </c>
      <c r="O1162">
        <f t="shared" si="238"/>
        <v>10.199999999999999</v>
      </c>
      <c r="P1162">
        <v>90</v>
      </c>
      <c r="Q1162">
        <f t="shared" si="239"/>
        <v>90</v>
      </c>
      <c r="R1162" t="s">
        <v>24</v>
      </c>
      <c r="S1162" t="str">
        <f t="shared" si="240"/>
        <v>Non-Performing</v>
      </c>
      <c r="T1162" t="s">
        <v>14</v>
      </c>
      <c r="U1162" s="3">
        <f t="shared" si="241"/>
        <v>4.2978539723358959E-2</v>
      </c>
      <c r="V1162" t="str">
        <f t="shared" si="242"/>
        <v>Healthy</v>
      </c>
      <c r="W1162" t="str">
        <f t="shared" si="243"/>
        <v>High Risk</v>
      </c>
      <c r="X1162" s="5" t="str">
        <f t="shared" si="244"/>
        <v>Medium</v>
      </c>
      <c r="Y1162" s="5" t="str">
        <f t="shared" si="245"/>
        <v>High</v>
      </c>
      <c r="Z1162" s="5" t="str">
        <f>IF(B1162=120,"NULL",IF(AND(V1162="High Stress", W1162="High Risk", Y1162="Low"),"High Risk : Reject", IF(AND(V1162="Healthy", W1162="Good",Y1162&lt;&gt;"Low"), "Low Risk : Approve", "Medium Risk : Review")))</f>
        <v>Medium Risk : Review</v>
      </c>
      <c r="AA1162" s="5" t="str">
        <f t="shared" si="246"/>
        <v>High</v>
      </c>
    </row>
    <row r="1163" spans="1:27" x14ac:dyDescent="0.2">
      <c r="A1163">
        <v>23305</v>
      </c>
      <c r="B1163">
        <v>60</v>
      </c>
      <c r="C1163">
        <f t="shared" si="234"/>
        <v>60</v>
      </c>
      <c r="D1163" t="s">
        <v>27</v>
      </c>
      <c r="E1163" t="str">
        <f t="shared" si="235"/>
        <v>Unemployed</v>
      </c>
      <c r="F1163">
        <v>7604.95</v>
      </c>
      <c r="G1163">
        <f>ABS(Table1[[#This Row],[Monthly_Income]])</f>
        <v>7604.95</v>
      </c>
      <c r="H1163">
        <v>29575.7</v>
      </c>
      <c r="I1163" s="5">
        <f t="shared" si="236"/>
        <v>29575.7</v>
      </c>
      <c r="J1163">
        <v>60</v>
      </c>
      <c r="K1163">
        <v>14.91</v>
      </c>
      <c r="L1163">
        <v>2</v>
      </c>
      <c r="M1163">
        <f t="shared" si="237"/>
        <v>2</v>
      </c>
      <c r="N1163">
        <v>8.3000000000000007</v>
      </c>
      <c r="O1163">
        <f t="shared" si="238"/>
        <v>8.3000000000000007</v>
      </c>
      <c r="P1163">
        <v>30</v>
      </c>
      <c r="Q1163">
        <f t="shared" si="239"/>
        <v>30</v>
      </c>
      <c r="R1163" t="s">
        <v>15</v>
      </c>
      <c r="S1163" t="str">
        <f t="shared" si="240"/>
        <v xml:space="preserve">Performing </v>
      </c>
      <c r="T1163" t="s">
        <v>16</v>
      </c>
      <c r="U1163" s="3">
        <f t="shared" si="241"/>
        <v>6.4816775039064467E-2</v>
      </c>
      <c r="V1163" t="str">
        <f t="shared" si="242"/>
        <v>Healthy</v>
      </c>
      <c r="W1163" t="str">
        <f t="shared" si="243"/>
        <v>At Risk</v>
      </c>
      <c r="X1163" s="5" t="str">
        <f t="shared" si="244"/>
        <v>Medium</v>
      </c>
      <c r="Y1163" s="5" t="str">
        <f t="shared" si="245"/>
        <v>Low</v>
      </c>
      <c r="Z1163" s="5" t="str">
        <f>IF(B1163=120,"NULL",IF(AND(V1163="High Stress", W1163="High Risk", Y1163="Low"),"High Risk : Reject", IF(AND(V1163="Healthy", W1163="Good",Y1163&lt;&gt;"Low"), "Low Risk : Approve", "Medium Risk : Review")))</f>
        <v>Medium Risk : Review</v>
      </c>
      <c r="AA1163" s="5" t="str">
        <f t="shared" si="246"/>
        <v>Medium</v>
      </c>
    </row>
    <row r="1164" spans="1:27" x14ac:dyDescent="0.2">
      <c r="A1164">
        <v>21361</v>
      </c>
      <c r="B1164">
        <v>44</v>
      </c>
      <c r="C1164">
        <f t="shared" si="234"/>
        <v>44</v>
      </c>
      <c r="D1164" t="s">
        <v>23</v>
      </c>
      <c r="E1164" t="str">
        <f t="shared" si="235"/>
        <v>Self-Employed</v>
      </c>
      <c r="F1164">
        <v>4665.32</v>
      </c>
      <c r="G1164">
        <f>ABS(Table1[[#This Row],[Monthly_Income]])</f>
        <v>4665.32</v>
      </c>
      <c r="H1164">
        <v>36989.730000000003</v>
      </c>
      <c r="I1164" s="5">
        <f t="shared" si="236"/>
        <v>36989.730000000003</v>
      </c>
      <c r="J1164">
        <v>18</v>
      </c>
      <c r="K1164">
        <v>16.68</v>
      </c>
      <c r="L1164">
        <v>2</v>
      </c>
      <c r="M1164">
        <f t="shared" si="237"/>
        <v>2</v>
      </c>
      <c r="N1164">
        <v>11.7</v>
      </c>
      <c r="O1164">
        <f t="shared" si="238"/>
        <v>11.7</v>
      </c>
      <c r="P1164">
        <v>60</v>
      </c>
      <c r="Q1164">
        <f t="shared" si="239"/>
        <v>60</v>
      </c>
      <c r="R1164" t="s">
        <v>13</v>
      </c>
      <c r="S1164" t="str">
        <f t="shared" si="240"/>
        <v>Performing</v>
      </c>
      <c r="T1164" t="s">
        <v>14</v>
      </c>
      <c r="U1164" s="3">
        <f t="shared" si="241"/>
        <v>0.44048103881405781</v>
      </c>
      <c r="V1164" t="str">
        <f t="shared" si="242"/>
        <v>Stretched</v>
      </c>
      <c r="W1164" t="str">
        <f t="shared" si="243"/>
        <v>High Risk</v>
      </c>
      <c r="X1164" s="5" t="str">
        <f t="shared" si="244"/>
        <v>High</v>
      </c>
      <c r="Y1164" s="5" t="str">
        <f t="shared" si="245"/>
        <v>Medium</v>
      </c>
      <c r="Z1164" s="5" t="str">
        <f>IF(B1164=120,"NULL",IF(AND(V1164="High Stress", W1164="High Risk", Y1164="Low"),"High Risk : Reject", IF(AND(V1164="Healthy", W1164="Good",Y1164&lt;&gt;"Low"), "Low Risk : Approve", "Medium Risk : Review")))</f>
        <v>Medium Risk : Review</v>
      </c>
      <c r="AA1164" s="5" t="str">
        <f t="shared" si="246"/>
        <v>Medium</v>
      </c>
    </row>
    <row r="1165" spans="1:27" x14ac:dyDescent="0.2">
      <c r="A1165">
        <v>21761</v>
      </c>
      <c r="B1165">
        <v>75</v>
      </c>
      <c r="C1165">
        <f t="shared" si="234"/>
        <v>75</v>
      </c>
      <c r="D1165" t="s">
        <v>21</v>
      </c>
      <c r="E1165" t="str">
        <f t="shared" si="235"/>
        <v>Salaried</v>
      </c>
      <c r="F1165">
        <v>6074.32</v>
      </c>
      <c r="G1165">
        <f>ABS(Table1[[#This Row],[Monthly_Income]])</f>
        <v>6074.32</v>
      </c>
      <c r="H1165">
        <v>28246.39</v>
      </c>
      <c r="I1165" s="5">
        <f t="shared" si="236"/>
        <v>28246.39</v>
      </c>
      <c r="J1165">
        <v>36</v>
      </c>
      <c r="K1165">
        <v>15.29</v>
      </c>
      <c r="L1165">
        <v>3</v>
      </c>
      <c r="M1165">
        <f t="shared" si="237"/>
        <v>3</v>
      </c>
      <c r="N1165">
        <v>0.9</v>
      </c>
      <c r="O1165">
        <f t="shared" si="238"/>
        <v>0.9</v>
      </c>
      <c r="P1165">
        <v>60</v>
      </c>
      <c r="Q1165">
        <f t="shared" si="239"/>
        <v>60</v>
      </c>
      <c r="R1165" t="s">
        <v>15</v>
      </c>
      <c r="S1165" t="str">
        <f t="shared" si="240"/>
        <v xml:space="preserve">Performing </v>
      </c>
      <c r="T1165" t="s">
        <v>25</v>
      </c>
      <c r="U1165" s="3">
        <f t="shared" si="241"/>
        <v>0.12917033420110308</v>
      </c>
      <c r="V1165" t="str">
        <f t="shared" si="242"/>
        <v>Healthy</v>
      </c>
      <c r="W1165" t="str">
        <f t="shared" si="243"/>
        <v>High Risk</v>
      </c>
      <c r="X1165" s="5" t="str">
        <f t="shared" si="244"/>
        <v>Medium</v>
      </c>
      <c r="Y1165" s="5" t="str">
        <f t="shared" si="245"/>
        <v>High</v>
      </c>
      <c r="Z1165" s="5" t="str">
        <f>IF(B1165=120,"NULL",IF(AND(V1165="High Stress", W1165="High Risk", Y1165="Low"),"High Risk : Reject", IF(AND(V1165="Healthy", W1165="Good",Y1165&lt;&gt;"Low"), "Low Risk : Approve", "Medium Risk : Review")))</f>
        <v>Medium Risk : Review</v>
      </c>
      <c r="AA1165" s="5" t="str">
        <f t="shared" si="246"/>
        <v>Medium</v>
      </c>
    </row>
    <row r="1166" spans="1:27" x14ac:dyDescent="0.2">
      <c r="A1166">
        <v>22394</v>
      </c>
      <c r="B1166">
        <v>41</v>
      </c>
      <c r="C1166">
        <f t="shared" si="234"/>
        <v>41</v>
      </c>
      <c r="D1166" t="s">
        <v>26</v>
      </c>
      <c r="E1166" t="str">
        <f t="shared" si="235"/>
        <v>Salaried</v>
      </c>
      <c r="F1166">
        <v>5344.94</v>
      </c>
      <c r="G1166">
        <f>ABS(Table1[[#This Row],[Monthly_Income]])</f>
        <v>5344.94</v>
      </c>
      <c r="H1166">
        <v>4160.72</v>
      </c>
      <c r="I1166" s="5">
        <f t="shared" si="236"/>
        <v>4160.72</v>
      </c>
      <c r="J1166">
        <v>36</v>
      </c>
      <c r="K1166">
        <v>16.46</v>
      </c>
      <c r="L1166">
        <v>4</v>
      </c>
      <c r="M1166">
        <f t="shared" si="237"/>
        <v>4</v>
      </c>
      <c r="N1166">
        <v>1.3</v>
      </c>
      <c r="O1166">
        <f t="shared" si="238"/>
        <v>1.3</v>
      </c>
      <c r="P1166">
        <v>30</v>
      </c>
      <c r="Q1166">
        <f t="shared" si="239"/>
        <v>30</v>
      </c>
      <c r="R1166" t="s">
        <v>20</v>
      </c>
      <c r="S1166" t="str">
        <f t="shared" si="240"/>
        <v>Written Off</v>
      </c>
      <c r="T1166" t="s">
        <v>25</v>
      </c>
      <c r="U1166" s="3">
        <f t="shared" si="241"/>
        <v>2.1623358832008509E-2</v>
      </c>
      <c r="V1166" t="str">
        <f t="shared" si="242"/>
        <v>Healthy</v>
      </c>
      <c r="W1166" t="str">
        <f t="shared" si="243"/>
        <v>At Risk</v>
      </c>
      <c r="X1166" s="5" t="str">
        <f t="shared" si="244"/>
        <v>Small</v>
      </c>
      <c r="Y1166" s="5" t="str">
        <f t="shared" si="245"/>
        <v>High</v>
      </c>
      <c r="Z1166" s="5" t="str">
        <f>IF(B1166=120,"NULL",IF(AND(V1166="High Stress", W1166="High Risk", Y1166="Low"),"High Risk : Reject", IF(AND(V1166="Healthy", W1166="Good",Y1166&lt;&gt;"Low"), "Low Risk : Approve", "Medium Risk : Review")))</f>
        <v>Medium Risk : Review</v>
      </c>
      <c r="AA1166" s="5" t="str">
        <f t="shared" si="246"/>
        <v>Medium</v>
      </c>
    </row>
    <row r="1167" spans="1:27" x14ac:dyDescent="0.2">
      <c r="A1167">
        <v>22244</v>
      </c>
      <c r="B1167">
        <v>53</v>
      </c>
      <c r="C1167">
        <f t="shared" si="234"/>
        <v>53</v>
      </c>
      <c r="D1167" t="s">
        <v>12</v>
      </c>
      <c r="E1167" t="str">
        <f t="shared" si="235"/>
        <v>Self-Employed</v>
      </c>
      <c r="F1167">
        <v>6442.21</v>
      </c>
      <c r="G1167">
        <f>ABS(Table1[[#This Row],[Monthly_Income]])</f>
        <v>6442.21</v>
      </c>
      <c r="H1167">
        <v>34386.800000000003</v>
      </c>
      <c r="I1167" s="5">
        <f t="shared" si="236"/>
        <v>34386.800000000003</v>
      </c>
      <c r="J1167">
        <v>6</v>
      </c>
      <c r="K1167">
        <v>26.1</v>
      </c>
      <c r="L1167">
        <v>4</v>
      </c>
      <c r="M1167">
        <f t="shared" si="237"/>
        <v>4</v>
      </c>
      <c r="N1167">
        <v>0.8</v>
      </c>
      <c r="O1167">
        <f t="shared" si="238"/>
        <v>0.8</v>
      </c>
      <c r="P1167">
        <v>0</v>
      </c>
      <c r="Q1167">
        <f t="shared" si="239"/>
        <v>0</v>
      </c>
      <c r="R1167" t="s">
        <v>24</v>
      </c>
      <c r="S1167" t="str">
        <f t="shared" si="240"/>
        <v>Non-Performing</v>
      </c>
      <c r="T1167" t="s">
        <v>14</v>
      </c>
      <c r="U1167" s="3">
        <f t="shared" si="241"/>
        <v>0.88962224660998845</v>
      </c>
      <c r="V1167" t="str">
        <f t="shared" si="242"/>
        <v>High Stress</v>
      </c>
      <c r="W1167" t="str">
        <f t="shared" si="243"/>
        <v>Good</v>
      </c>
      <c r="X1167" s="5" t="str">
        <f t="shared" si="244"/>
        <v>High</v>
      </c>
      <c r="Y1167" s="5" t="str">
        <f t="shared" si="245"/>
        <v>Medium</v>
      </c>
      <c r="Z1167" s="5" t="str">
        <f>IF(B1167=120,"NULL",IF(AND(V1167="High Stress", W1167="High Risk", Y1167="Low"),"High Risk : Reject", IF(AND(V1167="Healthy", W1167="Good",Y1167&lt;&gt;"Low"), "Low Risk : Approve", "Medium Risk : Review")))</f>
        <v>Medium Risk : Review</v>
      </c>
      <c r="AA1167" s="5" t="str">
        <f t="shared" si="246"/>
        <v>Medium</v>
      </c>
    </row>
    <row r="1168" spans="1:27" x14ac:dyDescent="0.2">
      <c r="A1168">
        <v>22518</v>
      </c>
      <c r="B1168">
        <v>120</v>
      </c>
      <c r="C1168" t="str">
        <f t="shared" si="234"/>
        <v>NULL</v>
      </c>
      <c r="D1168" t="s">
        <v>17</v>
      </c>
      <c r="E1168" t="str">
        <f t="shared" si="235"/>
        <v>Contract</v>
      </c>
      <c r="F1168">
        <v>6291.52</v>
      </c>
      <c r="G1168">
        <f>ABS(Table1[[#This Row],[Monthly_Income]])</f>
        <v>6291.52</v>
      </c>
      <c r="H1168">
        <v>6699.62</v>
      </c>
      <c r="I1168" s="5">
        <f t="shared" si="236"/>
        <v>6699.62</v>
      </c>
      <c r="J1168">
        <v>12</v>
      </c>
      <c r="K1168">
        <v>11.09</v>
      </c>
      <c r="L1168">
        <v>0</v>
      </c>
      <c r="M1168">
        <f t="shared" si="237"/>
        <v>0</v>
      </c>
      <c r="O1168" t="str">
        <f t="shared" si="238"/>
        <v>NULL</v>
      </c>
      <c r="P1168">
        <v>30</v>
      </c>
      <c r="Q1168">
        <f t="shared" si="239"/>
        <v>30</v>
      </c>
      <c r="R1168" t="s">
        <v>15</v>
      </c>
      <c r="S1168" t="str">
        <f t="shared" si="240"/>
        <v xml:space="preserve">Performing </v>
      </c>
      <c r="T1168" t="s">
        <v>22</v>
      </c>
      <c r="U1168" s="3">
        <f t="shared" si="241"/>
        <v>8.8738757353813799E-2</v>
      </c>
      <c r="V1168" t="str">
        <f t="shared" si="242"/>
        <v>Healthy</v>
      </c>
      <c r="W1168" t="str">
        <f t="shared" si="243"/>
        <v>At Risk</v>
      </c>
      <c r="X1168" s="5" t="str">
        <f t="shared" si="244"/>
        <v>Small</v>
      </c>
      <c r="Y1168" s="5" t="str">
        <f t="shared" si="245"/>
        <v>Low</v>
      </c>
      <c r="Z1168" s="5" t="str">
        <f>IF(B1168=120,"NULL",IF(AND(V1168="High Stress", W1168="High Risk", Y1168="Low"),"High Risk : Reject", IF(AND(V1168="Healthy", W1168="Good",Y1168&lt;&gt;"Low"), "Low Risk : Approve", "Medium Risk : Review")))</f>
        <v>NULL</v>
      </c>
      <c r="AA1168" s="5" t="str">
        <f t="shared" si="246"/>
        <v>Medium</v>
      </c>
    </row>
    <row r="1169" spans="1:27" x14ac:dyDescent="0.2">
      <c r="A1169">
        <v>24230</v>
      </c>
      <c r="B1169">
        <v>54</v>
      </c>
      <c r="C1169">
        <f t="shared" si="234"/>
        <v>54</v>
      </c>
      <c r="D1169" t="s">
        <v>21</v>
      </c>
      <c r="E1169" t="str">
        <f t="shared" si="235"/>
        <v>Salaried</v>
      </c>
      <c r="F1169">
        <v>6048.98</v>
      </c>
      <c r="G1169">
        <f>ABS(Table1[[#This Row],[Monthly_Income]])</f>
        <v>6048.98</v>
      </c>
      <c r="H1169">
        <v>24195.71</v>
      </c>
      <c r="I1169" s="5">
        <f t="shared" si="236"/>
        <v>24195.71</v>
      </c>
      <c r="J1169">
        <v>12</v>
      </c>
      <c r="K1169">
        <v>20.61</v>
      </c>
      <c r="L1169">
        <v>4</v>
      </c>
      <c r="M1169">
        <f t="shared" si="237"/>
        <v>4</v>
      </c>
      <c r="N1169">
        <v>11.9</v>
      </c>
      <c r="O1169">
        <f t="shared" si="238"/>
        <v>11.9</v>
      </c>
      <c r="P1169">
        <v>60</v>
      </c>
      <c r="Q1169">
        <f t="shared" si="239"/>
        <v>60</v>
      </c>
      <c r="R1169" t="s">
        <v>15</v>
      </c>
      <c r="S1169" t="str">
        <f t="shared" si="240"/>
        <v xml:space="preserve">Performing </v>
      </c>
      <c r="T1169" t="s">
        <v>22</v>
      </c>
      <c r="U1169" s="3">
        <f t="shared" si="241"/>
        <v>0.33333044028359604</v>
      </c>
      <c r="V1169" t="str">
        <f t="shared" si="242"/>
        <v>Stretched</v>
      </c>
      <c r="W1169" t="str">
        <f t="shared" si="243"/>
        <v>High Risk</v>
      </c>
      <c r="X1169" s="5" t="str">
        <f t="shared" si="244"/>
        <v>Medium</v>
      </c>
      <c r="Y1169" s="5" t="str">
        <f t="shared" si="245"/>
        <v>High</v>
      </c>
      <c r="Z1169" s="5" t="str">
        <f>IF(B1169=120,"NULL",IF(AND(V1169="High Stress", W1169="High Risk", Y1169="Low"),"High Risk : Reject", IF(AND(V1169="Healthy", W1169="Good",Y1169&lt;&gt;"Low"), "Low Risk : Approve", "Medium Risk : Review")))</f>
        <v>Medium Risk : Review</v>
      </c>
      <c r="AA1169" s="5" t="str">
        <f t="shared" si="246"/>
        <v>Medium</v>
      </c>
    </row>
    <row r="1170" spans="1:27" x14ac:dyDescent="0.2">
      <c r="A1170">
        <v>25304</v>
      </c>
      <c r="B1170">
        <v>49</v>
      </c>
      <c r="C1170">
        <f t="shared" si="234"/>
        <v>49</v>
      </c>
      <c r="D1170" t="s">
        <v>23</v>
      </c>
      <c r="E1170" t="str">
        <f t="shared" si="235"/>
        <v>Self-Employed</v>
      </c>
      <c r="F1170">
        <v>8684.26</v>
      </c>
      <c r="G1170">
        <f>ABS(Table1[[#This Row],[Monthly_Income]])</f>
        <v>8684.26</v>
      </c>
      <c r="H1170">
        <v>14490.58</v>
      </c>
      <c r="I1170" s="5">
        <f t="shared" si="236"/>
        <v>14490.58</v>
      </c>
      <c r="J1170">
        <v>60</v>
      </c>
      <c r="K1170">
        <v>21.67</v>
      </c>
      <c r="M1170" t="str">
        <f t="shared" si="237"/>
        <v>NULL</v>
      </c>
      <c r="N1170">
        <v>4.2</v>
      </c>
      <c r="O1170">
        <f t="shared" si="238"/>
        <v>4.2</v>
      </c>
      <c r="P1170">
        <v>0</v>
      </c>
      <c r="Q1170">
        <f t="shared" si="239"/>
        <v>0</v>
      </c>
      <c r="R1170" t="s">
        <v>24</v>
      </c>
      <c r="S1170" t="str">
        <f t="shared" si="240"/>
        <v>Non-Performing</v>
      </c>
      <c r="T1170" t="s">
        <v>19</v>
      </c>
      <c r="U1170" s="3">
        <f t="shared" si="241"/>
        <v>2.7810045607416942E-2</v>
      </c>
      <c r="V1170" t="str">
        <f t="shared" si="242"/>
        <v>Healthy</v>
      </c>
      <c r="W1170" t="str">
        <f t="shared" si="243"/>
        <v>Good</v>
      </c>
      <c r="X1170" s="5" t="str">
        <f t="shared" si="244"/>
        <v>Medium</v>
      </c>
      <c r="Y1170" s="5" t="str">
        <f t="shared" si="245"/>
        <v>Medium</v>
      </c>
      <c r="Z1170" s="5" t="str">
        <f>IF(B1170=120,"NULL",IF(AND(V1170="High Stress", W1170="High Risk", Y1170="Low"),"High Risk : Reject", IF(AND(V1170="Healthy", W1170="Good",Y1170&lt;&gt;"Low"), "Low Risk : Approve", "Medium Risk : Review")))</f>
        <v>Low Risk : Approve</v>
      </c>
      <c r="AA1170" s="5" t="str">
        <f t="shared" si="246"/>
        <v>High</v>
      </c>
    </row>
    <row r="1171" spans="1:27" x14ac:dyDescent="0.2">
      <c r="A1171">
        <v>20226</v>
      </c>
      <c r="B1171">
        <v>56</v>
      </c>
      <c r="C1171">
        <f t="shared" si="234"/>
        <v>56</v>
      </c>
      <c r="D1171" t="s">
        <v>23</v>
      </c>
      <c r="E1171" t="str">
        <f t="shared" si="235"/>
        <v>Self-Employed</v>
      </c>
      <c r="F1171">
        <v>4197.79</v>
      </c>
      <c r="G1171">
        <f>ABS(Table1[[#This Row],[Monthly_Income]])</f>
        <v>4197.79</v>
      </c>
      <c r="H1171">
        <v>15296.57</v>
      </c>
      <c r="I1171" s="5">
        <f t="shared" si="236"/>
        <v>15296.57</v>
      </c>
      <c r="J1171">
        <v>12</v>
      </c>
      <c r="K1171">
        <v>17.309999999999999</v>
      </c>
      <c r="L1171">
        <v>4</v>
      </c>
      <c r="M1171">
        <f t="shared" si="237"/>
        <v>4</v>
      </c>
      <c r="N1171">
        <v>6.9</v>
      </c>
      <c r="O1171">
        <f t="shared" si="238"/>
        <v>6.9</v>
      </c>
      <c r="P1171">
        <v>0</v>
      </c>
      <c r="Q1171">
        <f t="shared" si="239"/>
        <v>0</v>
      </c>
      <c r="R1171" t="s">
        <v>15</v>
      </c>
      <c r="S1171" t="str">
        <f t="shared" si="240"/>
        <v xml:space="preserve">Performing </v>
      </c>
      <c r="T1171" t="s">
        <v>16</v>
      </c>
      <c r="U1171" s="3">
        <f t="shared" si="241"/>
        <v>0.30366315767741281</v>
      </c>
      <c r="V1171" t="str">
        <f t="shared" si="242"/>
        <v>Stretched</v>
      </c>
      <c r="W1171" t="str">
        <f t="shared" si="243"/>
        <v>Good</v>
      </c>
      <c r="X1171" s="5" t="str">
        <f t="shared" si="244"/>
        <v>Medium</v>
      </c>
      <c r="Y1171" s="5" t="str">
        <f t="shared" si="245"/>
        <v>Medium</v>
      </c>
      <c r="Z1171" s="5" t="str">
        <f>IF(B1171=120,"NULL",IF(AND(V1171="High Stress", W1171="High Risk", Y1171="Low"),"High Risk : Reject", IF(AND(V1171="Healthy", W1171="Good",Y1171&lt;&gt;"Low"), "Low Risk : Approve", "Medium Risk : Review")))</f>
        <v>Medium Risk : Review</v>
      </c>
      <c r="AA1171" s="5" t="str">
        <f t="shared" si="246"/>
        <v>Medium</v>
      </c>
    </row>
    <row r="1172" spans="1:27" x14ac:dyDescent="0.2">
      <c r="A1172">
        <v>24318</v>
      </c>
      <c r="B1172">
        <v>27</v>
      </c>
      <c r="C1172">
        <f t="shared" si="234"/>
        <v>27</v>
      </c>
      <c r="D1172" t="s">
        <v>27</v>
      </c>
      <c r="E1172" t="str">
        <f t="shared" si="235"/>
        <v>Unemployed</v>
      </c>
      <c r="F1172">
        <v>4908.41</v>
      </c>
      <c r="G1172">
        <f>ABS(Table1[[#This Row],[Monthly_Income]])</f>
        <v>4908.41</v>
      </c>
      <c r="H1172">
        <v>17387.07</v>
      </c>
      <c r="I1172" s="5">
        <f t="shared" si="236"/>
        <v>17387.07</v>
      </c>
      <c r="J1172">
        <v>24</v>
      </c>
      <c r="K1172">
        <v>55</v>
      </c>
      <c r="L1172">
        <v>1</v>
      </c>
      <c r="M1172">
        <f t="shared" si="237"/>
        <v>1</v>
      </c>
      <c r="N1172">
        <v>6.1</v>
      </c>
      <c r="O1172">
        <f t="shared" si="238"/>
        <v>6.1</v>
      </c>
      <c r="P1172">
        <v>30</v>
      </c>
      <c r="Q1172">
        <f t="shared" si="239"/>
        <v>30</v>
      </c>
      <c r="R1172" t="s">
        <v>15</v>
      </c>
      <c r="S1172" t="str">
        <f t="shared" si="240"/>
        <v xml:space="preserve">Performing </v>
      </c>
      <c r="T1172" t="s">
        <v>22</v>
      </c>
      <c r="U1172" s="3">
        <f t="shared" si="241"/>
        <v>0.14759591191444887</v>
      </c>
      <c r="V1172" t="str">
        <f t="shared" si="242"/>
        <v>Healthy</v>
      </c>
      <c r="W1172" t="str">
        <f t="shared" si="243"/>
        <v>At Risk</v>
      </c>
      <c r="X1172" s="5" t="str">
        <f t="shared" si="244"/>
        <v>Medium</v>
      </c>
      <c r="Y1172" s="5" t="str">
        <f t="shared" si="245"/>
        <v>Low</v>
      </c>
      <c r="Z1172" s="5" t="str">
        <f>IF(B1172=120,"NULL",IF(AND(V1172="High Stress", W1172="High Risk", Y1172="Low"),"High Risk : Reject", IF(AND(V1172="Healthy", W1172="Good",Y1172&lt;&gt;"Low"), "Low Risk : Approve", "Medium Risk : Review")))</f>
        <v>Medium Risk : Review</v>
      </c>
      <c r="AA1172" s="5" t="str">
        <f t="shared" si="246"/>
        <v>Medium</v>
      </c>
    </row>
    <row r="1173" spans="1:27" x14ac:dyDescent="0.2">
      <c r="A1173">
        <v>20782</v>
      </c>
      <c r="B1173">
        <v>21</v>
      </c>
      <c r="C1173">
        <f t="shared" si="234"/>
        <v>21</v>
      </c>
      <c r="D1173" t="s">
        <v>12</v>
      </c>
      <c r="E1173" t="str">
        <f t="shared" si="235"/>
        <v>Self-Employed</v>
      </c>
      <c r="F1173">
        <v>7163.13</v>
      </c>
      <c r="G1173">
        <f>ABS(Table1[[#This Row],[Monthly_Income]])</f>
        <v>7163.13</v>
      </c>
      <c r="H1173">
        <v>32989.949999999997</v>
      </c>
      <c r="I1173" s="5">
        <f t="shared" si="236"/>
        <v>32989.949999999997</v>
      </c>
      <c r="J1173">
        <v>24</v>
      </c>
      <c r="K1173">
        <v>26.78</v>
      </c>
      <c r="L1173">
        <v>1</v>
      </c>
      <c r="M1173">
        <f t="shared" si="237"/>
        <v>1</v>
      </c>
      <c r="N1173">
        <v>9.5</v>
      </c>
      <c r="O1173">
        <f t="shared" si="238"/>
        <v>9.5</v>
      </c>
      <c r="P1173">
        <v>90</v>
      </c>
      <c r="Q1173">
        <f t="shared" si="239"/>
        <v>90</v>
      </c>
      <c r="R1173" t="s">
        <v>18</v>
      </c>
      <c r="S1173" t="str">
        <f t="shared" si="240"/>
        <v>Non-Performing</v>
      </c>
      <c r="T1173" t="s">
        <v>14</v>
      </c>
      <c r="U1173" s="3">
        <f t="shared" si="241"/>
        <v>0.19189673369043977</v>
      </c>
      <c r="V1173" t="str">
        <f t="shared" si="242"/>
        <v>Healthy</v>
      </c>
      <c r="W1173" t="str">
        <f t="shared" si="243"/>
        <v>High Risk</v>
      </c>
      <c r="X1173" s="5" t="str">
        <f t="shared" si="244"/>
        <v>High</v>
      </c>
      <c r="Y1173" s="5" t="str">
        <f t="shared" si="245"/>
        <v>Medium</v>
      </c>
      <c r="Z1173" s="5" t="str">
        <f>IF(B1173=120,"NULL",IF(AND(V1173="High Stress", W1173="High Risk", Y1173="Low"),"High Risk : Reject", IF(AND(V1173="Healthy", W1173="Good",Y1173&lt;&gt;"Low"), "Low Risk : Approve", "Medium Risk : Review")))</f>
        <v>Medium Risk : Review</v>
      </c>
      <c r="AA1173" s="5" t="str">
        <f t="shared" si="246"/>
        <v>Medium</v>
      </c>
    </row>
    <row r="1174" spans="1:27" x14ac:dyDescent="0.2">
      <c r="A1174">
        <v>21519</v>
      </c>
      <c r="B1174">
        <v>31</v>
      </c>
      <c r="C1174">
        <f t="shared" si="234"/>
        <v>31</v>
      </c>
      <c r="D1174" t="s">
        <v>21</v>
      </c>
      <c r="E1174" t="str">
        <f t="shared" si="235"/>
        <v>Salaried</v>
      </c>
      <c r="F1174">
        <v>5880.78</v>
      </c>
      <c r="G1174">
        <f>ABS(Table1[[#This Row],[Monthly_Income]])</f>
        <v>5880.78</v>
      </c>
      <c r="H1174">
        <v>25657.05</v>
      </c>
      <c r="I1174" s="5">
        <f t="shared" si="236"/>
        <v>25657.05</v>
      </c>
      <c r="J1174">
        <v>12</v>
      </c>
      <c r="K1174">
        <v>11.16</v>
      </c>
      <c r="L1174">
        <v>1</v>
      </c>
      <c r="M1174">
        <f t="shared" si="237"/>
        <v>1</v>
      </c>
      <c r="N1174">
        <v>4.4000000000000004</v>
      </c>
      <c r="O1174">
        <f t="shared" si="238"/>
        <v>4.4000000000000004</v>
      </c>
      <c r="P1174">
        <v>0</v>
      </c>
      <c r="Q1174">
        <f t="shared" si="239"/>
        <v>0</v>
      </c>
      <c r="R1174" t="s">
        <v>15</v>
      </c>
      <c r="S1174" t="str">
        <f t="shared" si="240"/>
        <v xml:space="preserve">Performing </v>
      </c>
      <c r="T1174" t="s">
        <v>16</v>
      </c>
      <c r="U1174" s="3">
        <f t="shared" si="241"/>
        <v>0.3635720941779832</v>
      </c>
      <c r="V1174" t="str">
        <f t="shared" si="242"/>
        <v>Stretched</v>
      </c>
      <c r="W1174" t="str">
        <f t="shared" si="243"/>
        <v>Good</v>
      </c>
      <c r="X1174" s="5" t="str">
        <f t="shared" si="244"/>
        <v>Medium</v>
      </c>
      <c r="Y1174" s="5" t="str">
        <f t="shared" si="245"/>
        <v>High</v>
      </c>
      <c r="Z1174" s="5" t="str">
        <f>IF(B1174=120,"NULL",IF(AND(V1174="High Stress", W1174="High Risk", Y1174="Low"),"High Risk : Reject", IF(AND(V1174="Healthy", W1174="Good",Y1174&lt;&gt;"Low"), "Low Risk : Approve", "Medium Risk : Review")))</f>
        <v>Medium Risk : Review</v>
      </c>
      <c r="AA1174" s="5" t="str">
        <f t="shared" si="246"/>
        <v>Medium</v>
      </c>
    </row>
    <row r="1175" spans="1:27" x14ac:dyDescent="0.2">
      <c r="A1175">
        <v>25425</v>
      </c>
      <c r="B1175">
        <v>25</v>
      </c>
      <c r="C1175">
        <f t="shared" si="234"/>
        <v>25</v>
      </c>
      <c r="D1175" t="s">
        <v>17</v>
      </c>
      <c r="E1175" t="str">
        <f t="shared" si="235"/>
        <v>Contract</v>
      </c>
      <c r="F1175">
        <v>4929.03</v>
      </c>
      <c r="G1175">
        <f>ABS(Table1[[#This Row],[Monthly_Income]])</f>
        <v>4929.03</v>
      </c>
      <c r="H1175">
        <v>11235.97</v>
      </c>
      <c r="I1175" s="5">
        <f t="shared" si="236"/>
        <v>11235.97</v>
      </c>
      <c r="J1175">
        <v>6</v>
      </c>
      <c r="K1175">
        <v>16.47</v>
      </c>
      <c r="L1175">
        <v>3</v>
      </c>
      <c r="M1175">
        <f t="shared" si="237"/>
        <v>3</v>
      </c>
      <c r="N1175">
        <v>3</v>
      </c>
      <c r="O1175">
        <f t="shared" si="238"/>
        <v>3</v>
      </c>
      <c r="P1175">
        <v>30</v>
      </c>
      <c r="Q1175">
        <f t="shared" si="239"/>
        <v>30</v>
      </c>
      <c r="R1175" t="s">
        <v>15</v>
      </c>
      <c r="S1175" t="str">
        <f t="shared" si="240"/>
        <v xml:space="preserve">Performing </v>
      </c>
      <c r="T1175" t="s">
        <v>19</v>
      </c>
      <c r="U1175" s="3">
        <f t="shared" si="241"/>
        <v>0.37992498862183161</v>
      </c>
      <c r="V1175" t="str">
        <f t="shared" si="242"/>
        <v>Stretched</v>
      </c>
      <c r="W1175" t="str">
        <f t="shared" si="243"/>
        <v>At Risk</v>
      </c>
      <c r="X1175" s="5" t="str">
        <f t="shared" si="244"/>
        <v>Medium</v>
      </c>
      <c r="Y1175" s="5" t="str">
        <f t="shared" si="245"/>
        <v>Low</v>
      </c>
      <c r="Z1175" s="5" t="str">
        <f>IF(B1175=120,"NULL",IF(AND(V1175="High Stress", W1175="High Risk", Y1175="Low"),"High Risk : Reject", IF(AND(V1175="Healthy", W1175="Good",Y1175&lt;&gt;"Low"), "Low Risk : Approve", "Medium Risk : Review")))</f>
        <v>Medium Risk : Review</v>
      </c>
      <c r="AA1175" s="5" t="str">
        <f t="shared" si="246"/>
        <v>Medium</v>
      </c>
    </row>
    <row r="1176" spans="1:27" x14ac:dyDescent="0.2">
      <c r="A1176">
        <v>21566</v>
      </c>
      <c r="B1176">
        <v>33</v>
      </c>
      <c r="C1176">
        <f t="shared" si="234"/>
        <v>33</v>
      </c>
      <c r="D1176" t="s">
        <v>26</v>
      </c>
      <c r="E1176" t="str">
        <f t="shared" si="235"/>
        <v>Salaried</v>
      </c>
      <c r="F1176">
        <v>5238.74</v>
      </c>
      <c r="G1176">
        <f>ABS(Table1[[#This Row],[Monthly_Income]])</f>
        <v>5238.74</v>
      </c>
      <c r="H1176">
        <v>12190</v>
      </c>
      <c r="I1176" s="5">
        <f t="shared" si="236"/>
        <v>12190</v>
      </c>
      <c r="J1176">
        <v>18</v>
      </c>
      <c r="K1176">
        <v>14.81</v>
      </c>
      <c r="M1176" t="str">
        <f t="shared" si="237"/>
        <v>NULL</v>
      </c>
      <c r="N1176">
        <v>7.6</v>
      </c>
      <c r="O1176">
        <f t="shared" si="238"/>
        <v>7.6</v>
      </c>
      <c r="P1176">
        <v>0</v>
      </c>
      <c r="Q1176">
        <f t="shared" si="239"/>
        <v>0</v>
      </c>
      <c r="R1176" t="s">
        <v>13</v>
      </c>
      <c r="S1176" t="str">
        <f t="shared" si="240"/>
        <v>Performing</v>
      </c>
      <c r="T1176" t="s">
        <v>22</v>
      </c>
      <c r="U1176" s="3">
        <f t="shared" si="241"/>
        <v>0.12927196658399201</v>
      </c>
      <c r="V1176" t="str">
        <f t="shared" si="242"/>
        <v>Healthy</v>
      </c>
      <c r="W1176" t="str">
        <f t="shared" si="243"/>
        <v>Good</v>
      </c>
      <c r="X1176" s="5" t="str">
        <f t="shared" si="244"/>
        <v>Medium</v>
      </c>
      <c r="Y1176" s="5" t="str">
        <f t="shared" si="245"/>
        <v>High</v>
      </c>
      <c r="Z1176" s="5" t="str">
        <f>IF(B1176=120,"NULL",IF(AND(V1176="High Stress", W1176="High Risk", Y1176="Low"),"High Risk : Reject", IF(AND(V1176="Healthy", W1176="Good",Y1176&lt;&gt;"Low"), "Low Risk : Approve", "Medium Risk : Review")))</f>
        <v>Low Risk : Approve</v>
      </c>
      <c r="AA1176" s="5" t="str">
        <f t="shared" si="246"/>
        <v>Medium</v>
      </c>
    </row>
    <row r="1177" spans="1:27" x14ac:dyDescent="0.2">
      <c r="A1177">
        <v>23298</v>
      </c>
      <c r="B1177">
        <v>57</v>
      </c>
      <c r="C1177">
        <f t="shared" si="234"/>
        <v>57</v>
      </c>
      <c r="D1177" t="s">
        <v>23</v>
      </c>
      <c r="E1177" t="str">
        <f t="shared" si="235"/>
        <v>Self-Employed</v>
      </c>
      <c r="F1177">
        <v>7450.47</v>
      </c>
      <c r="G1177">
        <f>ABS(Table1[[#This Row],[Monthly_Income]])</f>
        <v>7450.47</v>
      </c>
      <c r="H1177">
        <v>27559.43</v>
      </c>
      <c r="I1177" s="5">
        <f t="shared" si="236"/>
        <v>27559.43</v>
      </c>
      <c r="J1177">
        <v>48</v>
      </c>
      <c r="K1177">
        <v>12.98</v>
      </c>
      <c r="L1177">
        <v>0</v>
      </c>
      <c r="M1177">
        <f t="shared" si="237"/>
        <v>0</v>
      </c>
      <c r="N1177">
        <v>10.9</v>
      </c>
      <c r="O1177">
        <f t="shared" si="238"/>
        <v>10.9</v>
      </c>
      <c r="P1177">
        <v>30</v>
      </c>
      <c r="Q1177">
        <f t="shared" si="239"/>
        <v>30</v>
      </c>
      <c r="R1177" t="s">
        <v>24</v>
      </c>
      <c r="S1177" t="str">
        <f t="shared" si="240"/>
        <v>Non-Performing</v>
      </c>
      <c r="T1177" t="s">
        <v>25</v>
      </c>
      <c r="U1177" s="3">
        <f t="shared" si="241"/>
        <v>7.7062895584663338E-2</v>
      </c>
      <c r="V1177" t="str">
        <f t="shared" si="242"/>
        <v>Healthy</v>
      </c>
      <c r="W1177" t="str">
        <f t="shared" si="243"/>
        <v>At Risk</v>
      </c>
      <c r="X1177" s="5" t="str">
        <f t="shared" si="244"/>
        <v>Medium</v>
      </c>
      <c r="Y1177" s="5" t="str">
        <f t="shared" si="245"/>
        <v>Medium</v>
      </c>
      <c r="Z1177" s="5" t="str">
        <f>IF(B1177=120,"NULL",IF(AND(V1177="High Stress", W1177="High Risk", Y1177="Low"),"High Risk : Reject", IF(AND(V1177="Healthy", W1177="Good",Y1177&lt;&gt;"Low"), "Low Risk : Approve", "Medium Risk : Review")))</f>
        <v>Medium Risk : Review</v>
      </c>
      <c r="AA1177" s="5" t="str">
        <f t="shared" si="246"/>
        <v>Medium</v>
      </c>
    </row>
    <row r="1178" spans="1:27" x14ac:dyDescent="0.2">
      <c r="A1178">
        <v>22618</v>
      </c>
      <c r="B1178">
        <v>60</v>
      </c>
      <c r="C1178">
        <f t="shared" si="234"/>
        <v>60</v>
      </c>
      <c r="D1178" t="s">
        <v>23</v>
      </c>
      <c r="E1178" t="str">
        <f t="shared" si="235"/>
        <v>Self-Employed</v>
      </c>
      <c r="F1178">
        <v>-1500</v>
      </c>
      <c r="G1178">
        <f>ABS(Table1[[#This Row],[Monthly_Income]])</f>
        <v>1500</v>
      </c>
      <c r="H1178">
        <v>16584.84</v>
      </c>
      <c r="I1178" s="5">
        <f t="shared" si="236"/>
        <v>16584.84</v>
      </c>
      <c r="J1178">
        <v>18</v>
      </c>
      <c r="K1178">
        <v>22.09</v>
      </c>
      <c r="L1178">
        <v>4</v>
      </c>
      <c r="M1178">
        <f t="shared" si="237"/>
        <v>4</v>
      </c>
      <c r="N1178">
        <v>1.5</v>
      </c>
      <c r="O1178">
        <f t="shared" si="238"/>
        <v>1.5</v>
      </c>
      <c r="Q1178" t="str">
        <f t="shared" si="239"/>
        <v>NULL</v>
      </c>
      <c r="R1178" t="s">
        <v>13</v>
      </c>
      <c r="S1178" t="str">
        <f t="shared" si="240"/>
        <v>Performing</v>
      </c>
      <c r="T1178" t="s">
        <v>14</v>
      </c>
      <c r="U1178" s="3">
        <f t="shared" si="241"/>
        <v>0.61425333333333332</v>
      </c>
      <c r="V1178" t="str">
        <f t="shared" si="242"/>
        <v>High Stress</v>
      </c>
      <c r="W1178" t="str">
        <f t="shared" si="243"/>
        <v>NULL</v>
      </c>
      <c r="X1178" s="5" t="str">
        <f t="shared" si="244"/>
        <v>Medium</v>
      </c>
      <c r="Y1178" s="5" t="str">
        <f t="shared" si="245"/>
        <v>Medium</v>
      </c>
      <c r="Z1178" s="5" t="str">
        <f>IF(B1178=120,"NULL",IF(AND(V1178="High Stress", W1178="High Risk", Y1178="Low"),"High Risk : Reject", IF(AND(V1178="Healthy", W1178="Good",Y1178&lt;&gt;"Low"), "Low Risk : Approve", "Medium Risk : Review")))</f>
        <v>Medium Risk : Review</v>
      </c>
      <c r="AA1178" s="5" t="str">
        <f t="shared" si="246"/>
        <v>Low</v>
      </c>
    </row>
    <row r="1179" spans="1:27" x14ac:dyDescent="0.2">
      <c r="A1179">
        <v>24777</v>
      </c>
      <c r="B1179">
        <v>25</v>
      </c>
      <c r="C1179">
        <f t="shared" si="234"/>
        <v>25</v>
      </c>
      <c r="D1179" t="s">
        <v>23</v>
      </c>
      <c r="E1179" t="str">
        <f t="shared" si="235"/>
        <v>Self-Employed</v>
      </c>
      <c r="F1179">
        <v>3401.3</v>
      </c>
      <c r="G1179">
        <f>ABS(Table1[[#This Row],[Monthly_Income]])</f>
        <v>3401.3</v>
      </c>
      <c r="H1179">
        <v>24373.64</v>
      </c>
      <c r="I1179" s="5">
        <f t="shared" si="236"/>
        <v>24373.64</v>
      </c>
      <c r="J1179">
        <v>36</v>
      </c>
      <c r="K1179">
        <v>16.440000000000001</v>
      </c>
      <c r="L1179">
        <v>2</v>
      </c>
      <c r="M1179">
        <f t="shared" si="237"/>
        <v>2</v>
      </c>
      <c r="N1179">
        <v>4.7</v>
      </c>
      <c r="O1179">
        <f t="shared" si="238"/>
        <v>4.7</v>
      </c>
      <c r="P1179">
        <v>0</v>
      </c>
      <c r="Q1179">
        <f t="shared" si="239"/>
        <v>0</v>
      </c>
      <c r="R1179" t="s">
        <v>18</v>
      </c>
      <c r="S1179" t="str">
        <f t="shared" si="240"/>
        <v>Non-Performing</v>
      </c>
      <c r="T1179" t="s">
        <v>16</v>
      </c>
      <c r="U1179" s="3">
        <f t="shared" si="241"/>
        <v>0.19905493651120323</v>
      </c>
      <c r="V1179" t="str">
        <f t="shared" si="242"/>
        <v>Healthy</v>
      </c>
      <c r="W1179" t="str">
        <f t="shared" si="243"/>
        <v>Good</v>
      </c>
      <c r="X1179" s="5" t="str">
        <f t="shared" si="244"/>
        <v>Medium</v>
      </c>
      <c r="Y1179" s="5" t="str">
        <f t="shared" si="245"/>
        <v>Medium</v>
      </c>
      <c r="Z1179" s="5" t="str">
        <f>IF(B1179=120,"NULL",IF(AND(V1179="High Stress", W1179="High Risk", Y1179="Low"),"High Risk : Reject", IF(AND(V1179="Healthy", W1179="Good",Y1179&lt;&gt;"Low"), "Low Risk : Approve", "Medium Risk : Review")))</f>
        <v>Low Risk : Approve</v>
      </c>
      <c r="AA1179" s="5" t="str">
        <f t="shared" si="246"/>
        <v>Medium</v>
      </c>
    </row>
    <row r="1180" spans="1:27" x14ac:dyDescent="0.2">
      <c r="A1180">
        <v>21657</v>
      </c>
      <c r="B1180">
        <v>54</v>
      </c>
      <c r="C1180">
        <f t="shared" si="234"/>
        <v>54</v>
      </c>
      <c r="D1180" t="s">
        <v>23</v>
      </c>
      <c r="E1180" t="str">
        <f t="shared" si="235"/>
        <v>Self-Employed</v>
      </c>
      <c r="F1180">
        <v>5102</v>
      </c>
      <c r="G1180">
        <f>ABS(Table1[[#This Row],[Monthly_Income]])</f>
        <v>5102</v>
      </c>
      <c r="H1180">
        <v>12870.53</v>
      </c>
      <c r="I1180" s="5">
        <f t="shared" si="236"/>
        <v>12870.53</v>
      </c>
      <c r="J1180">
        <v>18</v>
      </c>
      <c r="K1180">
        <v>17.239999999999998</v>
      </c>
      <c r="L1180">
        <v>4</v>
      </c>
      <c r="M1180">
        <f t="shared" si="237"/>
        <v>4</v>
      </c>
      <c r="N1180">
        <v>4</v>
      </c>
      <c r="O1180">
        <f t="shared" si="238"/>
        <v>4</v>
      </c>
      <c r="P1180">
        <v>90</v>
      </c>
      <c r="Q1180">
        <f t="shared" si="239"/>
        <v>90</v>
      </c>
      <c r="R1180" t="s">
        <v>20</v>
      </c>
      <c r="S1180" t="str">
        <f t="shared" si="240"/>
        <v>Written Off</v>
      </c>
      <c r="T1180" t="s">
        <v>22</v>
      </c>
      <c r="U1180" s="3">
        <f t="shared" si="241"/>
        <v>0.14014689228624941</v>
      </c>
      <c r="V1180" t="str">
        <f t="shared" si="242"/>
        <v>Healthy</v>
      </c>
      <c r="W1180" t="str">
        <f t="shared" si="243"/>
        <v>High Risk</v>
      </c>
      <c r="X1180" s="5" t="str">
        <f t="shared" si="244"/>
        <v>Medium</v>
      </c>
      <c r="Y1180" s="5" t="str">
        <f t="shared" si="245"/>
        <v>Medium</v>
      </c>
      <c r="Z1180" s="5" t="str">
        <f>IF(B1180=120,"NULL",IF(AND(V1180="High Stress", W1180="High Risk", Y1180="Low"),"High Risk : Reject", IF(AND(V1180="Healthy", W1180="Good",Y1180&lt;&gt;"Low"), "Low Risk : Approve", "Medium Risk : Review")))</f>
        <v>Medium Risk : Review</v>
      </c>
      <c r="AA1180" s="5" t="str">
        <f t="shared" si="246"/>
        <v>Medium</v>
      </c>
    </row>
    <row r="1181" spans="1:27" x14ac:dyDescent="0.2">
      <c r="A1181">
        <v>23138</v>
      </c>
      <c r="B1181">
        <v>39</v>
      </c>
      <c r="C1181">
        <f t="shared" si="234"/>
        <v>39</v>
      </c>
      <c r="D1181" t="s">
        <v>23</v>
      </c>
      <c r="E1181" t="str">
        <f t="shared" si="235"/>
        <v>Self-Employed</v>
      </c>
      <c r="F1181">
        <v>3710.75</v>
      </c>
      <c r="G1181">
        <f>ABS(Table1[[#This Row],[Monthly_Income]])</f>
        <v>3710.75</v>
      </c>
      <c r="H1181">
        <v>13978.23</v>
      </c>
      <c r="I1181" s="5">
        <f t="shared" si="236"/>
        <v>13978.23</v>
      </c>
      <c r="J1181">
        <v>12</v>
      </c>
      <c r="K1181">
        <v>19.420000000000002</v>
      </c>
      <c r="L1181">
        <v>1</v>
      </c>
      <c r="M1181">
        <f t="shared" si="237"/>
        <v>1</v>
      </c>
      <c r="O1181" t="str">
        <f t="shared" si="238"/>
        <v>NULL</v>
      </c>
      <c r="P1181">
        <v>30</v>
      </c>
      <c r="Q1181">
        <f t="shared" si="239"/>
        <v>30</v>
      </c>
      <c r="R1181" t="s">
        <v>18</v>
      </c>
      <c r="S1181" t="str">
        <f t="shared" si="240"/>
        <v>Non-Performing</v>
      </c>
      <c r="T1181" t="s">
        <v>16</v>
      </c>
      <c r="U1181" s="3">
        <f t="shared" si="241"/>
        <v>0.31391295560196725</v>
      </c>
      <c r="V1181" t="str">
        <f t="shared" si="242"/>
        <v>Stretched</v>
      </c>
      <c r="W1181" t="str">
        <f t="shared" si="243"/>
        <v>At Risk</v>
      </c>
      <c r="X1181" s="5" t="str">
        <f t="shared" si="244"/>
        <v>Medium</v>
      </c>
      <c r="Y1181" s="5" t="str">
        <f t="shared" si="245"/>
        <v>Medium</v>
      </c>
      <c r="Z1181" s="5" t="str">
        <f>IF(B1181=120,"NULL",IF(AND(V1181="High Stress", W1181="High Risk", Y1181="Low"),"High Risk : Reject", IF(AND(V1181="Healthy", W1181="Good",Y1181&lt;&gt;"Low"), "Low Risk : Approve", "Medium Risk : Review")))</f>
        <v>Medium Risk : Review</v>
      </c>
      <c r="AA1181" s="5" t="str">
        <f t="shared" si="246"/>
        <v>Medium</v>
      </c>
    </row>
    <row r="1182" spans="1:27" x14ac:dyDescent="0.2">
      <c r="A1182">
        <v>20598</v>
      </c>
      <c r="B1182">
        <v>28</v>
      </c>
      <c r="C1182">
        <f t="shared" si="234"/>
        <v>28</v>
      </c>
      <c r="D1182" t="s">
        <v>17</v>
      </c>
      <c r="E1182" t="str">
        <f t="shared" si="235"/>
        <v>Contract</v>
      </c>
      <c r="F1182">
        <v>4701.09</v>
      </c>
      <c r="G1182">
        <f>ABS(Table1[[#This Row],[Monthly_Income]])</f>
        <v>4701.09</v>
      </c>
      <c r="H1182">
        <v>6277.27</v>
      </c>
      <c r="I1182" s="5">
        <f t="shared" si="236"/>
        <v>6277.27</v>
      </c>
      <c r="J1182">
        <v>60</v>
      </c>
      <c r="K1182">
        <v>23.72</v>
      </c>
      <c r="L1182">
        <v>4</v>
      </c>
      <c r="M1182">
        <f t="shared" si="237"/>
        <v>4</v>
      </c>
      <c r="N1182">
        <v>7.8</v>
      </c>
      <c r="O1182">
        <f t="shared" si="238"/>
        <v>7.8</v>
      </c>
      <c r="Q1182" t="str">
        <f t="shared" si="239"/>
        <v>NULL</v>
      </c>
      <c r="R1182" t="s">
        <v>18</v>
      </c>
      <c r="S1182" t="str">
        <f t="shared" si="240"/>
        <v>Non-Performing</v>
      </c>
      <c r="T1182" t="s">
        <v>16</v>
      </c>
      <c r="U1182" s="3">
        <f t="shared" si="241"/>
        <v>2.2254661507579449E-2</v>
      </c>
      <c r="V1182" t="str">
        <f t="shared" si="242"/>
        <v>Healthy</v>
      </c>
      <c r="W1182" t="str">
        <f t="shared" si="243"/>
        <v>NULL</v>
      </c>
      <c r="X1182" s="5" t="str">
        <f t="shared" si="244"/>
        <v>Small</v>
      </c>
      <c r="Y1182" s="5" t="str">
        <f t="shared" si="245"/>
        <v>Low</v>
      </c>
      <c r="Z1182" s="5" t="str">
        <f>IF(B1182=120,"NULL",IF(AND(V1182="High Stress", W1182="High Risk", Y1182="Low"),"High Risk : Reject", IF(AND(V1182="Healthy", W1182="Good",Y1182&lt;&gt;"Low"), "Low Risk : Approve", "Medium Risk : Review")))</f>
        <v>Medium Risk : Review</v>
      </c>
      <c r="AA1182" s="5" t="str">
        <f t="shared" si="246"/>
        <v>Medium</v>
      </c>
    </row>
    <row r="1183" spans="1:27" x14ac:dyDescent="0.2">
      <c r="A1183">
        <v>23293</v>
      </c>
      <c r="B1183">
        <v>33</v>
      </c>
      <c r="C1183">
        <f t="shared" si="234"/>
        <v>33</v>
      </c>
      <c r="D1183" t="s">
        <v>27</v>
      </c>
      <c r="E1183" t="str">
        <f t="shared" si="235"/>
        <v>Unemployed</v>
      </c>
      <c r="F1183">
        <v>4520.79</v>
      </c>
      <c r="G1183">
        <f>ABS(Table1[[#This Row],[Monthly_Income]])</f>
        <v>4520.79</v>
      </c>
      <c r="H1183">
        <v>19921.38</v>
      </c>
      <c r="I1183" s="5">
        <f t="shared" si="236"/>
        <v>19921.38</v>
      </c>
      <c r="J1183">
        <v>48</v>
      </c>
      <c r="K1183">
        <v>10.87</v>
      </c>
      <c r="L1183">
        <v>3</v>
      </c>
      <c r="M1183">
        <f t="shared" si="237"/>
        <v>3</v>
      </c>
      <c r="N1183">
        <v>10.8</v>
      </c>
      <c r="O1183">
        <f t="shared" si="238"/>
        <v>10.8</v>
      </c>
      <c r="P1183">
        <v>30</v>
      </c>
      <c r="Q1183">
        <f t="shared" si="239"/>
        <v>30</v>
      </c>
      <c r="R1183" t="s">
        <v>13</v>
      </c>
      <c r="S1183" t="str">
        <f t="shared" si="240"/>
        <v>Performing</v>
      </c>
      <c r="T1183" t="s">
        <v>16</v>
      </c>
      <c r="U1183" s="3">
        <f t="shared" si="241"/>
        <v>9.1804474439202005E-2</v>
      </c>
      <c r="V1183" t="str">
        <f t="shared" si="242"/>
        <v>Healthy</v>
      </c>
      <c r="W1183" t="str">
        <f t="shared" si="243"/>
        <v>At Risk</v>
      </c>
      <c r="X1183" s="5" t="str">
        <f t="shared" si="244"/>
        <v>Medium</v>
      </c>
      <c r="Y1183" s="5" t="str">
        <f t="shared" si="245"/>
        <v>Low</v>
      </c>
      <c r="Z1183" s="5" t="str">
        <f>IF(B1183=120,"NULL",IF(AND(V1183="High Stress", W1183="High Risk", Y1183="Low"),"High Risk : Reject", IF(AND(V1183="Healthy", W1183="Good",Y1183&lt;&gt;"Low"), "Low Risk : Approve", "Medium Risk : Review")))</f>
        <v>Medium Risk : Review</v>
      </c>
      <c r="AA1183" s="5" t="str">
        <f t="shared" si="246"/>
        <v>Medium</v>
      </c>
    </row>
    <row r="1184" spans="1:27" x14ac:dyDescent="0.2">
      <c r="A1184">
        <v>21634</v>
      </c>
      <c r="B1184">
        <v>29</v>
      </c>
      <c r="C1184">
        <f t="shared" si="234"/>
        <v>29</v>
      </c>
      <c r="D1184" t="s">
        <v>17</v>
      </c>
      <c r="E1184" t="str">
        <f t="shared" si="235"/>
        <v>Contract</v>
      </c>
      <c r="F1184">
        <v>7178.47</v>
      </c>
      <c r="G1184">
        <f>ABS(Table1[[#This Row],[Monthly_Income]])</f>
        <v>7178.47</v>
      </c>
      <c r="H1184">
        <v>18890.28</v>
      </c>
      <c r="I1184" s="5">
        <f t="shared" si="236"/>
        <v>18890.28</v>
      </c>
      <c r="J1184">
        <v>12</v>
      </c>
      <c r="K1184">
        <v>12.58</v>
      </c>
      <c r="M1184" t="str">
        <f t="shared" si="237"/>
        <v>NULL</v>
      </c>
      <c r="N1184">
        <v>6.8</v>
      </c>
      <c r="O1184">
        <f t="shared" si="238"/>
        <v>6.8</v>
      </c>
      <c r="P1184">
        <v>15</v>
      </c>
      <c r="Q1184">
        <f t="shared" si="239"/>
        <v>15</v>
      </c>
      <c r="R1184" t="s">
        <v>18</v>
      </c>
      <c r="S1184" t="str">
        <f t="shared" si="240"/>
        <v>Non-Performing</v>
      </c>
      <c r="T1184" t="s">
        <v>22</v>
      </c>
      <c r="U1184" s="3">
        <f t="shared" si="241"/>
        <v>0.21929324772549025</v>
      </c>
      <c r="V1184" t="str">
        <f t="shared" si="242"/>
        <v>Healthy</v>
      </c>
      <c r="W1184" t="str">
        <f t="shared" si="243"/>
        <v>Good</v>
      </c>
      <c r="X1184" s="5" t="str">
        <f t="shared" si="244"/>
        <v>Medium</v>
      </c>
      <c r="Y1184" s="5" t="str">
        <f t="shared" si="245"/>
        <v>Low</v>
      </c>
      <c r="Z1184" s="5" t="str">
        <f>IF(B1184=120,"NULL",IF(AND(V1184="High Stress", W1184="High Risk", Y1184="Low"),"High Risk : Reject", IF(AND(V1184="Healthy", W1184="Good",Y1184&lt;&gt;"Low"), "Low Risk : Approve", "Medium Risk : Review")))</f>
        <v>Medium Risk : Review</v>
      </c>
      <c r="AA1184" s="5" t="str">
        <f t="shared" si="246"/>
        <v>Medium</v>
      </c>
    </row>
    <row r="1185" spans="1:27" x14ac:dyDescent="0.2">
      <c r="A1185">
        <v>22434</v>
      </c>
      <c r="B1185">
        <v>33</v>
      </c>
      <c r="C1185">
        <f t="shared" si="234"/>
        <v>33</v>
      </c>
      <c r="D1185" t="s">
        <v>26</v>
      </c>
      <c r="E1185" t="str">
        <f t="shared" si="235"/>
        <v>Salaried</v>
      </c>
      <c r="F1185">
        <v>6664.95</v>
      </c>
      <c r="G1185">
        <f>ABS(Table1[[#This Row],[Monthly_Income]])</f>
        <v>6664.95</v>
      </c>
      <c r="H1185">
        <v>29155.59</v>
      </c>
      <c r="I1185" s="5">
        <f t="shared" si="236"/>
        <v>29155.59</v>
      </c>
      <c r="J1185">
        <v>36</v>
      </c>
      <c r="K1185">
        <v>18.920000000000002</v>
      </c>
      <c r="L1185">
        <v>2</v>
      </c>
      <c r="M1185">
        <f t="shared" si="237"/>
        <v>2</v>
      </c>
      <c r="N1185">
        <v>3.3</v>
      </c>
      <c r="O1185">
        <f t="shared" si="238"/>
        <v>3.3</v>
      </c>
      <c r="P1185">
        <v>30</v>
      </c>
      <c r="Q1185">
        <f t="shared" si="239"/>
        <v>30</v>
      </c>
      <c r="R1185" t="s">
        <v>24</v>
      </c>
      <c r="S1185" t="str">
        <f t="shared" si="240"/>
        <v>Non-Performing</v>
      </c>
      <c r="T1185" t="s">
        <v>14</v>
      </c>
      <c r="U1185" s="3">
        <f t="shared" si="241"/>
        <v>0.1215129145755032</v>
      </c>
      <c r="V1185" t="str">
        <f t="shared" si="242"/>
        <v>Healthy</v>
      </c>
      <c r="W1185" t="str">
        <f t="shared" si="243"/>
        <v>At Risk</v>
      </c>
      <c r="X1185" s="5" t="str">
        <f t="shared" si="244"/>
        <v>Medium</v>
      </c>
      <c r="Y1185" s="5" t="str">
        <f t="shared" si="245"/>
        <v>High</v>
      </c>
      <c r="Z1185" s="5" t="str">
        <f>IF(B1185=120,"NULL",IF(AND(V1185="High Stress", W1185="High Risk", Y1185="Low"),"High Risk : Reject", IF(AND(V1185="Healthy", W1185="Good",Y1185&lt;&gt;"Low"), "Low Risk : Approve", "Medium Risk : Review")))</f>
        <v>Medium Risk : Review</v>
      </c>
      <c r="AA1185" s="5" t="str">
        <f t="shared" si="246"/>
        <v>Medium</v>
      </c>
    </row>
    <row r="1186" spans="1:27" x14ac:dyDescent="0.2">
      <c r="A1186">
        <v>23207</v>
      </c>
      <c r="B1186">
        <v>18</v>
      </c>
      <c r="C1186">
        <f t="shared" si="234"/>
        <v>18</v>
      </c>
      <c r="D1186" t="s">
        <v>21</v>
      </c>
      <c r="E1186" t="str">
        <f t="shared" si="235"/>
        <v>Salaried</v>
      </c>
      <c r="F1186">
        <v>3031.63</v>
      </c>
      <c r="G1186">
        <f>ABS(Table1[[#This Row],[Monthly_Income]])</f>
        <v>3031.63</v>
      </c>
      <c r="H1186">
        <v>20349.23</v>
      </c>
      <c r="I1186" s="5">
        <f t="shared" si="236"/>
        <v>20349.23</v>
      </c>
      <c r="J1186">
        <v>36</v>
      </c>
      <c r="K1186">
        <v>22.36</v>
      </c>
      <c r="M1186" t="str">
        <f t="shared" si="237"/>
        <v>NULL</v>
      </c>
      <c r="N1186">
        <v>3.1</v>
      </c>
      <c r="O1186">
        <f t="shared" si="238"/>
        <v>3.1</v>
      </c>
      <c r="P1186">
        <v>90</v>
      </c>
      <c r="Q1186">
        <f t="shared" si="239"/>
        <v>90</v>
      </c>
      <c r="R1186" t="s">
        <v>20</v>
      </c>
      <c r="S1186" t="str">
        <f t="shared" si="240"/>
        <v>Written Off</v>
      </c>
      <c r="T1186" t="s">
        <v>25</v>
      </c>
      <c r="U1186" s="3">
        <f t="shared" si="241"/>
        <v>0.18645296058189451</v>
      </c>
      <c r="V1186" t="str">
        <f t="shared" si="242"/>
        <v>Healthy</v>
      </c>
      <c r="W1186" t="str">
        <f t="shared" si="243"/>
        <v>High Risk</v>
      </c>
      <c r="X1186" s="5" t="str">
        <f t="shared" si="244"/>
        <v>Medium</v>
      </c>
      <c r="Y1186" s="5" t="str">
        <f t="shared" si="245"/>
        <v>High</v>
      </c>
      <c r="Z1186" s="5" t="str">
        <f>IF(B1186=120,"NULL",IF(AND(V1186="High Stress", W1186="High Risk", Y1186="Low"),"High Risk : Reject", IF(AND(V1186="Healthy", W1186="Good",Y1186&lt;&gt;"Low"), "Low Risk : Approve", "Medium Risk : Review")))</f>
        <v>Medium Risk : Review</v>
      </c>
      <c r="AA1186" s="5" t="str">
        <f t="shared" si="246"/>
        <v>Medium</v>
      </c>
    </row>
    <row r="1187" spans="1:27" x14ac:dyDescent="0.2">
      <c r="A1187">
        <v>21968</v>
      </c>
      <c r="B1187">
        <v>43</v>
      </c>
      <c r="C1187">
        <f t="shared" si="234"/>
        <v>43</v>
      </c>
      <c r="D1187" t="s">
        <v>23</v>
      </c>
      <c r="E1187" t="str">
        <f t="shared" si="235"/>
        <v>Self-Employed</v>
      </c>
      <c r="F1187">
        <v>4393.74</v>
      </c>
      <c r="G1187">
        <f>ABS(Table1[[#This Row],[Monthly_Income]])</f>
        <v>4393.74</v>
      </c>
      <c r="H1187">
        <v>16463.18</v>
      </c>
      <c r="I1187" s="5">
        <f t="shared" si="236"/>
        <v>16463.18</v>
      </c>
      <c r="J1187">
        <v>48</v>
      </c>
      <c r="K1187">
        <v>22.34</v>
      </c>
      <c r="L1187">
        <v>0</v>
      </c>
      <c r="M1187">
        <f t="shared" si="237"/>
        <v>0</v>
      </c>
      <c r="N1187">
        <v>7.8</v>
      </c>
      <c r="O1187">
        <f t="shared" si="238"/>
        <v>7.8</v>
      </c>
      <c r="P1187">
        <v>15</v>
      </c>
      <c r="Q1187">
        <f t="shared" si="239"/>
        <v>15</v>
      </c>
      <c r="R1187" t="s">
        <v>24</v>
      </c>
      <c r="S1187" t="str">
        <f t="shared" si="240"/>
        <v>Non-Performing</v>
      </c>
      <c r="T1187" t="s">
        <v>14</v>
      </c>
      <c r="U1187" s="3">
        <f t="shared" si="241"/>
        <v>7.8061723421655974E-2</v>
      </c>
      <c r="V1187" t="str">
        <f t="shared" si="242"/>
        <v>Healthy</v>
      </c>
      <c r="W1187" t="str">
        <f t="shared" si="243"/>
        <v>Good</v>
      </c>
      <c r="X1187" s="5" t="str">
        <f t="shared" si="244"/>
        <v>Medium</v>
      </c>
      <c r="Y1187" s="5" t="str">
        <f t="shared" si="245"/>
        <v>Medium</v>
      </c>
      <c r="Z1187" s="5" t="str">
        <f>IF(B1187=120,"NULL",IF(AND(V1187="High Stress", W1187="High Risk", Y1187="Low"),"High Risk : Reject", IF(AND(V1187="Healthy", W1187="Good",Y1187&lt;&gt;"Low"), "Low Risk : Approve", "Medium Risk : Review")))</f>
        <v>Low Risk : Approve</v>
      </c>
      <c r="AA1187" s="5" t="str">
        <f t="shared" si="246"/>
        <v>Medium</v>
      </c>
    </row>
    <row r="1188" spans="1:27" x14ac:dyDescent="0.2">
      <c r="A1188">
        <v>23428</v>
      </c>
      <c r="B1188">
        <v>42</v>
      </c>
      <c r="C1188">
        <f t="shared" si="234"/>
        <v>42</v>
      </c>
      <c r="D1188" t="s">
        <v>21</v>
      </c>
      <c r="E1188" t="str">
        <f t="shared" si="235"/>
        <v>Salaried</v>
      </c>
      <c r="F1188">
        <v>3927.76</v>
      </c>
      <c r="G1188">
        <f>ABS(Table1[[#This Row],[Monthly_Income]])</f>
        <v>3927.76</v>
      </c>
      <c r="H1188">
        <v>20220.66</v>
      </c>
      <c r="I1188" s="5">
        <f t="shared" si="236"/>
        <v>20220.66</v>
      </c>
      <c r="J1188">
        <v>6</v>
      </c>
      <c r="K1188">
        <v>22.8</v>
      </c>
      <c r="L1188">
        <v>1</v>
      </c>
      <c r="M1188">
        <f t="shared" si="237"/>
        <v>1</v>
      </c>
      <c r="N1188">
        <v>9.1</v>
      </c>
      <c r="O1188">
        <f t="shared" si="238"/>
        <v>9.1</v>
      </c>
      <c r="Q1188" t="str">
        <f t="shared" si="239"/>
        <v>NULL</v>
      </c>
      <c r="R1188" t="s">
        <v>18</v>
      </c>
      <c r="S1188" t="str">
        <f t="shared" si="240"/>
        <v>Non-Performing</v>
      </c>
      <c r="T1188" t="s">
        <v>22</v>
      </c>
      <c r="U1188" s="3">
        <f t="shared" si="241"/>
        <v>0.85802340265189314</v>
      </c>
      <c r="V1188" t="str">
        <f t="shared" si="242"/>
        <v>High Stress</v>
      </c>
      <c r="W1188" t="str">
        <f t="shared" si="243"/>
        <v>NULL</v>
      </c>
      <c r="X1188" s="5" t="str">
        <f t="shared" si="244"/>
        <v>Medium</v>
      </c>
      <c r="Y1188" s="5" t="str">
        <f t="shared" si="245"/>
        <v>High</v>
      </c>
      <c r="Z1188" s="5" t="str">
        <f>IF(B1188=120,"NULL",IF(AND(V1188="High Stress", W1188="High Risk", Y1188="Low"),"High Risk : Reject", IF(AND(V1188="Healthy", W1188="Good",Y1188&lt;&gt;"Low"), "Low Risk : Approve", "Medium Risk : Review")))</f>
        <v>Medium Risk : Review</v>
      </c>
      <c r="AA1188" s="5" t="str">
        <f t="shared" si="246"/>
        <v>Medium</v>
      </c>
    </row>
    <row r="1189" spans="1:27" x14ac:dyDescent="0.2">
      <c r="A1189">
        <v>21148</v>
      </c>
      <c r="B1189">
        <v>75</v>
      </c>
      <c r="C1189">
        <f t="shared" si="234"/>
        <v>75</v>
      </c>
      <c r="D1189" t="s">
        <v>12</v>
      </c>
      <c r="E1189" t="str">
        <f t="shared" si="235"/>
        <v>Self-Employed</v>
      </c>
      <c r="F1189">
        <v>4796.26</v>
      </c>
      <c r="G1189">
        <f>ABS(Table1[[#This Row],[Monthly_Income]])</f>
        <v>4796.26</v>
      </c>
      <c r="H1189">
        <v>23885.33</v>
      </c>
      <c r="I1189" s="5">
        <f t="shared" si="236"/>
        <v>23885.33</v>
      </c>
      <c r="J1189">
        <v>18</v>
      </c>
      <c r="K1189">
        <v>15.08</v>
      </c>
      <c r="L1189">
        <v>4</v>
      </c>
      <c r="M1189">
        <f t="shared" si="237"/>
        <v>4</v>
      </c>
      <c r="N1189">
        <v>1.4</v>
      </c>
      <c r="O1189">
        <f t="shared" si="238"/>
        <v>1.4</v>
      </c>
      <c r="P1189">
        <v>30</v>
      </c>
      <c r="Q1189">
        <f t="shared" si="239"/>
        <v>30</v>
      </c>
      <c r="R1189" t="s">
        <v>15</v>
      </c>
      <c r="S1189" t="str">
        <f t="shared" si="240"/>
        <v xml:space="preserve">Performing </v>
      </c>
      <c r="T1189" t="s">
        <v>16</v>
      </c>
      <c r="U1189" s="3">
        <f t="shared" si="241"/>
        <v>0.27666614774382076</v>
      </c>
      <c r="V1189" t="str">
        <f t="shared" si="242"/>
        <v>Healthy</v>
      </c>
      <c r="W1189" t="str">
        <f t="shared" si="243"/>
        <v>At Risk</v>
      </c>
      <c r="X1189" s="5" t="str">
        <f t="shared" si="244"/>
        <v>Medium</v>
      </c>
      <c r="Y1189" s="5" t="str">
        <f t="shared" si="245"/>
        <v>Medium</v>
      </c>
      <c r="Z1189" s="5" t="str">
        <f>IF(B1189=120,"NULL",IF(AND(V1189="High Stress", W1189="High Risk", Y1189="Low"),"High Risk : Reject", IF(AND(V1189="Healthy", W1189="Good",Y1189&lt;&gt;"Low"), "Low Risk : Approve", "Medium Risk : Review")))</f>
        <v>Medium Risk : Review</v>
      </c>
      <c r="AA1189" s="5" t="str">
        <f t="shared" si="246"/>
        <v>Medium</v>
      </c>
    </row>
    <row r="1190" spans="1:27" x14ac:dyDescent="0.2">
      <c r="A1190">
        <v>22443</v>
      </c>
      <c r="B1190">
        <v>64</v>
      </c>
      <c r="C1190">
        <f t="shared" si="234"/>
        <v>64</v>
      </c>
      <c r="D1190" t="s">
        <v>26</v>
      </c>
      <c r="E1190" t="str">
        <f t="shared" si="235"/>
        <v>Salaried</v>
      </c>
      <c r="F1190">
        <v>7551.94</v>
      </c>
      <c r="G1190">
        <f>ABS(Table1[[#This Row],[Monthly_Income]])</f>
        <v>7551.94</v>
      </c>
      <c r="H1190">
        <v>31433.279999999999</v>
      </c>
      <c r="I1190" s="5">
        <f t="shared" si="236"/>
        <v>31433.279999999999</v>
      </c>
      <c r="J1190">
        <v>24</v>
      </c>
      <c r="K1190">
        <v>10.199999999999999</v>
      </c>
      <c r="M1190" t="str">
        <f t="shared" si="237"/>
        <v>NULL</v>
      </c>
      <c r="N1190">
        <v>6.8</v>
      </c>
      <c r="O1190">
        <f t="shared" si="238"/>
        <v>6.8</v>
      </c>
      <c r="P1190">
        <v>90</v>
      </c>
      <c r="Q1190">
        <f t="shared" si="239"/>
        <v>90</v>
      </c>
      <c r="R1190" t="s">
        <v>13</v>
      </c>
      <c r="S1190" t="str">
        <f t="shared" si="240"/>
        <v>Performing</v>
      </c>
      <c r="T1190" t="s">
        <v>14</v>
      </c>
      <c r="U1190" s="3">
        <f t="shared" si="241"/>
        <v>0.17342828465268526</v>
      </c>
      <c r="V1190" t="str">
        <f t="shared" si="242"/>
        <v>Healthy</v>
      </c>
      <c r="W1190" t="str">
        <f t="shared" si="243"/>
        <v>High Risk</v>
      </c>
      <c r="X1190" s="5" t="str">
        <f t="shared" si="244"/>
        <v>High</v>
      </c>
      <c r="Y1190" s="5" t="str">
        <f t="shared" si="245"/>
        <v>High</v>
      </c>
      <c r="Z1190" s="5" t="str">
        <f>IF(B1190=120,"NULL",IF(AND(V1190="High Stress", W1190="High Risk", Y1190="Low"),"High Risk : Reject", IF(AND(V1190="Healthy", W1190="Good",Y1190&lt;&gt;"Low"), "Low Risk : Approve", "Medium Risk : Review")))</f>
        <v>Medium Risk : Review</v>
      </c>
      <c r="AA1190" s="5" t="str">
        <f t="shared" si="246"/>
        <v>Medium</v>
      </c>
    </row>
    <row r="1191" spans="1:27" x14ac:dyDescent="0.2">
      <c r="A1191">
        <v>21591</v>
      </c>
      <c r="B1191">
        <v>24</v>
      </c>
      <c r="C1191">
        <f t="shared" si="234"/>
        <v>24</v>
      </c>
      <c r="D1191" t="s">
        <v>17</v>
      </c>
      <c r="E1191" t="str">
        <f t="shared" si="235"/>
        <v>Contract</v>
      </c>
      <c r="F1191">
        <v>5219.6099999999997</v>
      </c>
      <c r="G1191">
        <f>ABS(Table1[[#This Row],[Monthly_Income]])</f>
        <v>5219.6099999999997</v>
      </c>
      <c r="H1191">
        <v>16131.71</v>
      </c>
      <c r="I1191" s="5">
        <f t="shared" si="236"/>
        <v>16131.71</v>
      </c>
      <c r="J1191">
        <v>12</v>
      </c>
      <c r="K1191">
        <v>14.09</v>
      </c>
      <c r="L1191">
        <v>1</v>
      </c>
      <c r="M1191">
        <f t="shared" si="237"/>
        <v>1</v>
      </c>
      <c r="N1191">
        <v>4.8</v>
      </c>
      <c r="O1191">
        <f t="shared" si="238"/>
        <v>4.8</v>
      </c>
      <c r="P1191">
        <v>120</v>
      </c>
      <c r="Q1191">
        <f t="shared" si="239"/>
        <v>120</v>
      </c>
      <c r="R1191" t="s">
        <v>15</v>
      </c>
      <c r="S1191" t="str">
        <f t="shared" si="240"/>
        <v xml:space="preserve">Performing </v>
      </c>
      <c r="T1191" t="s">
        <v>19</v>
      </c>
      <c r="U1191" s="3">
        <f t="shared" si="241"/>
        <v>0.25754973392009495</v>
      </c>
      <c r="V1191" t="str">
        <f t="shared" si="242"/>
        <v>Healthy</v>
      </c>
      <c r="W1191" t="str">
        <f t="shared" si="243"/>
        <v>High Risk</v>
      </c>
      <c r="X1191" s="5" t="str">
        <f t="shared" si="244"/>
        <v>Medium</v>
      </c>
      <c r="Y1191" s="5" t="str">
        <f t="shared" si="245"/>
        <v>Low</v>
      </c>
      <c r="Z1191" s="5" t="str">
        <f>IF(B1191=120,"NULL",IF(AND(V1191="High Stress", W1191="High Risk", Y1191="Low"),"High Risk : Reject", IF(AND(V1191="Healthy", W1191="Good",Y1191&lt;&gt;"Low"), "Low Risk : Approve", "Medium Risk : Review")))</f>
        <v>Medium Risk : Review</v>
      </c>
      <c r="AA1191" s="5" t="str">
        <f t="shared" si="246"/>
        <v>Medium</v>
      </c>
    </row>
    <row r="1192" spans="1:27" x14ac:dyDescent="0.2">
      <c r="A1192">
        <v>25870</v>
      </c>
      <c r="B1192">
        <v>59</v>
      </c>
      <c r="C1192">
        <f t="shared" si="234"/>
        <v>59</v>
      </c>
      <c r="D1192" t="s">
        <v>17</v>
      </c>
      <c r="E1192" t="str">
        <f t="shared" si="235"/>
        <v>Contract</v>
      </c>
      <c r="F1192">
        <v>5986.97</v>
      </c>
      <c r="G1192">
        <f>ABS(Table1[[#This Row],[Monthly_Income]])</f>
        <v>5986.97</v>
      </c>
      <c r="H1192">
        <v>14907.39</v>
      </c>
      <c r="I1192" s="5">
        <f t="shared" si="236"/>
        <v>14907.39</v>
      </c>
      <c r="J1192">
        <v>18</v>
      </c>
      <c r="K1192">
        <v>22.43</v>
      </c>
      <c r="L1192">
        <v>1</v>
      </c>
      <c r="M1192">
        <f t="shared" si="237"/>
        <v>1</v>
      </c>
      <c r="N1192">
        <v>9.4</v>
      </c>
      <c r="O1192">
        <f t="shared" si="238"/>
        <v>9.4</v>
      </c>
      <c r="P1192">
        <v>60</v>
      </c>
      <c r="Q1192">
        <f t="shared" si="239"/>
        <v>60</v>
      </c>
      <c r="R1192" t="s">
        <v>24</v>
      </c>
      <c r="S1192" t="str">
        <f t="shared" si="240"/>
        <v>Non-Performing</v>
      </c>
      <c r="T1192" t="s">
        <v>16</v>
      </c>
      <c r="U1192" s="3">
        <f t="shared" si="241"/>
        <v>0.13833179944668728</v>
      </c>
      <c r="V1192" t="str">
        <f t="shared" si="242"/>
        <v>Healthy</v>
      </c>
      <c r="W1192" t="str">
        <f t="shared" si="243"/>
        <v>High Risk</v>
      </c>
      <c r="X1192" s="5" t="str">
        <f t="shared" si="244"/>
        <v>Medium</v>
      </c>
      <c r="Y1192" s="5" t="str">
        <f t="shared" si="245"/>
        <v>Low</v>
      </c>
      <c r="Z1192" s="5" t="str">
        <f>IF(B1192=120,"NULL",IF(AND(V1192="High Stress", W1192="High Risk", Y1192="Low"),"High Risk : Reject", IF(AND(V1192="Healthy", W1192="Good",Y1192&lt;&gt;"Low"), "Low Risk : Approve", "Medium Risk : Review")))</f>
        <v>Medium Risk : Review</v>
      </c>
      <c r="AA1192" s="5" t="str">
        <f t="shared" si="246"/>
        <v>Medium</v>
      </c>
    </row>
    <row r="1193" spans="1:27" x14ac:dyDescent="0.2">
      <c r="A1193">
        <v>20154</v>
      </c>
      <c r="B1193">
        <v>52</v>
      </c>
      <c r="C1193">
        <f t="shared" si="234"/>
        <v>52</v>
      </c>
      <c r="D1193" t="s">
        <v>26</v>
      </c>
      <c r="E1193" t="str">
        <f t="shared" si="235"/>
        <v>Salaried</v>
      </c>
      <c r="F1193">
        <v>4678.71</v>
      </c>
      <c r="G1193">
        <f>ABS(Table1[[#This Row],[Monthly_Income]])</f>
        <v>4678.71</v>
      </c>
      <c r="H1193">
        <v>33778.620000000003</v>
      </c>
      <c r="I1193" s="5">
        <f t="shared" si="236"/>
        <v>33778.620000000003</v>
      </c>
      <c r="J1193">
        <v>24</v>
      </c>
      <c r="K1193">
        <v>18.14</v>
      </c>
      <c r="L1193">
        <v>4</v>
      </c>
      <c r="M1193">
        <f t="shared" si="237"/>
        <v>4</v>
      </c>
      <c r="N1193">
        <v>1.7</v>
      </c>
      <c r="O1193">
        <f t="shared" si="238"/>
        <v>1.7</v>
      </c>
      <c r="P1193">
        <v>0</v>
      </c>
      <c r="Q1193">
        <f t="shared" si="239"/>
        <v>0</v>
      </c>
      <c r="R1193" t="s">
        <v>24</v>
      </c>
      <c r="S1193" t="str">
        <f t="shared" si="240"/>
        <v>Non-Performing</v>
      </c>
      <c r="T1193" t="s">
        <v>25</v>
      </c>
      <c r="U1193" s="3">
        <f t="shared" si="241"/>
        <v>0.30081849484152684</v>
      </c>
      <c r="V1193" t="str">
        <f t="shared" si="242"/>
        <v>Stretched</v>
      </c>
      <c r="W1193" t="str">
        <f t="shared" si="243"/>
        <v>Good</v>
      </c>
      <c r="X1193" s="5" t="str">
        <f t="shared" si="244"/>
        <v>High</v>
      </c>
      <c r="Y1193" s="5" t="str">
        <f t="shared" si="245"/>
        <v>High</v>
      </c>
      <c r="Z1193" s="5" t="str">
        <f>IF(B1193=120,"NULL",IF(AND(V1193="High Stress", W1193="High Risk", Y1193="Low"),"High Risk : Reject", IF(AND(V1193="Healthy", W1193="Good",Y1193&lt;&gt;"Low"), "Low Risk : Approve", "Medium Risk : Review")))</f>
        <v>Medium Risk : Review</v>
      </c>
      <c r="AA1193" s="5" t="str">
        <f t="shared" si="246"/>
        <v>Medium</v>
      </c>
    </row>
    <row r="1194" spans="1:27" x14ac:dyDescent="0.2">
      <c r="A1194">
        <v>23540</v>
      </c>
      <c r="B1194">
        <v>21</v>
      </c>
      <c r="C1194">
        <f t="shared" si="234"/>
        <v>21</v>
      </c>
      <c r="D1194" t="s">
        <v>23</v>
      </c>
      <c r="E1194" t="str">
        <f t="shared" si="235"/>
        <v>Self-Employed</v>
      </c>
      <c r="F1194">
        <v>3818.43</v>
      </c>
      <c r="G1194">
        <f>ABS(Table1[[#This Row],[Monthly_Income]])</f>
        <v>3818.43</v>
      </c>
      <c r="H1194">
        <v>11571.69</v>
      </c>
      <c r="I1194" s="5">
        <f t="shared" si="236"/>
        <v>11571.69</v>
      </c>
      <c r="J1194">
        <v>6</v>
      </c>
      <c r="K1194">
        <v>16.73</v>
      </c>
      <c r="L1194">
        <v>4</v>
      </c>
      <c r="M1194">
        <f t="shared" si="237"/>
        <v>4</v>
      </c>
      <c r="N1194">
        <v>4</v>
      </c>
      <c r="O1194">
        <f t="shared" si="238"/>
        <v>4</v>
      </c>
      <c r="P1194">
        <v>120</v>
      </c>
      <c r="Q1194">
        <f t="shared" si="239"/>
        <v>120</v>
      </c>
      <c r="R1194" t="s">
        <v>18</v>
      </c>
      <c r="S1194" t="str">
        <f t="shared" si="240"/>
        <v>Non-Performing</v>
      </c>
      <c r="T1194" t="s">
        <v>16</v>
      </c>
      <c r="U1194" s="3">
        <f t="shared" si="241"/>
        <v>0.5050806221405133</v>
      </c>
      <c r="V1194" t="str">
        <f t="shared" si="242"/>
        <v>High Stress</v>
      </c>
      <c r="W1194" t="str">
        <f t="shared" si="243"/>
        <v>High Risk</v>
      </c>
      <c r="X1194" s="5" t="str">
        <f t="shared" si="244"/>
        <v>Medium</v>
      </c>
      <c r="Y1194" s="5" t="str">
        <f t="shared" si="245"/>
        <v>Medium</v>
      </c>
      <c r="Z1194" s="5" t="str">
        <f>IF(B1194=120,"NULL",IF(AND(V1194="High Stress", W1194="High Risk", Y1194="Low"),"High Risk : Reject", IF(AND(V1194="Healthy", W1194="Good",Y1194&lt;&gt;"Low"), "Low Risk : Approve", "Medium Risk : Review")))</f>
        <v>Medium Risk : Review</v>
      </c>
      <c r="AA1194" s="5" t="str">
        <f t="shared" si="246"/>
        <v>Medium</v>
      </c>
    </row>
    <row r="1195" spans="1:27" x14ac:dyDescent="0.2">
      <c r="A1195">
        <v>23799</v>
      </c>
      <c r="B1195">
        <v>34</v>
      </c>
      <c r="C1195">
        <f t="shared" si="234"/>
        <v>34</v>
      </c>
      <c r="D1195" t="s">
        <v>12</v>
      </c>
      <c r="E1195" t="str">
        <f t="shared" si="235"/>
        <v>Self-Employed</v>
      </c>
      <c r="F1195">
        <v>4283.75</v>
      </c>
      <c r="G1195">
        <f>ABS(Table1[[#This Row],[Monthly_Income]])</f>
        <v>4283.75</v>
      </c>
      <c r="H1195">
        <v>23594.05</v>
      </c>
      <c r="I1195" s="5">
        <f t="shared" si="236"/>
        <v>23594.05</v>
      </c>
      <c r="J1195">
        <v>60</v>
      </c>
      <c r="K1195">
        <v>55</v>
      </c>
      <c r="L1195">
        <v>4</v>
      </c>
      <c r="M1195">
        <f t="shared" si="237"/>
        <v>4</v>
      </c>
      <c r="N1195">
        <v>9.1999999999999993</v>
      </c>
      <c r="O1195">
        <f t="shared" si="238"/>
        <v>9.1999999999999993</v>
      </c>
      <c r="P1195">
        <v>90</v>
      </c>
      <c r="Q1195">
        <f t="shared" si="239"/>
        <v>90</v>
      </c>
      <c r="R1195" t="s">
        <v>13</v>
      </c>
      <c r="S1195" t="str">
        <f t="shared" si="240"/>
        <v>Performing</v>
      </c>
      <c r="T1195" t="s">
        <v>16</v>
      </c>
      <c r="U1195" s="3">
        <f t="shared" si="241"/>
        <v>9.1796712382063994E-2</v>
      </c>
      <c r="V1195" t="str">
        <f t="shared" si="242"/>
        <v>Healthy</v>
      </c>
      <c r="W1195" t="str">
        <f t="shared" si="243"/>
        <v>High Risk</v>
      </c>
      <c r="X1195" s="5" t="str">
        <f t="shared" si="244"/>
        <v>Medium</v>
      </c>
      <c r="Y1195" s="5" t="str">
        <f t="shared" si="245"/>
        <v>Medium</v>
      </c>
      <c r="Z1195" s="5" t="str">
        <f>IF(B1195=120,"NULL",IF(AND(V1195="High Stress", W1195="High Risk", Y1195="Low"),"High Risk : Reject", IF(AND(V1195="Healthy", W1195="Good",Y1195&lt;&gt;"Low"), "Low Risk : Approve", "Medium Risk : Review")))</f>
        <v>Medium Risk : Review</v>
      </c>
      <c r="AA1195" s="5" t="str">
        <f t="shared" si="246"/>
        <v>Medium</v>
      </c>
    </row>
    <row r="1196" spans="1:27" x14ac:dyDescent="0.2">
      <c r="A1196">
        <v>20210</v>
      </c>
      <c r="B1196">
        <v>43</v>
      </c>
      <c r="C1196">
        <f t="shared" si="234"/>
        <v>43</v>
      </c>
      <c r="D1196" t="s">
        <v>21</v>
      </c>
      <c r="E1196" t="str">
        <f t="shared" si="235"/>
        <v>Salaried</v>
      </c>
      <c r="F1196">
        <v>3332.53</v>
      </c>
      <c r="G1196">
        <f>ABS(Table1[[#This Row],[Monthly_Income]])</f>
        <v>3332.53</v>
      </c>
      <c r="H1196">
        <v>22340.84</v>
      </c>
      <c r="I1196" s="5">
        <f t="shared" si="236"/>
        <v>22340.84</v>
      </c>
      <c r="J1196">
        <v>36</v>
      </c>
      <c r="K1196">
        <v>20.350000000000001</v>
      </c>
      <c r="L1196">
        <v>3</v>
      </c>
      <c r="M1196">
        <f t="shared" si="237"/>
        <v>3</v>
      </c>
      <c r="N1196">
        <v>6</v>
      </c>
      <c r="O1196">
        <f t="shared" si="238"/>
        <v>6</v>
      </c>
      <c r="Q1196" t="str">
        <f t="shared" si="239"/>
        <v>NULL</v>
      </c>
      <c r="R1196" t="s">
        <v>13</v>
      </c>
      <c r="S1196" t="str">
        <f t="shared" si="240"/>
        <v>Performing</v>
      </c>
      <c r="T1196" t="s">
        <v>16</v>
      </c>
      <c r="U1196" s="3">
        <f t="shared" si="241"/>
        <v>0.18621854533609267</v>
      </c>
      <c r="V1196" t="str">
        <f t="shared" si="242"/>
        <v>Healthy</v>
      </c>
      <c r="W1196" t="str">
        <f t="shared" si="243"/>
        <v>NULL</v>
      </c>
      <c r="X1196" s="5" t="str">
        <f t="shared" si="244"/>
        <v>Medium</v>
      </c>
      <c r="Y1196" s="5" t="str">
        <f t="shared" si="245"/>
        <v>High</v>
      </c>
      <c r="Z1196" s="5" t="str">
        <f>IF(B1196=120,"NULL",IF(AND(V1196="High Stress", W1196="High Risk", Y1196="Low"),"High Risk : Reject", IF(AND(V1196="Healthy", W1196="Good",Y1196&lt;&gt;"Low"), "Low Risk : Approve", "Medium Risk : Review")))</f>
        <v>Medium Risk : Review</v>
      </c>
      <c r="AA1196" s="5" t="str">
        <f t="shared" si="246"/>
        <v>Medium</v>
      </c>
    </row>
    <row r="1197" spans="1:27" x14ac:dyDescent="0.2">
      <c r="A1197">
        <v>22097</v>
      </c>
      <c r="B1197">
        <v>50</v>
      </c>
      <c r="C1197">
        <f t="shared" si="234"/>
        <v>50</v>
      </c>
      <c r="D1197" t="s">
        <v>26</v>
      </c>
      <c r="E1197" t="str">
        <f t="shared" si="235"/>
        <v>Salaried</v>
      </c>
      <c r="F1197">
        <v>2500.52</v>
      </c>
      <c r="G1197">
        <f>ABS(Table1[[#This Row],[Monthly_Income]])</f>
        <v>2500.52</v>
      </c>
      <c r="H1197">
        <v>21441.040000000001</v>
      </c>
      <c r="I1197" s="5">
        <f t="shared" si="236"/>
        <v>21441.040000000001</v>
      </c>
      <c r="J1197">
        <v>24</v>
      </c>
      <c r="K1197">
        <v>19.059999999999999</v>
      </c>
      <c r="L1197">
        <v>0</v>
      </c>
      <c r="M1197">
        <f t="shared" si="237"/>
        <v>0</v>
      </c>
      <c r="N1197">
        <v>10.199999999999999</v>
      </c>
      <c r="O1197">
        <f t="shared" si="238"/>
        <v>10.199999999999999</v>
      </c>
      <c r="P1197">
        <v>0</v>
      </c>
      <c r="Q1197">
        <f t="shared" si="239"/>
        <v>0</v>
      </c>
      <c r="R1197" t="s">
        <v>24</v>
      </c>
      <c r="S1197" t="str">
        <f t="shared" si="240"/>
        <v>Non-Performing</v>
      </c>
      <c r="T1197" t="s">
        <v>14</v>
      </c>
      <c r="U1197" s="3">
        <f t="shared" si="241"/>
        <v>0.35727635318520418</v>
      </c>
      <c r="V1197" t="str">
        <f t="shared" si="242"/>
        <v>Stretched</v>
      </c>
      <c r="W1197" t="str">
        <f t="shared" si="243"/>
        <v>Good</v>
      </c>
      <c r="X1197" s="5" t="str">
        <f t="shared" si="244"/>
        <v>Medium</v>
      </c>
      <c r="Y1197" s="5" t="str">
        <f t="shared" si="245"/>
        <v>High</v>
      </c>
      <c r="Z1197" s="5" t="str">
        <f>IF(B1197=120,"NULL",IF(AND(V1197="High Stress", W1197="High Risk", Y1197="Low"),"High Risk : Reject", IF(AND(V1197="Healthy", W1197="Good",Y1197&lt;&gt;"Low"), "Low Risk : Approve", "Medium Risk : Review")))</f>
        <v>Medium Risk : Review</v>
      </c>
      <c r="AA1197" s="5" t="str">
        <f t="shared" si="246"/>
        <v>Medium</v>
      </c>
    </row>
    <row r="1198" spans="1:27" x14ac:dyDescent="0.2">
      <c r="A1198">
        <v>23255</v>
      </c>
      <c r="B1198">
        <v>21</v>
      </c>
      <c r="C1198">
        <f t="shared" si="234"/>
        <v>21</v>
      </c>
      <c r="D1198" t="s">
        <v>26</v>
      </c>
      <c r="E1198" t="str">
        <f t="shared" si="235"/>
        <v>Salaried</v>
      </c>
      <c r="F1198">
        <v>8085.72</v>
      </c>
      <c r="G1198">
        <f>ABS(Table1[[#This Row],[Monthly_Income]])</f>
        <v>8085.72</v>
      </c>
      <c r="H1198">
        <v>16943.72</v>
      </c>
      <c r="I1198" s="5">
        <f t="shared" si="236"/>
        <v>16943.72</v>
      </c>
      <c r="J1198">
        <v>48</v>
      </c>
      <c r="K1198">
        <v>26.07</v>
      </c>
      <c r="L1198">
        <v>1</v>
      </c>
      <c r="M1198">
        <f t="shared" si="237"/>
        <v>1</v>
      </c>
      <c r="N1198">
        <v>5.3</v>
      </c>
      <c r="O1198">
        <f t="shared" si="238"/>
        <v>5.3</v>
      </c>
      <c r="P1198">
        <v>90</v>
      </c>
      <c r="Q1198">
        <f t="shared" si="239"/>
        <v>90</v>
      </c>
      <c r="R1198" t="s">
        <v>13</v>
      </c>
      <c r="S1198" t="str">
        <f t="shared" si="240"/>
        <v>Performing</v>
      </c>
      <c r="T1198" t="s">
        <v>19</v>
      </c>
      <c r="U1198" s="3">
        <f t="shared" si="241"/>
        <v>4.3656491526625547E-2</v>
      </c>
      <c r="V1198" t="str">
        <f t="shared" si="242"/>
        <v>Healthy</v>
      </c>
      <c r="W1198" t="str">
        <f t="shared" si="243"/>
        <v>High Risk</v>
      </c>
      <c r="X1198" s="5" t="str">
        <f t="shared" si="244"/>
        <v>Medium</v>
      </c>
      <c r="Y1198" s="5" t="str">
        <f t="shared" si="245"/>
        <v>High</v>
      </c>
      <c r="Z1198" s="5" t="str">
        <f>IF(B1198=120,"NULL",IF(AND(V1198="High Stress", W1198="High Risk", Y1198="Low"),"High Risk : Reject", IF(AND(V1198="Healthy", W1198="Good",Y1198&lt;&gt;"Low"), "Low Risk : Approve", "Medium Risk : Review")))</f>
        <v>Medium Risk : Review</v>
      </c>
      <c r="AA1198" s="5" t="str">
        <f t="shared" si="246"/>
        <v>High</v>
      </c>
    </row>
    <row r="1199" spans="1:27" x14ac:dyDescent="0.2">
      <c r="A1199">
        <v>24318</v>
      </c>
      <c r="B1199">
        <v>62</v>
      </c>
      <c r="C1199">
        <f t="shared" si="234"/>
        <v>62</v>
      </c>
      <c r="D1199" t="s">
        <v>17</v>
      </c>
      <c r="E1199" t="str">
        <f t="shared" si="235"/>
        <v>Contract</v>
      </c>
      <c r="F1199">
        <v>5525.8</v>
      </c>
      <c r="G1199">
        <f>ABS(Table1[[#This Row],[Monthly_Income]])</f>
        <v>5525.8</v>
      </c>
      <c r="H1199">
        <v>11946</v>
      </c>
      <c r="I1199" s="5">
        <f t="shared" si="236"/>
        <v>11946</v>
      </c>
      <c r="J1199">
        <v>60</v>
      </c>
      <c r="K1199">
        <v>23.84</v>
      </c>
      <c r="L1199">
        <v>0</v>
      </c>
      <c r="M1199">
        <f t="shared" si="237"/>
        <v>0</v>
      </c>
      <c r="N1199">
        <v>10.6</v>
      </c>
      <c r="O1199">
        <f t="shared" si="238"/>
        <v>10.6</v>
      </c>
      <c r="P1199">
        <v>0</v>
      </c>
      <c r="Q1199">
        <f t="shared" si="239"/>
        <v>0</v>
      </c>
      <c r="R1199" t="s">
        <v>13</v>
      </c>
      <c r="S1199" t="str">
        <f t="shared" si="240"/>
        <v>Performing</v>
      </c>
      <c r="T1199" t="s">
        <v>14</v>
      </c>
      <c r="U1199" s="3">
        <f t="shared" si="241"/>
        <v>3.603098193926671E-2</v>
      </c>
      <c r="V1199" t="str">
        <f t="shared" si="242"/>
        <v>Healthy</v>
      </c>
      <c r="W1199" t="str">
        <f t="shared" si="243"/>
        <v>Good</v>
      </c>
      <c r="X1199" s="5" t="str">
        <f t="shared" si="244"/>
        <v>Medium</v>
      </c>
      <c r="Y1199" s="5" t="str">
        <f t="shared" si="245"/>
        <v>Low</v>
      </c>
      <c r="Z1199" s="5" t="str">
        <f>IF(B1199=120,"NULL",IF(AND(V1199="High Stress", W1199="High Risk", Y1199="Low"),"High Risk : Reject", IF(AND(V1199="Healthy", W1199="Good",Y1199&lt;&gt;"Low"), "Low Risk : Approve", "Medium Risk : Review")))</f>
        <v>Medium Risk : Review</v>
      </c>
      <c r="AA1199" s="5" t="str">
        <f t="shared" si="246"/>
        <v>Medium</v>
      </c>
    </row>
    <row r="1200" spans="1:27" x14ac:dyDescent="0.2">
      <c r="A1200">
        <v>21404</v>
      </c>
      <c r="B1200">
        <v>31</v>
      </c>
      <c r="C1200">
        <f t="shared" si="234"/>
        <v>31</v>
      </c>
      <c r="D1200" t="s">
        <v>23</v>
      </c>
      <c r="E1200" t="str">
        <f t="shared" si="235"/>
        <v>Self-Employed</v>
      </c>
      <c r="F1200">
        <v>6479.87</v>
      </c>
      <c r="G1200">
        <f>ABS(Table1[[#This Row],[Monthly_Income]])</f>
        <v>6479.87</v>
      </c>
      <c r="H1200">
        <v>27475.66</v>
      </c>
      <c r="I1200" s="5">
        <f t="shared" si="236"/>
        <v>27475.66</v>
      </c>
      <c r="J1200">
        <v>12</v>
      </c>
      <c r="K1200">
        <v>15.4</v>
      </c>
      <c r="L1200">
        <v>3</v>
      </c>
      <c r="M1200">
        <f t="shared" si="237"/>
        <v>3</v>
      </c>
      <c r="N1200">
        <v>0.4</v>
      </c>
      <c r="O1200">
        <f t="shared" si="238"/>
        <v>0.4</v>
      </c>
      <c r="P1200">
        <v>0</v>
      </c>
      <c r="Q1200">
        <f t="shared" si="239"/>
        <v>0</v>
      </c>
      <c r="R1200" t="s">
        <v>15</v>
      </c>
      <c r="S1200" t="str">
        <f t="shared" si="240"/>
        <v xml:space="preserve">Performing </v>
      </c>
      <c r="T1200" t="s">
        <v>25</v>
      </c>
      <c r="U1200" s="3">
        <f t="shared" si="241"/>
        <v>0.3533463377094499</v>
      </c>
      <c r="V1200" t="str">
        <f t="shared" si="242"/>
        <v>Stretched</v>
      </c>
      <c r="W1200" t="str">
        <f t="shared" si="243"/>
        <v>Good</v>
      </c>
      <c r="X1200" s="5" t="str">
        <f t="shared" si="244"/>
        <v>Medium</v>
      </c>
      <c r="Y1200" s="5" t="str">
        <f t="shared" si="245"/>
        <v>Medium</v>
      </c>
      <c r="Z1200" s="5" t="str">
        <f>IF(B1200=120,"NULL",IF(AND(V1200="High Stress", W1200="High Risk", Y1200="Low"),"High Risk : Reject", IF(AND(V1200="Healthy", W1200="Good",Y1200&lt;&gt;"Low"), "Low Risk : Approve", "Medium Risk : Review")))</f>
        <v>Medium Risk : Review</v>
      </c>
      <c r="AA1200" s="5" t="str">
        <f t="shared" si="246"/>
        <v>Medium</v>
      </c>
    </row>
    <row r="1201" spans="1:27" x14ac:dyDescent="0.2">
      <c r="A1201">
        <v>20609</v>
      </c>
      <c r="B1201">
        <v>52</v>
      </c>
      <c r="C1201">
        <f t="shared" si="234"/>
        <v>52</v>
      </c>
      <c r="D1201" t="s">
        <v>17</v>
      </c>
      <c r="E1201" t="str">
        <f t="shared" si="235"/>
        <v>Contract</v>
      </c>
      <c r="F1201">
        <v>5710.35</v>
      </c>
      <c r="G1201">
        <f>ABS(Table1[[#This Row],[Monthly_Income]])</f>
        <v>5710.35</v>
      </c>
      <c r="H1201">
        <v>22512.22</v>
      </c>
      <c r="I1201" s="5">
        <f t="shared" si="236"/>
        <v>22512.22</v>
      </c>
      <c r="J1201">
        <v>24</v>
      </c>
      <c r="K1201">
        <v>16.98</v>
      </c>
      <c r="L1201">
        <v>4</v>
      </c>
      <c r="M1201">
        <f t="shared" si="237"/>
        <v>4</v>
      </c>
      <c r="N1201">
        <v>3.3</v>
      </c>
      <c r="O1201">
        <f t="shared" si="238"/>
        <v>3.3</v>
      </c>
      <c r="P1201">
        <v>30</v>
      </c>
      <c r="Q1201">
        <f t="shared" si="239"/>
        <v>30</v>
      </c>
      <c r="R1201" t="s">
        <v>18</v>
      </c>
      <c r="S1201" t="str">
        <f t="shared" si="240"/>
        <v>Non-Performing</v>
      </c>
      <c r="T1201" t="s">
        <v>16</v>
      </c>
      <c r="U1201" s="3">
        <f t="shared" si="241"/>
        <v>0.16426474150737985</v>
      </c>
      <c r="V1201" t="str">
        <f t="shared" si="242"/>
        <v>Healthy</v>
      </c>
      <c r="W1201" t="str">
        <f t="shared" si="243"/>
        <v>At Risk</v>
      </c>
      <c r="X1201" s="5" t="str">
        <f t="shared" si="244"/>
        <v>Medium</v>
      </c>
      <c r="Y1201" s="5" t="str">
        <f t="shared" si="245"/>
        <v>Low</v>
      </c>
      <c r="Z1201" s="5" t="str">
        <f>IF(B1201=120,"NULL",IF(AND(V1201="High Stress", W1201="High Risk", Y1201="Low"),"High Risk : Reject", IF(AND(V1201="Healthy", W1201="Good",Y1201&lt;&gt;"Low"), "Low Risk : Approve", "Medium Risk : Review")))</f>
        <v>Medium Risk : Review</v>
      </c>
      <c r="AA1201" s="5" t="str">
        <f t="shared" si="246"/>
        <v>Medium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1"/>
  <sheetViews>
    <sheetView workbookViewId="0">
      <selection activeCell="F14" sqref="F14"/>
    </sheetView>
  </sheetViews>
  <sheetFormatPr baseColWidth="10" defaultRowHeight="16" x14ac:dyDescent="0.2"/>
  <cols>
    <col min="1" max="1" width="5.6640625" customWidth="1"/>
    <col min="2" max="2" width="19.5" bestFit="1" customWidth="1"/>
    <col min="3" max="3" width="19.33203125" bestFit="1" customWidth="1"/>
    <col min="4" max="4" width="34.6640625" style="3" bestFit="1" customWidth="1"/>
    <col min="5" max="5" width="27.33203125" bestFit="1" customWidth="1"/>
    <col min="6" max="6" width="20.5" bestFit="1" customWidth="1"/>
  </cols>
  <sheetData>
    <row r="1" spans="2:5" ht="31" customHeight="1" x14ac:dyDescent="0.2">
      <c r="B1" s="12" t="s">
        <v>82</v>
      </c>
      <c r="C1" s="12"/>
      <c r="D1" s="12"/>
    </row>
    <row r="3" spans="2:5" x14ac:dyDescent="0.2">
      <c r="B3" s="6" t="s">
        <v>62</v>
      </c>
      <c r="C3" t="s">
        <v>73</v>
      </c>
      <c r="D3" t="s">
        <v>78</v>
      </c>
      <c r="E3" t="s">
        <v>79</v>
      </c>
    </row>
    <row r="4" spans="2:5" x14ac:dyDescent="0.2">
      <c r="B4" s="7" t="s">
        <v>67</v>
      </c>
      <c r="C4" s="5">
        <v>32</v>
      </c>
      <c r="D4" s="9">
        <v>0.95643986087687405</v>
      </c>
      <c r="E4" s="9">
        <v>25239.349999999995</v>
      </c>
    </row>
    <row r="5" spans="2:5" x14ac:dyDescent="0.2">
      <c r="B5" s="7" t="s">
        <v>66</v>
      </c>
      <c r="C5" s="5">
        <v>241</v>
      </c>
      <c r="D5" s="9">
        <v>0.12477976006550036</v>
      </c>
      <c r="E5" s="9">
        <v>19220.73904564316</v>
      </c>
    </row>
    <row r="6" spans="2:5" x14ac:dyDescent="0.2">
      <c r="B6" s="7" t="s">
        <v>65</v>
      </c>
      <c r="C6" s="5">
        <v>23</v>
      </c>
      <c r="D6" s="9">
        <v>0.27130422858168118</v>
      </c>
      <c r="E6" s="9">
        <v>15825.038571428571</v>
      </c>
    </row>
    <row r="7" spans="2:5" x14ac:dyDescent="0.2">
      <c r="B7" s="7" t="s">
        <v>81</v>
      </c>
      <c r="C7" s="5">
        <v>904</v>
      </c>
      <c r="D7" s="9">
        <v>0.51441203587236894</v>
      </c>
      <c r="E7" s="9">
        <v>20124.391118721451</v>
      </c>
    </row>
    <row r="8" spans="2:5" x14ac:dyDescent="0.2">
      <c r="B8" s="7" t="s">
        <v>63</v>
      </c>
      <c r="C8" s="5">
        <v>1200</v>
      </c>
      <c r="D8" s="9">
        <v>0.44188062388739779</v>
      </c>
      <c r="E8" s="9">
        <v>20000.982683760682</v>
      </c>
    </row>
    <row r="10" spans="2:5" x14ac:dyDescent="0.2">
      <c r="B10" s="10"/>
      <c r="C10" s="10"/>
    </row>
    <row r="11" spans="2:5" x14ac:dyDescent="0.2">
      <c r="B11" s="11"/>
    </row>
  </sheetData>
  <mergeCells count="2">
    <mergeCell ref="B1:D1"/>
    <mergeCell ref="B10:C10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8"/>
  <sheetViews>
    <sheetView workbookViewId="0">
      <selection activeCell="H25" sqref="H25"/>
    </sheetView>
  </sheetViews>
  <sheetFormatPr baseColWidth="10" defaultRowHeight="16" x14ac:dyDescent="0.2"/>
  <cols>
    <col min="2" max="2" width="19.33203125" bestFit="1" customWidth="1"/>
    <col min="3" max="3" width="34.6640625" bestFit="1" customWidth="1"/>
    <col min="4" max="4" width="29" bestFit="1" customWidth="1"/>
    <col min="5" max="5" width="5.5" bestFit="1" customWidth="1"/>
    <col min="6" max="6" width="19.83203125" bestFit="1" customWidth="1"/>
    <col min="7" max="7" width="10.83203125" bestFit="1" customWidth="1"/>
    <col min="8" max="8" width="29" bestFit="1" customWidth="1"/>
    <col min="9" max="9" width="19.33203125" bestFit="1" customWidth="1"/>
    <col min="10" max="10" width="29" bestFit="1" customWidth="1"/>
    <col min="11" max="11" width="24.1640625" bestFit="1" customWidth="1"/>
    <col min="12" max="12" width="33.83203125" bestFit="1" customWidth="1"/>
  </cols>
  <sheetData>
    <row r="1" spans="2:7" ht="29" customHeight="1" x14ac:dyDescent="0.2">
      <c r="B1" s="12" t="s">
        <v>83</v>
      </c>
      <c r="C1" s="12"/>
      <c r="D1" s="12"/>
    </row>
    <row r="3" spans="2:7" x14ac:dyDescent="0.2">
      <c r="B3" s="6" t="s">
        <v>73</v>
      </c>
      <c r="C3" s="6" t="s">
        <v>64</v>
      </c>
    </row>
    <row r="4" spans="2:7" x14ac:dyDescent="0.2">
      <c r="B4" s="6" t="s">
        <v>62</v>
      </c>
      <c r="C4" t="s">
        <v>67</v>
      </c>
      <c r="D4" t="s">
        <v>66</v>
      </c>
      <c r="E4" t="s">
        <v>65</v>
      </c>
      <c r="F4" t="s">
        <v>81</v>
      </c>
      <c r="G4" t="s">
        <v>63</v>
      </c>
    </row>
    <row r="5" spans="2:7" x14ac:dyDescent="0.2">
      <c r="B5" s="7" t="s">
        <v>22</v>
      </c>
      <c r="C5" s="5">
        <v>13</v>
      </c>
      <c r="D5" s="5">
        <v>51</v>
      </c>
      <c r="E5" s="5">
        <v>5</v>
      </c>
      <c r="F5" s="5">
        <v>177</v>
      </c>
      <c r="G5" s="5">
        <v>246</v>
      </c>
    </row>
    <row r="6" spans="2:7" x14ac:dyDescent="0.2">
      <c r="B6" s="7" t="s">
        <v>19</v>
      </c>
      <c r="C6" s="5">
        <v>6</v>
      </c>
      <c r="D6" s="5">
        <v>49</v>
      </c>
      <c r="E6" s="5">
        <v>5</v>
      </c>
      <c r="F6" s="5">
        <v>166</v>
      </c>
      <c r="G6" s="5">
        <v>226</v>
      </c>
    </row>
    <row r="7" spans="2:7" x14ac:dyDescent="0.2">
      <c r="B7" s="7" t="s">
        <v>16</v>
      </c>
      <c r="C7" s="5">
        <v>5</v>
      </c>
      <c r="D7" s="5">
        <v>53</v>
      </c>
      <c r="E7" s="5">
        <v>8</v>
      </c>
      <c r="F7" s="5">
        <v>191</v>
      </c>
      <c r="G7" s="5">
        <v>257</v>
      </c>
    </row>
    <row r="8" spans="2:7" x14ac:dyDescent="0.2">
      <c r="B8" s="7" t="s">
        <v>14</v>
      </c>
      <c r="C8" s="5">
        <v>5</v>
      </c>
      <c r="D8" s="5">
        <v>50</v>
      </c>
      <c r="E8" s="5">
        <v>3</v>
      </c>
      <c r="F8" s="5">
        <v>200</v>
      </c>
      <c r="G8" s="5">
        <v>258</v>
      </c>
    </row>
    <row r="9" spans="2:7" x14ac:dyDescent="0.2">
      <c r="B9" s="7" t="s">
        <v>25</v>
      </c>
      <c r="C9" s="5">
        <v>3</v>
      </c>
      <c r="D9" s="5">
        <v>38</v>
      </c>
      <c r="E9" s="5">
        <v>2</v>
      </c>
      <c r="F9" s="5">
        <v>170</v>
      </c>
      <c r="G9" s="5">
        <v>213</v>
      </c>
    </row>
    <row r="10" spans="2:7" x14ac:dyDescent="0.2">
      <c r="B10" s="7" t="s">
        <v>63</v>
      </c>
      <c r="C10" s="5">
        <v>32</v>
      </c>
      <c r="D10" s="5">
        <v>241</v>
      </c>
      <c r="E10" s="5">
        <v>23</v>
      </c>
      <c r="F10" s="5">
        <v>904</v>
      </c>
      <c r="G10" s="5">
        <v>1200</v>
      </c>
    </row>
    <row r="12" spans="2:7" x14ac:dyDescent="0.2">
      <c r="B12" s="6" t="s">
        <v>62</v>
      </c>
      <c r="C12" t="s">
        <v>78</v>
      </c>
      <c r="D12" t="s">
        <v>80</v>
      </c>
    </row>
    <row r="13" spans="2:7" x14ac:dyDescent="0.2">
      <c r="B13" s="7" t="s">
        <v>22</v>
      </c>
      <c r="C13" s="9">
        <v>0.37984654029422432</v>
      </c>
      <c r="D13" s="9">
        <v>39.220183486238533</v>
      </c>
    </row>
    <row r="14" spans="2:7" x14ac:dyDescent="0.2">
      <c r="B14" s="7" t="s">
        <v>19</v>
      </c>
      <c r="C14" s="9">
        <v>0.8217851942904173</v>
      </c>
      <c r="D14" s="9">
        <v>40.661764705882355</v>
      </c>
    </row>
    <row r="15" spans="2:7" x14ac:dyDescent="0.2">
      <c r="B15" s="7" t="s">
        <v>16</v>
      </c>
      <c r="C15" s="9">
        <v>0.38528869538784954</v>
      </c>
      <c r="D15" s="9">
        <v>34.096916299559474</v>
      </c>
    </row>
    <row r="16" spans="2:7" x14ac:dyDescent="0.2">
      <c r="B16" s="7" t="s">
        <v>14</v>
      </c>
      <c r="C16" s="9">
        <v>0.3418663910202881</v>
      </c>
      <c r="D16" s="9">
        <v>39.62882096069869</v>
      </c>
    </row>
    <row r="17" spans="2:4" x14ac:dyDescent="0.2">
      <c r="B17" s="7" t="s">
        <v>25</v>
      </c>
      <c r="C17" s="9">
        <v>0.30054937339794519</v>
      </c>
      <c r="D17" s="9">
        <v>35.703125</v>
      </c>
    </row>
    <row r="18" spans="2:4" x14ac:dyDescent="0.2">
      <c r="B18" s="7" t="s">
        <v>63</v>
      </c>
      <c r="C18" s="9">
        <v>0.44188062388739846</v>
      </c>
      <c r="D18" s="9">
        <v>37.864485981308412</v>
      </c>
    </row>
  </sheetData>
  <mergeCells count="1">
    <mergeCell ref="B1:D1"/>
  </mergeCell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8"/>
  <sheetViews>
    <sheetView tabSelected="1" workbookViewId="0">
      <selection activeCell="I18" sqref="I18"/>
    </sheetView>
  </sheetViews>
  <sheetFormatPr baseColWidth="10" defaultRowHeight="16" x14ac:dyDescent="0.2"/>
  <cols>
    <col min="2" max="2" width="19.33203125" bestFit="1" customWidth="1"/>
    <col min="3" max="3" width="15.6640625" bestFit="1" customWidth="1"/>
    <col min="4" max="4" width="29" bestFit="1" customWidth="1"/>
    <col min="5" max="5" width="19.83203125" bestFit="1" customWidth="1"/>
    <col min="6" max="6" width="6.1640625" bestFit="1" customWidth="1"/>
    <col min="7" max="7" width="10.83203125" bestFit="1" customWidth="1"/>
    <col min="8" max="8" width="17" bestFit="1" customWidth="1"/>
    <col min="9" max="9" width="19.83203125" bestFit="1" customWidth="1"/>
    <col min="10" max="10" width="12.1640625" bestFit="1" customWidth="1"/>
    <col min="11" max="11" width="20.5" bestFit="1" customWidth="1"/>
    <col min="12" max="12" width="17" bestFit="1" customWidth="1"/>
    <col min="13" max="13" width="19.83203125" bestFit="1" customWidth="1"/>
    <col min="14" max="14" width="5.5" bestFit="1" customWidth="1"/>
    <col min="15" max="15" width="39.5" bestFit="1" customWidth="1"/>
    <col min="16" max="16" width="33.83203125" bestFit="1" customWidth="1"/>
    <col min="17" max="17" width="25.33203125" bestFit="1" customWidth="1"/>
  </cols>
  <sheetData>
    <row r="1" spans="2:7" ht="39" customHeight="1" x14ac:dyDescent="0.2">
      <c r="B1" s="12" t="s">
        <v>84</v>
      </c>
      <c r="C1" s="12"/>
      <c r="D1" s="12"/>
    </row>
    <row r="3" spans="2:7" x14ac:dyDescent="0.2">
      <c r="B3" s="6" t="s">
        <v>62</v>
      </c>
      <c r="C3" t="s">
        <v>78</v>
      </c>
      <c r="D3" t="s">
        <v>80</v>
      </c>
    </row>
    <row r="4" spans="2:7" x14ac:dyDescent="0.2">
      <c r="B4" s="7" t="s">
        <v>17</v>
      </c>
      <c r="C4" s="5">
        <v>0.33445230347100768</v>
      </c>
      <c r="D4" s="5">
        <v>38.412698412698411</v>
      </c>
    </row>
    <row r="5" spans="2:7" x14ac:dyDescent="0.2">
      <c r="B5" s="7" t="s">
        <v>26</v>
      </c>
      <c r="C5" s="5">
        <v>0.31826731732782149</v>
      </c>
      <c r="D5" s="5">
        <v>36.04615384615385</v>
      </c>
    </row>
    <row r="6" spans="2:7" x14ac:dyDescent="0.2">
      <c r="B6" s="7" t="s">
        <v>12</v>
      </c>
      <c r="C6" s="5">
        <v>0.63034312110626955</v>
      </c>
      <c r="D6" s="5">
        <v>40.026954177897572</v>
      </c>
    </row>
    <row r="7" spans="2:7" x14ac:dyDescent="0.2">
      <c r="B7" s="7" t="s">
        <v>27</v>
      </c>
      <c r="C7" s="5">
        <v>0.38432217154346049</v>
      </c>
      <c r="D7" s="5">
        <v>36.162162162162161</v>
      </c>
    </row>
    <row r="8" spans="2:7" x14ac:dyDescent="0.2">
      <c r="B8" s="7" t="s">
        <v>63</v>
      </c>
      <c r="C8" s="5">
        <v>0.44188062388739785</v>
      </c>
      <c r="D8" s="5">
        <v>37.864485981308412</v>
      </c>
    </row>
    <row r="12" spans="2:7" x14ac:dyDescent="0.2">
      <c r="B12" s="6" t="s">
        <v>73</v>
      </c>
      <c r="C12" s="6" t="s">
        <v>64</v>
      </c>
    </row>
    <row r="13" spans="2:7" x14ac:dyDescent="0.2">
      <c r="B13" s="6" t="s">
        <v>62</v>
      </c>
      <c r="C13" t="s">
        <v>67</v>
      </c>
      <c r="D13" t="s">
        <v>66</v>
      </c>
      <c r="E13" t="s">
        <v>81</v>
      </c>
      <c r="F13" t="s">
        <v>65</v>
      </c>
      <c r="G13" t="s">
        <v>63</v>
      </c>
    </row>
    <row r="14" spans="2:7" x14ac:dyDescent="0.2">
      <c r="B14" s="7" t="s">
        <v>17</v>
      </c>
      <c r="C14" s="8">
        <v>6.280193236714976E-2</v>
      </c>
      <c r="D14" s="8">
        <v>0</v>
      </c>
      <c r="E14" s="8">
        <v>0.90821256038647347</v>
      </c>
      <c r="F14" s="8">
        <v>2.8985507246376812E-2</v>
      </c>
      <c r="G14" s="8">
        <v>1</v>
      </c>
    </row>
    <row r="15" spans="2:7" x14ac:dyDescent="0.2">
      <c r="B15" s="7" t="s">
        <v>26</v>
      </c>
      <c r="C15" s="8">
        <v>0</v>
      </c>
      <c r="D15" s="8">
        <v>0.30458221024258758</v>
      </c>
      <c r="E15" s="8">
        <v>0.67115902964959573</v>
      </c>
      <c r="F15" s="8">
        <v>2.4258760107816711E-2</v>
      </c>
      <c r="G15" s="8">
        <v>1</v>
      </c>
    </row>
    <row r="16" spans="2:7" x14ac:dyDescent="0.2">
      <c r="B16" s="7" t="s">
        <v>12</v>
      </c>
      <c r="C16" s="8">
        <v>0</v>
      </c>
      <c r="D16" s="8">
        <v>0.30476190476190479</v>
      </c>
      <c r="E16" s="8">
        <v>0.68571428571428572</v>
      </c>
      <c r="F16" s="8">
        <v>9.5238095238095247E-3</v>
      </c>
      <c r="G16" s="8">
        <v>1</v>
      </c>
    </row>
    <row r="17" spans="2:7" x14ac:dyDescent="0.2">
      <c r="B17" s="7" t="s">
        <v>27</v>
      </c>
      <c r="C17" s="8">
        <v>9.405940594059406E-2</v>
      </c>
      <c r="D17" s="8">
        <v>0</v>
      </c>
      <c r="E17" s="8">
        <v>0.88613861386138615</v>
      </c>
      <c r="F17" s="8">
        <v>1.9801980198019802E-2</v>
      </c>
      <c r="G17" s="8">
        <v>1</v>
      </c>
    </row>
    <row r="18" spans="2:7" x14ac:dyDescent="0.2">
      <c r="B18" s="7" t="s">
        <v>63</v>
      </c>
      <c r="C18" s="8">
        <v>2.6666666666666668E-2</v>
      </c>
      <c r="D18" s="8">
        <v>0.20083333333333334</v>
      </c>
      <c r="E18" s="8">
        <v>0.7533333333333333</v>
      </c>
      <c r="F18" s="8">
        <v>1.9166666666666665E-2</v>
      </c>
      <c r="G18" s="8">
        <v>1</v>
      </c>
    </row>
  </sheetData>
  <mergeCells count="1">
    <mergeCell ref="B1:D1"/>
  </mergeCell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credit_appraisal</vt:lpstr>
      <vt:lpstr>Issues_log</vt:lpstr>
      <vt:lpstr>credit_appraisal_cleaned</vt:lpstr>
      <vt:lpstr>Risk_Summary_Table</vt:lpstr>
      <vt:lpstr>Branch_Risk_Profile</vt:lpstr>
      <vt:lpstr>Employment_Risk_Analysis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Wainscott, Keith Evan</dc:creator>
  <cp:keywords/>
  <dc:description/>
  <cp:lastModifiedBy>Wainscott, Keith Evan</cp:lastModifiedBy>
  <dcterms:created xsi:type="dcterms:W3CDTF">2026-02-04T10:50:50Z</dcterms:created>
  <dcterms:modified xsi:type="dcterms:W3CDTF">2026-02-14T11:59:48Z</dcterms:modified>
  <cp:category/>
</cp:coreProperties>
</file>